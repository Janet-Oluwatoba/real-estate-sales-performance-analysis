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https://d.docs.live.net/44ea25e74745b4f9/Desktop/"/>
    </mc:Choice>
  </mc:AlternateContent>
  <xr:revisionPtr revIDLastSave="0" documentId="13_ncr:1_{B1374E0B-124A-417A-B76D-A00272B1272C}" xr6:coauthVersionLast="47" xr6:coauthVersionMax="47" xr10:uidLastSave="{00000000-0000-0000-0000-000000000000}"/>
  <bookViews>
    <workbookView xWindow="-108" yWindow="-108" windowWidth="23256" windowHeight="12456" activeTab="4" xr2:uid="{00000000-000D-0000-FFFF-FFFF00000000}"/>
  </bookViews>
  <sheets>
    <sheet name="Sheet1" sheetId="1" r:id="rId1"/>
    <sheet name="Sheet2" sheetId="2" r:id="rId2"/>
    <sheet name="Sheet2 2" sheetId="5" r:id="rId3"/>
    <sheet name="Sheet3" sheetId="3" r:id="rId4"/>
    <sheet name="Sheet4" sheetId="4" r:id="rId5"/>
  </sheets>
  <definedNames>
    <definedName name="Slicer_Customer_Type">#N/A</definedName>
    <definedName name="Slicer_Payment_Type">#N/A</definedName>
    <definedName name="Slicer_Property_Type">#N/A</definedName>
    <definedName name="Slicer_Real_Estate_Company">#N/A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15" i="5" l="1"/>
  <c r="AL14" i="5"/>
  <c r="AL13" i="5"/>
  <c r="AL12" i="5"/>
  <c r="AL11" i="5"/>
  <c r="AF446" i="5" a="1"/>
  <c r="AF446" i="5" s="1"/>
  <c r="S446" i="5"/>
  <c r="AD446" i="5" s="1"/>
  <c r="AF473" i="5" a="1"/>
  <c r="AF473" i="5" s="1"/>
  <c r="S473" i="5"/>
  <c r="AF243" i="5" a="1"/>
  <c r="AF243" i="5" s="1"/>
  <c r="S243" i="5"/>
  <c r="AD243" i="5" s="1"/>
  <c r="AF214" i="5" a="1"/>
  <c r="AF214" i="5" s="1"/>
  <c r="S214" i="5"/>
  <c r="AF18" i="5" a="1"/>
  <c r="AF18" i="5" s="1"/>
  <c r="S18" i="5"/>
  <c r="AD18" i="5" s="1"/>
  <c r="AF388" i="5" a="1"/>
  <c r="AF388" i="5" s="1"/>
  <c r="S388" i="5"/>
  <c r="AF47" i="5" a="1"/>
  <c r="AF47" i="5" s="1"/>
  <c r="S47" i="5"/>
  <c r="AD47" i="5" s="1"/>
  <c r="AF262" i="5" a="1"/>
  <c r="AF262" i="5" s="1"/>
  <c r="S262" i="5"/>
  <c r="AD262" i="5" s="1"/>
  <c r="AF272" i="5" a="1"/>
  <c r="AF272" i="5" s="1"/>
  <c r="S272" i="5"/>
  <c r="AD272" i="5" s="1"/>
  <c r="AF176" i="5" a="1"/>
  <c r="AF176" i="5" s="1"/>
  <c r="S176" i="5"/>
  <c r="AD176" i="5" s="1"/>
  <c r="AF247" i="5" a="1"/>
  <c r="AF247" i="5" s="1"/>
  <c r="S247" i="5"/>
  <c r="AB247" i="5" s="1"/>
  <c r="AF112" i="5" a="1"/>
  <c r="AF112" i="5" s="1"/>
  <c r="S112" i="5"/>
  <c r="AD112" i="5" s="1"/>
  <c r="AF314" i="5" a="1"/>
  <c r="AF314" i="5" s="1"/>
  <c r="S314" i="5"/>
  <c r="AD314" i="5" s="1"/>
  <c r="AF296" i="5" a="1"/>
  <c r="AF296" i="5" s="1"/>
  <c r="S296" i="5"/>
  <c r="AD296" i="5" s="1"/>
  <c r="AF287" i="5" a="1"/>
  <c r="AF287" i="5" s="1"/>
  <c r="S287" i="5"/>
  <c r="AD287" i="5" s="1"/>
  <c r="AF221" i="5" a="1"/>
  <c r="AF221" i="5" s="1"/>
  <c r="S221" i="5"/>
  <c r="AF7" i="5" a="1"/>
  <c r="AF7" i="5" s="1"/>
  <c r="S7" i="5"/>
  <c r="AD7" i="5" s="1"/>
  <c r="AF141" i="5" a="1"/>
  <c r="AF141" i="5" s="1"/>
  <c r="S141" i="5"/>
  <c r="AF149" i="5" a="1"/>
  <c r="AF149" i="5" s="1"/>
  <c r="S149" i="5"/>
  <c r="AD149" i="5" s="1"/>
  <c r="AF398" i="5" a="1"/>
  <c r="AF398" i="5" s="1"/>
  <c r="S398" i="5"/>
  <c r="AF27" i="5" a="1"/>
  <c r="AF27" i="5" s="1"/>
  <c r="S27" i="5"/>
  <c r="AB27" i="5" s="1"/>
  <c r="AC27" i="5" s="1" a="1"/>
  <c r="AC27" i="5" s="1"/>
  <c r="AF403" i="5" a="1"/>
  <c r="AF403" i="5" s="1"/>
  <c r="S403" i="5"/>
  <c r="AD403" i="5" s="1"/>
  <c r="AF224" i="5" a="1"/>
  <c r="AF224" i="5" s="1"/>
  <c r="S224" i="5"/>
  <c r="AB224" i="5" s="1"/>
  <c r="AC224" i="5" s="1" a="1"/>
  <c r="AC224" i="5" s="1"/>
  <c r="AF310" i="5" a="1"/>
  <c r="AF310" i="5" s="1"/>
  <c r="S310" i="5"/>
  <c r="AF16" i="5" a="1"/>
  <c r="AF16" i="5" s="1"/>
  <c r="S16" i="5"/>
  <c r="AB16" i="5" s="1"/>
  <c r="AC16" i="5" s="1" a="1"/>
  <c r="AC16" i="5" s="1"/>
  <c r="AF352" i="5" a="1"/>
  <c r="AF352" i="5" s="1"/>
  <c r="S352" i="5"/>
  <c r="AD352" i="5" s="1"/>
  <c r="AF481" i="5" a="1"/>
  <c r="AF481" i="5" s="1"/>
  <c r="S481" i="5"/>
  <c r="AD481" i="5" s="1"/>
  <c r="AF415" i="5" a="1"/>
  <c r="AF415" i="5" s="1"/>
  <c r="S415" i="5"/>
  <c r="AB415" i="5" s="1"/>
  <c r="AC415" i="5" s="1" a="1"/>
  <c r="AC415" i="5" s="1"/>
  <c r="AF309" i="5" a="1"/>
  <c r="AF309" i="5" s="1"/>
  <c r="S309" i="5"/>
  <c r="AD309" i="5" s="1"/>
  <c r="AF113" i="5" a="1"/>
  <c r="AF113" i="5" s="1"/>
  <c r="S113" i="5"/>
  <c r="AF452" i="5" a="1"/>
  <c r="AF452" i="5" s="1"/>
  <c r="S452" i="5"/>
  <c r="AB452" i="5" s="1"/>
  <c r="AC452" i="5" s="1" a="1"/>
  <c r="AC452" i="5" s="1"/>
  <c r="AF320" i="5" a="1"/>
  <c r="AF320" i="5" s="1"/>
  <c r="S320" i="5"/>
  <c r="AF46" i="5" a="1"/>
  <c r="AF46" i="5" s="1"/>
  <c r="S46" i="5"/>
  <c r="AB46" i="5" s="1"/>
  <c r="AF75" i="5" a="1"/>
  <c r="AF75" i="5" s="1"/>
  <c r="S75" i="5"/>
  <c r="AB75" i="5" s="1"/>
  <c r="AC75" i="5" s="1" a="1"/>
  <c r="AC75" i="5" s="1"/>
  <c r="AF293" i="5" a="1"/>
  <c r="AF293" i="5" s="1"/>
  <c r="S293" i="5"/>
  <c r="AF383" i="5" a="1"/>
  <c r="AF383" i="5" s="1"/>
  <c r="S383" i="5"/>
  <c r="AD383" i="5" s="1"/>
  <c r="AF400" i="5" a="1"/>
  <c r="AF400" i="5" s="1"/>
  <c r="S400" i="5"/>
  <c r="AB400" i="5" s="1"/>
  <c r="AC400" i="5" s="1" a="1"/>
  <c r="AC400" i="5" s="1"/>
  <c r="AF282" i="5" a="1"/>
  <c r="AF282" i="5" s="1"/>
  <c r="S282" i="5"/>
  <c r="AD282" i="5" s="1"/>
  <c r="AF351" i="5" a="1"/>
  <c r="AF351" i="5" s="1"/>
  <c r="S351" i="5"/>
  <c r="AD351" i="5" s="1"/>
  <c r="AF439" i="5" a="1"/>
  <c r="AF439" i="5" s="1"/>
  <c r="S439" i="5"/>
  <c r="AB439" i="5" s="1"/>
  <c r="AE439" i="5" s="1" a="1"/>
  <c r="AE439" i="5" s="1"/>
  <c r="AF151" i="5" a="1"/>
  <c r="AF151" i="5" s="1"/>
  <c r="S151" i="5"/>
  <c r="AD151" i="5" s="1"/>
  <c r="AF404" i="5" a="1"/>
  <c r="AF404" i="5" s="1"/>
  <c r="S404" i="5"/>
  <c r="AD404" i="5" s="1"/>
  <c r="AF379" i="5" a="1"/>
  <c r="AF379" i="5" s="1"/>
  <c r="S379" i="5"/>
  <c r="AB379" i="5" s="1"/>
  <c r="AC379" i="5" s="1" a="1"/>
  <c r="AC379" i="5" s="1"/>
  <c r="AF475" i="5" a="1"/>
  <c r="AF475" i="5" s="1"/>
  <c r="S475" i="5"/>
  <c r="AB475" i="5" s="1"/>
  <c r="AC475" i="5" s="1" a="1"/>
  <c r="AC475" i="5" s="1"/>
  <c r="AF258" i="5" a="1"/>
  <c r="AF258" i="5" s="1"/>
  <c r="S258" i="5"/>
  <c r="AB258" i="5" s="1"/>
  <c r="AF479" i="5" a="1"/>
  <c r="AF479" i="5" s="1"/>
  <c r="S479" i="5"/>
  <c r="AB479" i="5" s="1"/>
  <c r="AE479" i="5" s="1" a="1"/>
  <c r="AE479" i="5" s="1"/>
  <c r="AF274" i="5" a="1"/>
  <c r="AF274" i="5" s="1"/>
  <c r="S274" i="5"/>
  <c r="AF332" i="5" a="1"/>
  <c r="AF332" i="5" s="1"/>
  <c r="S332" i="5"/>
  <c r="AF291" i="5" a="1"/>
  <c r="AF291" i="5" s="1"/>
  <c r="S291" i="5"/>
  <c r="AD291" i="5" s="1"/>
  <c r="AF366" i="5" a="1"/>
  <c r="AF366" i="5" s="1"/>
  <c r="S366" i="5"/>
  <c r="AD366" i="5" s="1"/>
  <c r="AF100" i="5" a="1"/>
  <c r="AF100" i="5" s="1"/>
  <c r="S100" i="5"/>
  <c r="AD100" i="5" s="1"/>
  <c r="AF233" i="5" a="1"/>
  <c r="AF233" i="5" s="1"/>
  <c r="S233" i="5"/>
  <c r="AB233" i="5" s="1"/>
  <c r="AE233" i="5" s="1" a="1"/>
  <c r="AE233" i="5" s="1"/>
  <c r="AF349" i="5" a="1"/>
  <c r="AF349" i="5" s="1"/>
  <c r="S349" i="5"/>
  <c r="AD349" i="5" s="1"/>
  <c r="AF385" i="5" a="1"/>
  <c r="AF385" i="5" s="1"/>
  <c r="S385" i="5"/>
  <c r="AF337" i="5" a="1"/>
  <c r="AF337" i="5" s="1"/>
  <c r="S337" i="5"/>
  <c r="AD337" i="5" s="1"/>
  <c r="AF339" i="5" a="1"/>
  <c r="AF339" i="5" s="1"/>
  <c r="S339" i="5"/>
  <c r="AF107" i="5" a="1"/>
  <c r="AF107" i="5" s="1"/>
  <c r="S107" i="5"/>
  <c r="AB107" i="5" s="1"/>
  <c r="AF3" i="5" a="1"/>
  <c r="AF3" i="5" s="1"/>
  <c r="S3" i="5"/>
  <c r="AB3" i="5" s="1"/>
  <c r="AE3" i="5" s="1" a="1"/>
  <c r="AE3" i="5" s="1"/>
  <c r="AF362" i="5" a="1"/>
  <c r="AF362" i="5" s="1"/>
  <c r="S362" i="5"/>
  <c r="AD362" i="5" s="1"/>
  <c r="AF172" i="5" a="1"/>
  <c r="AF172" i="5" s="1"/>
  <c r="S172" i="5"/>
  <c r="AF212" i="5" a="1"/>
  <c r="AF212" i="5" s="1"/>
  <c r="S212" i="5"/>
  <c r="AB212" i="5" s="1"/>
  <c r="AF103" i="5" a="1"/>
  <c r="AF103" i="5" s="1"/>
  <c r="S103" i="5"/>
  <c r="AB103" i="5" s="1"/>
  <c r="AC103" i="5" s="1" a="1"/>
  <c r="AC103" i="5" s="1"/>
  <c r="AF327" i="5" a="1"/>
  <c r="AF327" i="5" s="1"/>
  <c r="S327" i="5"/>
  <c r="AD327" i="5" s="1"/>
  <c r="AF64" i="5" a="1"/>
  <c r="AF64" i="5" s="1"/>
  <c r="S64" i="5"/>
  <c r="AF144" i="5" a="1"/>
  <c r="AF144" i="5" s="1"/>
  <c r="S144" i="5"/>
  <c r="AB144" i="5" s="1"/>
  <c r="AC144" i="5" s="1" a="1"/>
  <c r="AC144" i="5" s="1"/>
  <c r="AF499" i="5" a="1"/>
  <c r="AF499" i="5" s="1"/>
  <c r="S499" i="5"/>
  <c r="AD499" i="5" s="1"/>
  <c r="AF138" i="5" a="1"/>
  <c r="AF138" i="5" s="1"/>
  <c r="S138" i="5"/>
  <c r="AD138" i="5" s="1"/>
  <c r="AF11" i="5" a="1"/>
  <c r="AF11" i="5" s="1"/>
  <c r="S11" i="5"/>
  <c r="AD11" i="5" s="1"/>
  <c r="AF493" i="5" a="1"/>
  <c r="AF493" i="5" s="1"/>
  <c r="S493" i="5"/>
  <c r="AF454" i="5" a="1"/>
  <c r="AF454" i="5" s="1"/>
  <c r="S454" i="5"/>
  <c r="AD454" i="5" s="1"/>
  <c r="AF437" i="5" a="1"/>
  <c r="AF437" i="5" s="1"/>
  <c r="S437" i="5"/>
  <c r="AF363" i="5" a="1"/>
  <c r="AF363" i="5" s="1"/>
  <c r="S363" i="5"/>
  <c r="AB363" i="5" s="1"/>
  <c r="AC363" i="5" s="1" a="1"/>
  <c r="AC363" i="5" s="1"/>
  <c r="AF155" i="5" a="1"/>
  <c r="AF155" i="5" s="1"/>
  <c r="S155" i="5"/>
  <c r="AD155" i="5" s="1"/>
  <c r="AF122" i="5" a="1"/>
  <c r="AF122" i="5" s="1"/>
  <c r="S122" i="5"/>
  <c r="AD122" i="5" s="1"/>
  <c r="AF10" i="5" a="1"/>
  <c r="AF10" i="5" s="1"/>
  <c r="S10" i="5"/>
  <c r="AF246" i="5" a="1"/>
  <c r="AF246" i="5" s="1"/>
  <c r="S246" i="5"/>
  <c r="AF465" i="5" a="1"/>
  <c r="AF465" i="5" s="1"/>
  <c r="S465" i="5"/>
  <c r="AD465" i="5" s="1"/>
  <c r="AF311" i="5" a="1"/>
  <c r="AF311" i="5" s="1"/>
  <c r="S311" i="5"/>
  <c r="AF252" i="5" a="1"/>
  <c r="AF252" i="5" s="1"/>
  <c r="S252" i="5"/>
  <c r="AD252" i="5" s="1"/>
  <c r="AF253" i="5" a="1"/>
  <c r="AF253" i="5" s="1"/>
  <c r="S253" i="5"/>
  <c r="AD253" i="5" s="1"/>
  <c r="AF467" i="5" a="1"/>
  <c r="AF467" i="5" s="1"/>
  <c r="S467" i="5"/>
  <c r="AD467" i="5" s="1"/>
  <c r="AF55" i="5" a="1"/>
  <c r="AF55" i="5" s="1"/>
  <c r="S55" i="5"/>
  <c r="AB55" i="5" s="1"/>
  <c r="AC55" i="5" s="1" a="1"/>
  <c r="AC55" i="5" s="1"/>
  <c r="AF15" i="5" a="1"/>
  <c r="AF15" i="5" s="1"/>
  <c r="S15" i="5"/>
  <c r="AF66" i="5" a="1"/>
  <c r="AF66" i="5" s="1"/>
  <c r="S66" i="5"/>
  <c r="AD66" i="5" s="1"/>
  <c r="AF477" i="5" a="1"/>
  <c r="AF477" i="5" s="1"/>
  <c r="S477" i="5"/>
  <c r="AD477" i="5" s="1"/>
  <c r="AF428" i="5" a="1"/>
  <c r="AF428" i="5" s="1"/>
  <c r="S428" i="5"/>
  <c r="AD428" i="5" s="1"/>
  <c r="AF170" i="5" a="1"/>
  <c r="AF170" i="5" s="1"/>
  <c r="S170" i="5"/>
  <c r="AB170" i="5" s="1"/>
  <c r="AE170" i="5" s="1" a="1"/>
  <c r="AE170" i="5" s="1"/>
  <c r="AF195" i="5" a="1"/>
  <c r="AF195" i="5" s="1"/>
  <c r="S195" i="5"/>
  <c r="AB195" i="5" s="1"/>
  <c r="AC195" i="5" s="1" a="1"/>
  <c r="AC195" i="5" s="1"/>
  <c r="AF264" i="5" a="1"/>
  <c r="AF264" i="5" s="1"/>
  <c r="S264" i="5"/>
  <c r="AD264" i="5" s="1"/>
  <c r="AF226" i="5" a="1"/>
  <c r="AF226" i="5" s="1"/>
  <c r="S226" i="5"/>
  <c r="AB226" i="5" s="1"/>
  <c r="AF386" i="5" a="1"/>
  <c r="AF386" i="5" s="1"/>
  <c r="S386" i="5"/>
  <c r="AB386" i="5" s="1"/>
  <c r="AC386" i="5" s="1" a="1"/>
  <c r="AC386" i="5" s="1"/>
  <c r="AF102" i="5" a="1"/>
  <c r="AF102" i="5" s="1"/>
  <c r="S102" i="5"/>
  <c r="AB102" i="5" s="1"/>
  <c r="AF167" i="5" a="1"/>
  <c r="AF167" i="5" s="1"/>
  <c r="S167" i="5"/>
  <c r="AB167" i="5" s="1"/>
  <c r="AC167" i="5" s="1" a="1"/>
  <c r="AC167" i="5" s="1"/>
  <c r="AF87" i="5" a="1"/>
  <c r="AF87" i="5" s="1"/>
  <c r="S87" i="5"/>
  <c r="AD87" i="5" s="1"/>
  <c r="AF495" i="5" a="1"/>
  <c r="AF495" i="5" s="1"/>
  <c r="S495" i="5"/>
  <c r="AF484" i="5" a="1"/>
  <c r="AF484" i="5" s="1"/>
  <c r="S484" i="5"/>
  <c r="AB484" i="5" s="1"/>
  <c r="AE484" i="5" s="1" a="1"/>
  <c r="AE484" i="5" s="1"/>
  <c r="AF108" i="5" a="1"/>
  <c r="AF108" i="5" s="1"/>
  <c r="S108" i="5"/>
  <c r="AD108" i="5" s="1"/>
  <c r="AF77" i="5" a="1"/>
  <c r="AF77" i="5" s="1"/>
  <c r="S77" i="5"/>
  <c r="AD77" i="5" s="1"/>
  <c r="AF382" i="5" a="1"/>
  <c r="AF382" i="5" s="1"/>
  <c r="S382" i="5"/>
  <c r="AB382" i="5" s="1"/>
  <c r="AF468" i="5" a="1"/>
  <c r="AF468" i="5" s="1"/>
  <c r="S468" i="5"/>
  <c r="AB468" i="5" s="1"/>
  <c r="AC468" i="5" s="1" a="1"/>
  <c r="AC468" i="5" s="1"/>
  <c r="AF60" i="5" a="1"/>
  <c r="AF60" i="5" s="1"/>
  <c r="S60" i="5"/>
  <c r="AD60" i="5" s="1"/>
  <c r="AF297" i="5" a="1"/>
  <c r="AF297" i="5" s="1"/>
  <c r="S297" i="5"/>
  <c r="AB297" i="5" s="1"/>
  <c r="AC297" i="5" s="1" a="1"/>
  <c r="AC297" i="5" s="1"/>
  <c r="AF157" i="5" a="1"/>
  <c r="AF157" i="5" s="1"/>
  <c r="S157" i="5"/>
  <c r="AB157" i="5" s="1"/>
  <c r="AC157" i="5" s="1" a="1"/>
  <c r="AC157" i="5" s="1"/>
  <c r="AF466" i="5" a="1"/>
  <c r="AF466" i="5" s="1"/>
  <c r="S466" i="5"/>
  <c r="AD466" i="5" s="1"/>
  <c r="AF229" i="5" a="1"/>
  <c r="AF229" i="5" s="1"/>
  <c r="S229" i="5"/>
  <c r="AD229" i="5" s="1"/>
  <c r="AF114" i="5" a="1"/>
  <c r="AF114" i="5" s="1"/>
  <c r="S114" i="5"/>
  <c r="AB114" i="5" s="1"/>
  <c r="AF146" i="5" a="1"/>
  <c r="AF146" i="5" s="1"/>
  <c r="S146" i="5"/>
  <c r="AD146" i="5" s="1"/>
  <c r="AF302" i="5" a="1"/>
  <c r="AF302" i="5" s="1"/>
  <c r="S302" i="5"/>
  <c r="AD302" i="5" s="1"/>
  <c r="AF97" i="5" a="1"/>
  <c r="AF97" i="5" s="1"/>
  <c r="S97" i="5"/>
  <c r="AD97" i="5" s="1"/>
  <c r="AF187" i="5" a="1"/>
  <c r="AF187" i="5" s="1"/>
  <c r="S187" i="5"/>
  <c r="AD187" i="5" s="1"/>
  <c r="AF431" i="5" a="1"/>
  <c r="AF431" i="5" s="1"/>
  <c r="S431" i="5"/>
  <c r="AD431" i="5" s="1"/>
  <c r="AF217" i="5" a="1"/>
  <c r="AF217" i="5" s="1"/>
  <c r="S217" i="5"/>
  <c r="AF128" i="5" a="1"/>
  <c r="AF128" i="5" s="1"/>
  <c r="S128" i="5"/>
  <c r="AD128" i="5" s="1"/>
  <c r="AF396" i="5" a="1"/>
  <c r="AF396" i="5" s="1"/>
  <c r="S396" i="5"/>
  <c r="AB396" i="5" s="1"/>
  <c r="AE396" i="5" s="1" a="1"/>
  <c r="AE396" i="5" s="1"/>
  <c r="AF271" i="5" a="1"/>
  <c r="AF271" i="5" s="1"/>
  <c r="S271" i="5"/>
  <c r="AD271" i="5" s="1"/>
  <c r="AF269" i="5" a="1"/>
  <c r="AF269" i="5" s="1"/>
  <c r="S269" i="5"/>
  <c r="AD269" i="5" s="1"/>
  <c r="AF268" i="5" a="1"/>
  <c r="AF268" i="5" s="1"/>
  <c r="S268" i="5"/>
  <c r="AB268" i="5" s="1"/>
  <c r="AC268" i="5" s="1" a="1"/>
  <c r="AC268" i="5" s="1"/>
  <c r="AF111" i="5" a="1"/>
  <c r="AF111" i="5" s="1"/>
  <c r="S111" i="5"/>
  <c r="AF367" i="5" a="1"/>
  <c r="AF367" i="5" s="1"/>
  <c r="S367" i="5"/>
  <c r="AF48" i="5" a="1"/>
  <c r="AF48" i="5" s="1"/>
  <c r="S48" i="5"/>
  <c r="AD48" i="5" s="1"/>
  <c r="AF44" i="5" a="1"/>
  <c r="AF44" i="5" s="1"/>
  <c r="S44" i="5"/>
  <c r="AD44" i="5" s="1"/>
  <c r="AF36" i="5" a="1"/>
  <c r="AF36" i="5" s="1"/>
  <c r="S36" i="5"/>
  <c r="AB36" i="5" s="1"/>
  <c r="AF390" i="5" a="1"/>
  <c r="AF390" i="5" s="1"/>
  <c r="S390" i="5"/>
  <c r="AF447" i="5" a="1"/>
  <c r="AF447" i="5" s="1"/>
  <c r="S447" i="5"/>
  <c r="AD447" i="5" s="1"/>
  <c r="AF331" i="5" a="1"/>
  <c r="AF331" i="5" s="1"/>
  <c r="S331" i="5"/>
  <c r="AD331" i="5" s="1"/>
  <c r="AF433" i="5" a="1"/>
  <c r="AF433" i="5" s="1"/>
  <c r="S433" i="5"/>
  <c r="AF278" i="5" a="1"/>
  <c r="AF278" i="5" s="1"/>
  <c r="S278" i="5"/>
  <c r="AF216" i="5" a="1"/>
  <c r="AF216" i="5" s="1"/>
  <c r="S216" i="5"/>
  <c r="AB216" i="5" s="1"/>
  <c r="AC216" i="5" s="1" a="1"/>
  <c r="AC216" i="5" s="1"/>
  <c r="AF443" i="5" a="1"/>
  <c r="AF443" i="5" s="1"/>
  <c r="S443" i="5"/>
  <c r="AB443" i="5" s="1"/>
  <c r="AF408" i="5" a="1"/>
  <c r="AF408" i="5" s="1"/>
  <c r="S408" i="5"/>
  <c r="AB408" i="5" s="1"/>
  <c r="AF174" i="5" a="1"/>
  <c r="AF174" i="5" s="1"/>
  <c r="S174" i="5"/>
  <c r="AB174" i="5" s="1"/>
  <c r="AC174" i="5" s="1" a="1"/>
  <c r="AC174" i="5" s="1"/>
  <c r="AF304" i="5" a="1"/>
  <c r="AF304" i="5" s="1"/>
  <c r="S304" i="5"/>
  <c r="AD304" i="5" s="1"/>
  <c r="AF192" i="5" a="1"/>
  <c r="AF192" i="5" s="1"/>
  <c r="S192" i="5"/>
  <c r="AD192" i="5" s="1"/>
  <c r="AF82" i="5" a="1"/>
  <c r="AF82" i="5" s="1"/>
  <c r="S82" i="5"/>
  <c r="AB82" i="5" s="1"/>
  <c r="AC82" i="5" s="1" a="1"/>
  <c r="AC82" i="5" s="1"/>
  <c r="AF284" i="5" a="1"/>
  <c r="AF284" i="5" s="1"/>
  <c r="S284" i="5"/>
  <c r="AD284" i="5" s="1"/>
  <c r="AF73" i="5" a="1"/>
  <c r="AF73" i="5" s="1"/>
  <c r="S73" i="5"/>
  <c r="AB73" i="5" s="1"/>
  <c r="AE73" i="5" s="1" a="1"/>
  <c r="AE73" i="5" s="1"/>
  <c r="AF461" i="5" a="1"/>
  <c r="AF461" i="5" s="1"/>
  <c r="S461" i="5"/>
  <c r="AD461" i="5" s="1"/>
  <c r="AF49" i="5" a="1"/>
  <c r="AF49" i="5" s="1"/>
  <c r="S49" i="5"/>
  <c r="AD49" i="5" s="1"/>
  <c r="AF213" i="5" a="1"/>
  <c r="AF213" i="5" s="1"/>
  <c r="S213" i="5"/>
  <c r="AD213" i="5" s="1"/>
  <c r="AF424" i="5" a="1"/>
  <c r="AF424" i="5" s="1"/>
  <c r="S424" i="5"/>
  <c r="AB424" i="5" s="1"/>
  <c r="AE424" i="5" s="1" a="1"/>
  <c r="AE424" i="5" s="1"/>
  <c r="AF323" i="5" a="1"/>
  <c r="AF323" i="5" s="1"/>
  <c r="S323" i="5"/>
  <c r="AD323" i="5" s="1"/>
  <c r="AF109" i="5" a="1"/>
  <c r="AF109" i="5" s="1"/>
  <c r="S109" i="5"/>
  <c r="AD109" i="5" s="1"/>
  <c r="AF29" i="5" a="1"/>
  <c r="AF29" i="5" s="1"/>
  <c r="S29" i="5"/>
  <c r="AF210" i="5" a="1"/>
  <c r="AF210" i="5" s="1"/>
  <c r="S210" i="5"/>
  <c r="AB210" i="5" s="1"/>
  <c r="AE210" i="5" s="1" a="1"/>
  <c r="AE210" i="5" s="1"/>
  <c r="AF377" i="5" a="1"/>
  <c r="AF377" i="5" s="1"/>
  <c r="S377" i="5"/>
  <c r="AD377" i="5" s="1"/>
  <c r="AF353" i="5" a="1"/>
  <c r="AF353" i="5" s="1"/>
  <c r="S353" i="5"/>
  <c r="AD353" i="5" s="1"/>
  <c r="AF285" i="5" a="1"/>
  <c r="AF285" i="5" s="1"/>
  <c r="S285" i="5"/>
  <c r="AD285" i="5" s="1"/>
  <c r="AF241" i="5" a="1"/>
  <c r="AF241" i="5" s="1"/>
  <c r="S241" i="5"/>
  <c r="AD241" i="5" s="1"/>
  <c r="AF308" i="5" a="1"/>
  <c r="AF308" i="5" s="1"/>
  <c r="S308" i="5"/>
  <c r="AD308" i="5" s="1"/>
  <c r="AF163" i="5" a="1"/>
  <c r="AF163" i="5" s="1"/>
  <c r="S163" i="5"/>
  <c r="AB163" i="5" s="1"/>
  <c r="AE163" i="5" s="1" a="1"/>
  <c r="AE163" i="5" s="1"/>
  <c r="AF245" i="5" a="1"/>
  <c r="AF245" i="5" s="1"/>
  <c r="S245" i="5"/>
  <c r="AD245" i="5" s="1"/>
  <c r="AF369" i="5" a="1"/>
  <c r="AF369" i="5" s="1"/>
  <c r="S369" i="5"/>
  <c r="AF86" i="5" a="1"/>
  <c r="AF86" i="5" s="1"/>
  <c r="S86" i="5"/>
  <c r="AD86" i="5" s="1"/>
  <c r="AF152" i="5" a="1"/>
  <c r="AF152" i="5" s="1"/>
  <c r="S152" i="5"/>
  <c r="AD152" i="5" s="1"/>
  <c r="AF266" i="5" a="1"/>
  <c r="AF266" i="5" s="1"/>
  <c r="S266" i="5"/>
  <c r="AD266" i="5" s="1"/>
  <c r="AF501" i="5" a="1"/>
  <c r="AF501" i="5" s="1"/>
  <c r="S501" i="5"/>
  <c r="AB501" i="5" s="1"/>
  <c r="AE501" i="5" s="1" a="1"/>
  <c r="AE501" i="5" s="1"/>
  <c r="AF370" i="5" a="1"/>
  <c r="AF370" i="5" s="1"/>
  <c r="S370" i="5"/>
  <c r="AB370" i="5" s="1"/>
  <c r="AC370" i="5" s="1" a="1"/>
  <c r="AC370" i="5" s="1"/>
  <c r="AF223" i="5" a="1"/>
  <c r="AF223" i="5" s="1"/>
  <c r="S223" i="5"/>
  <c r="AD223" i="5" s="1"/>
  <c r="AF182" i="5" a="1"/>
  <c r="AF182" i="5" s="1"/>
  <c r="S182" i="5"/>
  <c r="AF422" i="5" a="1"/>
  <c r="AF422" i="5" s="1"/>
  <c r="S422" i="5"/>
  <c r="AD422" i="5" s="1"/>
  <c r="AF54" i="5" a="1"/>
  <c r="AF54" i="5" s="1"/>
  <c r="S54" i="5"/>
  <c r="AD54" i="5" s="1"/>
  <c r="AF31" i="5" a="1"/>
  <c r="AF31" i="5" s="1"/>
  <c r="S31" i="5"/>
  <c r="AD31" i="5" s="1"/>
  <c r="AF123" i="5" a="1"/>
  <c r="AF123" i="5" s="1"/>
  <c r="S123" i="5"/>
  <c r="AD123" i="5" s="1"/>
  <c r="AF24" i="5" a="1"/>
  <c r="AF24" i="5" s="1"/>
  <c r="S24" i="5"/>
  <c r="AD24" i="5" s="1"/>
  <c r="AF444" i="5" a="1"/>
  <c r="AF444" i="5" s="1"/>
  <c r="S444" i="5"/>
  <c r="AD444" i="5" s="1"/>
  <c r="AF401" i="5" a="1"/>
  <c r="AF401" i="5" s="1"/>
  <c r="S401" i="5"/>
  <c r="AB401" i="5" s="1"/>
  <c r="AC401" i="5" s="1" a="1"/>
  <c r="AC401" i="5" s="1"/>
  <c r="AF263" i="5" a="1"/>
  <c r="AF263" i="5" s="1"/>
  <c r="S263" i="5"/>
  <c r="AF423" i="5" a="1"/>
  <c r="AF423" i="5" s="1"/>
  <c r="S423" i="5"/>
  <c r="AD423" i="5" s="1"/>
  <c r="AF325" i="5" a="1"/>
  <c r="AF325" i="5" s="1"/>
  <c r="S325" i="5"/>
  <c r="AD325" i="5" s="1"/>
  <c r="AF393" i="5" a="1"/>
  <c r="AF393" i="5" s="1"/>
  <c r="S393" i="5"/>
  <c r="AD393" i="5" s="1"/>
  <c r="AF435" i="5" a="1"/>
  <c r="AF435" i="5" s="1"/>
  <c r="S435" i="5"/>
  <c r="AD435" i="5" s="1"/>
  <c r="AF492" i="5" a="1"/>
  <c r="AF492" i="5" s="1"/>
  <c r="S492" i="5"/>
  <c r="AD492" i="5" s="1"/>
  <c r="AF324" i="5" a="1"/>
  <c r="AF324" i="5" s="1"/>
  <c r="S324" i="5"/>
  <c r="AB324" i="5" s="1"/>
  <c r="AF453" i="5" a="1"/>
  <c r="AF453" i="5" s="1"/>
  <c r="S453" i="5"/>
  <c r="AB453" i="5" s="1"/>
  <c r="AC453" i="5" s="1" a="1"/>
  <c r="AC453" i="5" s="1"/>
  <c r="AF426" i="5" a="1"/>
  <c r="AF426" i="5" s="1"/>
  <c r="S426" i="5"/>
  <c r="AF474" i="5" a="1"/>
  <c r="AF474" i="5" s="1"/>
  <c r="S474" i="5"/>
  <c r="AF416" i="5" a="1"/>
  <c r="AF416" i="5" s="1"/>
  <c r="S416" i="5"/>
  <c r="AF238" i="5" a="1"/>
  <c r="AF238" i="5" s="1"/>
  <c r="S238" i="5"/>
  <c r="AF156" i="5" a="1"/>
  <c r="AF156" i="5" s="1"/>
  <c r="S156" i="5"/>
  <c r="AD156" i="5" s="1"/>
  <c r="AF59" i="5" a="1"/>
  <c r="AF59" i="5" s="1"/>
  <c r="S59" i="5"/>
  <c r="AD59" i="5" s="1"/>
  <c r="AF491" i="5" a="1"/>
  <c r="AF491" i="5" s="1"/>
  <c r="S491" i="5"/>
  <c r="AF346" i="5" a="1"/>
  <c r="AF346" i="5" s="1"/>
  <c r="S346" i="5"/>
  <c r="AB346" i="5" s="1"/>
  <c r="AE346" i="5" s="1" a="1"/>
  <c r="AE346" i="5" s="1"/>
  <c r="AF456" i="5" a="1"/>
  <c r="AF456" i="5" s="1"/>
  <c r="S456" i="5"/>
  <c r="AF234" i="5" a="1"/>
  <c r="AF234" i="5" s="1"/>
  <c r="S234" i="5"/>
  <c r="AD234" i="5" s="1"/>
  <c r="AF305" i="5" a="1"/>
  <c r="AF305" i="5" s="1"/>
  <c r="S305" i="5"/>
  <c r="AF290" i="5" a="1"/>
  <c r="AF290" i="5" s="1"/>
  <c r="S290" i="5"/>
  <c r="AD290" i="5" s="1"/>
  <c r="AF98" i="5" a="1"/>
  <c r="AF98" i="5" s="1"/>
  <c r="S98" i="5"/>
  <c r="AB98" i="5" s="1"/>
  <c r="AF487" i="5" a="1"/>
  <c r="AF487" i="5" s="1"/>
  <c r="S487" i="5"/>
  <c r="AB487" i="5" s="1"/>
  <c r="AF85" i="5" a="1"/>
  <c r="AF85" i="5" s="1"/>
  <c r="S85" i="5"/>
  <c r="AB85" i="5" s="1"/>
  <c r="AC85" i="5" s="1" a="1"/>
  <c r="AC85" i="5" s="1"/>
  <c r="AF158" i="5" a="1"/>
  <c r="AF158" i="5" s="1"/>
  <c r="S158" i="5"/>
  <c r="AF84" i="5" a="1"/>
  <c r="AF84" i="5" s="1"/>
  <c r="S84" i="5"/>
  <c r="AF222" i="5" a="1"/>
  <c r="AF222" i="5" s="1"/>
  <c r="S222" i="5"/>
  <c r="AD222" i="5" s="1"/>
  <c r="AF273" i="5" a="1"/>
  <c r="AF273" i="5" s="1"/>
  <c r="S273" i="5"/>
  <c r="AB273" i="5" s="1"/>
  <c r="AF257" i="5" a="1"/>
  <c r="AF257" i="5" s="1"/>
  <c r="S257" i="5"/>
  <c r="AD257" i="5" s="1"/>
  <c r="AF179" i="5" a="1"/>
  <c r="AF179" i="5" s="1"/>
  <c r="S179" i="5"/>
  <c r="AB179" i="5" s="1"/>
  <c r="AF37" i="5" a="1"/>
  <c r="AF37" i="5" s="1"/>
  <c r="S37" i="5"/>
  <c r="AD37" i="5" s="1"/>
  <c r="AF22" i="5" a="1"/>
  <c r="AF22" i="5" s="1"/>
  <c r="S22" i="5"/>
  <c r="AD22" i="5" s="1"/>
  <c r="AF414" i="5" a="1"/>
  <c r="AF414" i="5" s="1"/>
  <c r="S414" i="5"/>
  <c r="AB414" i="5" s="1"/>
  <c r="AE414" i="5" s="1" a="1"/>
  <c r="AE414" i="5" s="1"/>
  <c r="AF6" i="5" a="1"/>
  <c r="AF6" i="5" s="1"/>
  <c r="S6" i="5"/>
  <c r="AB6" i="5" s="1"/>
  <c r="AC6" i="5" s="1" a="1"/>
  <c r="AC6" i="5" s="1"/>
  <c r="AF52" i="5" a="1"/>
  <c r="AF52" i="5" s="1"/>
  <c r="S52" i="5"/>
  <c r="AD52" i="5" s="1"/>
  <c r="AF130" i="5" a="1"/>
  <c r="AF130" i="5" s="1"/>
  <c r="S130" i="5"/>
  <c r="AB130" i="5" s="1"/>
  <c r="AF417" i="5" a="1"/>
  <c r="AF417" i="5" s="1"/>
  <c r="S417" i="5"/>
  <c r="AB417" i="5" s="1"/>
  <c r="AE417" i="5" s="1" a="1"/>
  <c r="AE417" i="5" s="1"/>
  <c r="AF28" i="5" a="1"/>
  <c r="AF28" i="5" s="1"/>
  <c r="S28" i="5"/>
  <c r="AD28" i="5" s="1"/>
  <c r="AF478" i="5" a="1"/>
  <c r="AF478" i="5" s="1"/>
  <c r="S478" i="5"/>
  <c r="AB478" i="5" s="1"/>
  <c r="AF147" i="5" a="1"/>
  <c r="AF147" i="5" s="1"/>
  <c r="S147" i="5"/>
  <c r="AF74" i="5" a="1"/>
  <c r="AF74" i="5" s="1"/>
  <c r="S74" i="5"/>
  <c r="AD74" i="5" s="1"/>
  <c r="AF460" i="5" a="1"/>
  <c r="AF460" i="5" s="1"/>
  <c r="S460" i="5"/>
  <c r="AF259" i="5" a="1"/>
  <c r="AF259" i="5" s="1"/>
  <c r="S259" i="5"/>
  <c r="AD259" i="5" s="1"/>
  <c r="AF237" i="5" a="1"/>
  <c r="AF237" i="5" s="1"/>
  <c r="S237" i="5"/>
  <c r="AB237" i="5" s="1"/>
  <c r="AF173" i="5" a="1"/>
  <c r="AF173" i="5" s="1"/>
  <c r="S173" i="5"/>
  <c r="AD173" i="5" s="1"/>
  <c r="AF21" i="5" a="1"/>
  <c r="AF21" i="5" s="1"/>
  <c r="S21" i="5"/>
  <c r="AB21" i="5" s="1"/>
  <c r="AF457" i="5" a="1"/>
  <c r="AF457" i="5" s="1"/>
  <c r="S457" i="5"/>
  <c r="AB457" i="5" s="1"/>
  <c r="AF121" i="5" a="1"/>
  <c r="AF121" i="5" s="1"/>
  <c r="S121" i="5"/>
  <c r="AF319" i="5" a="1"/>
  <c r="AF319" i="5" s="1"/>
  <c r="S319" i="5"/>
  <c r="AB319" i="5" s="1"/>
  <c r="AC319" i="5" s="1" a="1"/>
  <c r="AC319" i="5" s="1"/>
  <c r="AF20" i="5" a="1"/>
  <c r="AF20" i="5" s="1"/>
  <c r="S20" i="5"/>
  <c r="AB20" i="5" s="1"/>
  <c r="AE20" i="5" s="1" a="1"/>
  <c r="AE20" i="5" s="1"/>
  <c r="AF57" i="5" a="1"/>
  <c r="AF57" i="5" s="1"/>
  <c r="S57" i="5"/>
  <c r="AD57" i="5" s="1"/>
  <c r="AF154" i="5" a="1"/>
  <c r="AF154" i="5" s="1"/>
  <c r="S154" i="5"/>
  <c r="AB154" i="5" s="1"/>
  <c r="AC154" i="5" s="1" a="1"/>
  <c r="AC154" i="5" s="1"/>
  <c r="AF96" i="5" a="1"/>
  <c r="AF96" i="5" s="1"/>
  <c r="S96" i="5"/>
  <c r="AD96" i="5" s="1"/>
  <c r="AF286" i="5" a="1"/>
  <c r="AF286" i="5" s="1"/>
  <c r="S286" i="5"/>
  <c r="AB286" i="5" s="1"/>
  <c r="AF208" i="5" a="1"/>
  <c r="AF208" i="5" s="1"/>
  <c r="S208" i="5"/>
  <c r="AF116" i="5" a="1"/>
  <c r="AF116" i="5" s="1"/>
  <c r="S116" i="5"/>
  <c r="AD116" i="5" s="1"/>
  <c r="AF26" i="5" a="1"/>
  <c r="AF26" i="5" s="1"/>
  <c r="S26" i="5"/>
  <c r="AD26" i="5" s="1"/>
  <c r="AF197" i="5" a="1"/>
  <c r="AF197" i="5" s="1"/>
  <c r="S197" i="5"/>
  <c r="AD197" i="5" s="1"/>
  <c r="AF410" i="5" a="1"/>
  <c r="AF410" i="5" s="1"/>
  <c r="S410" i="5"/>
  <c r="AB410" i="5" s="1"/>
  <c r="AF357" i="5" a="1"/>
  <c r="AF357" i="5" s="1"/>
  <c r="S357" i="5"/>
  <c r="AB357" i="5" s="1"/>
  <c r="AC357" i="5" s="1" a="1"/>
  <c r="AC357" i="5" s="1"/>
  <c r="AF480" i="5" a="1"/>
  <c r="AF480" i="5" s="1"/>
  <c r="S480" i="5"/>
  <c r="AD480" i="5" s="1"/>
  <c r="AF350" i="5" a="1"/>
  <c r="AF350" i="5" s="1"/>
  <c r="S350" i="5"/>
  <c r="AD350" i="5" s="1"/>
  <c r="AF365" i="5" a="1"/>
  <c r="AF365" i="5" s="1"/>
  <c r="S365" i="5"/>
  <c r="AD365" i="5" s="1"/>
  <c r="AF336" i="5" a="1"/>
  <c r="AF336" i="5" s="1"/>
  <c r="S336" i="5"/>
  <c r="AD336" i="5" s="1"/>
  <c r="AF418" i="5" a="1"/>
  <c r="AF418" i="5" s="1"/>
  <c r="S418" i="5"/>
  <c r="AB418" i="5" s="1"/>
  <c r="AE418" i="5" s="1" a="1"/>
  <c r="AE418" i="5" s="1"/>
  <c r="AF328" i="5" a="1"/>
  <c r="AF328" i="5" s="1"/>
  <c r="S328" i="5"/>
  <c r="AD328" i="5" s="1"/>
  <c r="AF318" i="5" a="1"/>
  <c r="AF318" i="5" s="1"/>
  <c r="S318" i="5"/>
  <c r="AD318" i="5" s="1"/>
  <c r="AF333" i="5" a="1"/>
  <c r="AF333" i="5" s="1"/>
  <c r="S333" i="5"/>
  <c r="AB333" i="5" s="1"/>
  <c r="AC333" i="5" s="1" a="1"/>
  <c r="AC333" i="5" s="1"/>
  <c r="AF61" i="5" a="1"/>
  <c r="AF61" i="5" s="1"/>
  <c r="S61" i="5"/>
  <c r="AB61" i="5" s="1"/>
  <c r="AC61" i="5" s="1" a="1"/>
  <c r="AC61" i="5" s="1"/>
  <c r="AF218" i="5" a="1"/>
  <c r="AF218" i="5" s="1"/>
  <c r="S218" i="5"/>
  <c r="AF93" i="5" a="1"/>
  <c r="AF93" i="5" s="1"/>
  <c r="S93" i="5"/>
  <c r="AF348" i="5" a="1"/>
  <c r="AF348" i="5" s="1"/>
  <c r="S348" i="5"/>
  <c r="AF33" i="5" a="1"/>
  <c r="AF33" i="5" s="1"/>
  <c r="S33" i="5"/>
  <c r="AF191" i="5" a="1"/>
  <c r="AF191" i="5" s="1"/>
  <c r="S191" i="5"/>
  <c r="AD191" i="5" s="1"/>
  <c r="AF368" i="5" a="1"/>
  <c r="AF368" i="5" s="1"/>
  <c r="S368" i="5"/>
  <c r="AD368" i="5" s="1"/>
  <c r="AF117" i="5" a="1"/>
  <c r="AF117" i="5" s="1"/>
  <c r="S117" i="5"/>
  <c r="AD117" i="5" s="1"/>
  <c r="AF470" i="5" a="1"/>
  <c r="AF470" i="5" s="1"/>
  <c r="S470" i="5"/>
  <c r="AD470" i="5" s="1"/>
  <c r="AF88" i="5" a="1"/>
  <c r="AF88" i="5" s="1"/>
  <c r="S88" i="5"/>
  <c r="AD88" i="5" s="1"/>
  <c r="AF343" i="5" a="1"/>
  <c r="AF343" i="5" s="1"/>
  <c r="S343" i="5"/>
  <c r="AF458" i="5" a="1"/>
  <c r="AF458" i="5" s="1"/>
  <c r="S458" i="5"/>
  <c r="AF445" i="5" a="1"/>
  <c r="AF445" i="5" s="1"/>
  <c r="S445" i="5"/>
  <c r="AB445" i="5" s="1"/>
  <c r="AC445" i="5" s="1" a="1"/>
  <c r="AC445" i="5" s="1"/>
  <c r="AF355" i="5" a="1"/>
  <c r="AF355" i="5" s="1"/>
  <c r="S355" i="5"/>
  <c r="AD355" i="5" s="1"/>
  <c r="AF196" i="5" a="1"/>
  <c r="AF196" i="5" s="1"/>
  <c r="S196" i="5"/>
  <c r="AD196" i="5" s="1"/>
  <c r="AF190" i="5" a="1"/>
  <c r="AF190" i="5" s="1"/>
  <c r="S190" i="5"/>
  <c r="AB190" i="5" s="1"/>
  <c r="AC190" i="5" s="1" a="1"/>
  <c r="AC190" i="5" s="1"/>
  <c r="AF406" i="5" a="1"/>
  <c r="AF406" i="5" s="1"/>
  <c r="S406" i="5"/>
  <c r="AD406" i="5" s="1"/>
  <c r="AF375" i="5" a="1"/>
  <c r="AF375" i="5" s="1"/>
  <c r="S375" i="5"/>
  <c r="AB375" i="5" s="1"/>
  <c r="AF211" i="5" a="1"/>
  <c r="AF211" i="5" s="1"/>
  <c r="S211" i="5"/>
  <c r="AB211" i="5" s="1"/>
  <c r="AF132" i="5" a="1"/>
  <c r="AF132" i="5" s="1"/>
  <c r="S132" i="5"/>
  <c r="AD132" i="5" s="1"/>
  <c r="AF236" i="5" a="1"/>
  <c r="AF236" i="5" s="1"/>
  <c r="S236" i="5"/>
  <c r="AB236" i="5" s="1"/>
  <c r="AF205" i="5" a="1"/>
  <c r="AF205" i="5" s="1"/>
  <c r="S205" i="5"/>
  <c r="AD205" i="5" s="1"/>
  <c r="AF250" i="5" a="1"/>
  <c r="AF250" i="5" s="1"/>
  <c r="S250" i="5"/>
  <c r="AF307" i="5" a="1"/>
  <c r="AF307" i="5" s="1"/>
  <c r="S307" i="5"/>
  <c r="AD307" i="5" s="1"/>
  <c r="AF161" i="5" a="1"/>
  <c r="AF161" i="5" s="1"/>
  <c r="S161" i="5"/>
  <c r="AD161" i="5" s="1"/>
  <c r="AF359" i="5" a="1"/>
  <c r="AF359" i="5" s="1"/>
  <c r="S359" i="5"/>
  <c r="AB359" i="5" s="1"/>
  <c r="AE359" i="5" s="1" a="1"/>
  <c r="AE359" i="5" s="1"/>
  <c r="AF78" i="5" a="1"/>
  <c r="AF78" i="5" s="1"/>
  <c r="S78" i="5"/>
  <c r="AF303" i="5" a="1"/>
  <c r="AF303" i="5" s="1"/>
  <c r="S303" i="5"/>
  <c r="AF289" i="5" a="1"/>
  <c r="AF289" i="5" s="1"/>
  <c r="S289" i="5"/>
  <c r="AB289" i="5" s="1"/>
  <c r="AE289" i="5" s="1" a="1"/>
  <c r="AE289" i="5" s="1"/>
  <c r="AF389" i="5" a="1"/>
  <c r="AF389" i="5" s="1"/>
  <c r="S389" i="5"/>
  <c r="AB389" i="5" s="1"/>
  <c r="AF430" i="5" a="1"/>
  <c r="AF430" i="5" s="1"/>
  <c r="S430" i="5"/>
  <c r="AD430" i="5" s="1"/>
  <c r="AF356" i="5" a="1"/>
  <c r="AF356" i="5" s="1"/>
  <c r="S356" i="5"/>
  <c r="AB356" i="5" s="1"/>
  <c r="AC356" i="5" s="1" a="1"/>
  <c r="AC356" i="5" s="1"/>
  <c r="AF209" i="5" a="1"/>
  <c r="AF209" i="5" s="1"/>
  <c r="S209" i="5"/>
  <c r="AD209" i="5" s="1"/>
  <c r="AF68" i="5" a="1"/>
  <c r="AF68" i="5" s="1"/>
  <c r="S68" i="5"/>
  <c r="AB68" i="5" s="1"/>
  <c r="AF4" i="5" a="1"/>
  <c r="AF4" i="5" s="1"/>
  <c r="S4" i="5"/>
  <c r="AB4" i="5" s="1"/>
  <c r="AF464" i="5" a="1"/>
  <c r="AF464" i="5" s="1"/>
  <c r="S464" i="5"/>
  <c r="AB464" i="5" s="1"/>
  <c r="AF126" i="5" a="1"/>
  <c r="AF126" i="5" s="1"/>
  <c r="S126" i="5"/>
  <c r="AD126" i="5" s="1"/>
  <c r="AF79" i="5" a="1"/>
  <c r="AF79" i="5" s="1"/>
  <c r="S79" i="5"/>
  <c r="AD79" i="5" s="1"/>
  <c r="AF438" i="5" a="1"/>
  <c r="AF438" i="5" s="1"/>
  <c r="S438" i="5"/>
  <c r="AB438" i="5" s="1"/>
  <c r="AF280" i="5" a="1"/>
  <c r="AF280" i="5" s="1"/>
  <c r="S280" i="5"/>
  <c r="AF188" i="5" a="1"/>
  <c r="AF188" i="5" s="1"/>
  <c r="S188" i="5"/>
  <c r="AD188" i="5" s="1"/>
  <c r="AF42" i="5" a="1"/>
  <c r="AF42" i="5" s="1"/>
  <c r="S42" i="5"/>
  <c r="AD42" i="5" s="1"/>
  <c r="AF488" i="5" a="1"/>
  <c r="AF488" i="5" s="1"/>
  <c r="S488" i="5"/>
  <c r="AB488" i="5" s="1"/>
  <c r="AC488" i="5" s="1" a="1"/>
  <c r="AC488" i="5" s="1"/>
  <c r="AF145" i="5" a="1"/>
  <c r="AF145" i="5" s="1"/>
  <c r="S145" i="5"/>
  <c r="AD145" i="5" s="1"/>
  <c r="AF25" i="5" a="1"/>
  <c r="AF25" i="5" s="1"/>
  <c r="S25" i="5"/>
  <c r="AF412" i="5" a="1"/>
  <c r="AF412" i="5" s="1"/>
  <c r="S412" i="5"/>
  <c r="AD412" i="5" s="1"/>
  <c r="AF56" i="5" a="1"/>
  <c r="AF56" i="5" s="1"/>
  <c r="S56" i="5"/>
  <c r="AB56" i="5" s="1"/>
  <c r="AC56" i="5" s="1" a="1"/>
  <c r="AC56" i="5" s="1"/>
  <c r="AF207" i="5" a="1"/>
  <c r="AF207" i="5" s="1"/>
  <c r="S207" i="5"/>
  <c r="AB207" i="5" s="1"/>
  <c r="AC207" i="5" s="1" a="1"/>
  <c r="AC207" i="5" s="1"/>
  <c r="AF232" i="5" a="1"/>
  <c r="AF232" i="5" s="1"/>
  <c r="S232" i="5"/>
  <c r="AD232" i="5" s="1"/>
  <c r="AF219" i="5" a="1"/>
  <c r="AF219" i="5" s="1"/>
  <c r="S219" i="5"/>
  <c r="AD219" i="5" s="1"/>
  <c r="AF115" i="5" a="1"/>
  <c r="AF115" i="5" s="1"/>
  <c r="S115" i="5"/>
  <c r="AB115" i="5" s="1"/>
  <c r="AC115" i="5" s="1" a="1"/>
  <c r="AC115" i="5" s="1"/>
  <c r="AF38" i="5" a="1"/>
  <c r="AF38" i="5" s="1"/>
  <c r="S38" i="5"/>
  <c r="AF281" i="5" a="1"/>
  <c r="AF281" i="5" s="1"/>
  <c r="S281" i="5"/>
  <c r="AB281" i="5" s="1"/>
  <c r="AE281" i="5" s="1" a="1"/>
  <c r="AE281" i="5" s="1"/>
  <c r="AF189" i="5" a="1"/>
  <c r="AF189" i="5" s="1"/>
  <c r="S189" i="5"/>
  <c r="AF202" i="5" a="1"/>
  <c r="AF202" i="5" s="1"/>
  <c r="S202" i="5"/>
  <c r="AF421" i="5" a="1"/>
  <c r="AF421" i="5" s="1"/>
  <c r="S421" i="5"/>
  <c r="AD421" i="5" s="1"/>
  <c r="AF394" i="5" a="1"/>
  <c r="AF394" i="5" s="1"/>
  <c r="S394" i="5"/>
  <c r="AD394" i="5" s="1"/>
  <c r="AF9" i="5" a="1"/>
  <c r="AF9" i="5" s="1"/>
  <c r="S9" i="5"/>
  <c r="AD9" i="5" s="1"/>
  <c r="AF94" i="5" a="1"/>
  <c r="AF94" i="5" s="1"/>
  <c r="S94" i="5"/>
  <c r="AF301" i="5" a="1"/>
  <c r="AF301" i="5" s="1"/>
  <c r="S301" i="5"/>
  <c r="AB301" i="5" s="1"/>
  <c r="AF81" i="5" a="1"/>
  <c r="AF81" i="5" s="1"/>
  <c r="S81" i="5"/>
  <c r="AD81" i="5" s="1"/>
  <c r="AF175" i="5" a="1"/>
  <c r="AF175" i="5" s="1"/>
  <c r="S175" i="5"/>
  <c r="AD175" i="5" s="1"/>
  <c r="AF347" i="5" a="1"/>
  <c r="AF347" i="5" s="1"/>
  <c r="S347" i="5"/>
  <c r="AF338" i="5" a="1"/>
  <c r="AF338" i="5" s="1"/>
  <c r="S338" i="5"/>
  <c r="AB338" i="5" s="1"/>
  <c r="AC338" i="5" s="1" a="1"/>
  <c r="AC338" i="5" s="1"/>
  <c r="AF30" i="5" a="1"/>
  <c r="AF30" i="5" s="1"/>
  <c r="S30" i="5"/>
  <c r="AF90" i="5" a="1"/>
  <c r="AF90" i="5" s="1"/>
  <c r="S90" i="5"/>
  <c r="AD90" i="5" s="1"/>
  <c r="AF451" i="5" a="1"/>
  <c r="AF451" i="5" s="1"/>
  <c r="S451" i="5"/>
  <c r="AB451" i="5" s="1"/>
  <c r="AC451" i="5" s="1" a="1"/>
  <c r="AC451" i="5" s="1"/>
  <c r="AF315" i="5" a="1"/>
  <c r="AF315" i="5" s="1"/>
  <c r="S315" i="5"/>
  <c r="AF490" i="5" a="1"/>
  <c r="AF490" i="5" s="1"/>
  <c r="S490" i="5"/>
  <c r="AD490" i="5" s="1"/>
  <c r="AF17" i="5" a="1"/>
  <c r="AF17" i="5" s="1"/>
  <c r="S17" i="5"/>
  <c r="AD17" i="5" s="1"/>
  <c r="AF472" i="5" a="1"/>
  <c r="AF472" i="5" s="1"/>
  <c r="S472" i="5"/>
  <c r="AB472" i="5" s="1"/>
  <c r="AC472" i="5" s="1" a="1"/>
  <c r="AC472" i="5" s="1"/>
  <c r="AF459" i="5" a="1"/>
  <c r="AF459" i="5" s="1"/>
  <c r="S459" i="5"/>
  <c r="AD459" i="5" s="1"/>
  <c r="AF183" i="5" a="1"/>
  <c r="AF183" i="5" s="1"/>
  <c r="S183" i="5"/>
  <c r="AD183" i="5" s="1"/>
  <c r="AF169" i="5" a="1"/>
  <c r="AF169" i="5" s="1"/>
  <c r="S169" i="5"/>
  <c r="AD169" i="5" s="1"/>
  <c r="AF204" i="5" a="1"/>
  <c r="AF204" i="5" s="1"/>
  <c r="S204" i="5"/>
  <c r="AD204" i="5" s="1"/>
  <c r="AF261" i="5" a="1"/>
  <c r="AF261" i="5" s="1"/>
  <c r="S261" i="5"/>
  <c r="AF242" i="5" a="1"/>
  <c r="AF242" i="5" s="1"/>
  <c r="S242" i="5"/>
  <c r="AB242" i="5" s="1"/>
  <c r="AC242" i="5" s="1" a="1"/>
  <c r="AC242" i="5" s="1"/>
  <c r="AF203" i="5" a="1"/>
  <c r="AF203" i="5" s="1"/>
  <c r="S203" i="5"/>
  <c r="AD203" i="5" s="1"/>
  <c r="AF180" i="5" a="1"/>
  <c r="AF180" i="5" s="1"/>
  <c r="S180" i="5"/>
  <c r="AD180" i="5" s="1"/>
  <c r="AF277" i="5" a="1"/>
  <c r="AF277" i="5" s="1"/>
  <c r="S277" i="5"/>
  <c r="AD277" i="5" s="1"/>
  <c r="AF260" i="5" a="1"/>
  <c r="AF260" i="5" s="1"/>
  <c r="S260" i="5"/>
  <c r="AD260" i="5" s="1"/>
  <c r="AF295" i="5" a="1"/>
  <c r="AF295" i="5" s="1"/>
  <c r="S295" i="5"/>
  <c r="AB295" i="5" s="1"/>
  <c r="AE295" i="5" s="1" a="1"/>
  <c r="AE295" i="5" s="1"/>
  <c r="AF469" i="5" a="1"/>
  <c r="AF469" i="5" s="1"/>
  <c r="S469" i="5"/>
  <c r="AD469" i="5" s="1"/>
  <c r="AF124" i="5" a="1"/>
  <c r="AF124" i="5" s="1"/>
  <c r="S124" i="5"/>
  <c r="AF13" i="5" a="1"/>
  <c r="AF13" i="5" s="1"/>
  <c r="S13" i="5"/>
  <c r="AB13" i="5" s="1"/>
  <c r="AC13" i="5" s="1" a="1"/>
  <c r="AC13" i="5" s="1"/>
  <c r="AF449" i="5" a="1"/>
  <c r="AF449" i="5" s="1"/>
  <c r="S449" i="5"/>
  <c r="AB449" i="5" s="1"/>
  <c r="AF334" i="5" a="1"/>
  <c r="AF334" i="5" s="1"/>
  <c r="S334" i="5"/>
  <c r="AD334" i="5" s="1"/>
  <c r="AF265" i="5" a="1"/>
  <c r="AF265" i="5" s="1"/>
  <c r="S265" i="5"/>
  <c r="AD265" i="5" s="1"/>
  <c r="AF275" i="5" a="1"/>
  <c r="AF275" i="5" s="1"/>
  <c r="S275" i="5"/>
  <c r="AB275" i="5" s="1"/>
  <c r="AE275" i="5" s="1" a="1"/>
  <c r="AE275" i="5" s="1"/>
  <c r="AF420" i="5" a="1"/>
  <c r="AF420" i="5" s="1"/>
  <c r="S420" i="5"/>
  <c r="AB420" i="5" s="1"/>
  <c r="AF2" i="5" a="1"/>
  <c r="AF2" i="5" s="1"/>
  <c r="S2" i="5"/>
  <c r="AD2" i="5" s="1"/>
  <c r="AF395" i="5" a="1"/>
  <c r="AF395" i="5" s="1"/>
  <c r="S395" i="5"/>
  <c r="AB395" i="5" s="1"/>
  <c r="AF299" i="5" a="1"/>
  <c r="AF299" i="5" s="1"/>
  <c r="S299" i="5"/>
  <c r="AD299" i="5" s="1"/>
  <c r="AF380" i="5" a="1"/>
  <c r="AF380" i="5" s="1"/>
  <c r="S380" i="5"/>
  <c r="AD380" i="5" s="1"/>
  <c r="AF193" i="5" a="1"/>
  <c r="AF193" i="5" s="1"/>
  <c r="S193" i="5"/>
  <c r="AD193" i="5" s="1"/>
  <c r="AF316" i="5" a="1"/>
  <c r="AF316" i="5" s="1"/>
  <c r="S316" i="5"/>
  <c r="AD316" i="5" s="1"/>
  <c r="AF486" i="5" a="1"/>
  <c r="AF486" i="5" s="1"/>
  <c r="S486" i="5"/>
  <c r="AD486" i="5" s="1"/>
  <c r="AF376" i="5" a="1"/>
  <c r="AF376" i="5" s="1"/>
  <c r="S376" i="5"/>
  <c r="AB376" i="5" s="1"/>
  <c r="AE376" i="5" s="1" a="1"/>
  <c r="AE376" i="5" s="1"/>
  <c r="AF133" i="5" a="1"/>
  <c r="AF133" i="5" s="1"/>
  <c r="S133" i="5"/>
  <c r="AB133" i="5" s="1"/>
  <c r="AC133" i="5" s="1" a="1"/>
  <c r="AC133" i="5" s="1"/>
  <c r="AF402" i="5" a="1"/>
  <c r="AF402" i="5" s="1"/>
  <c r="S402" i="5"/>
  <c r="AD402" i="5" s="1"/>
  <c r="AF344" i="5" a="1"/>
  <c r="AF344" i="5" s="1"/>
  <c r="S344" i="5"/>
  <c r="AB344" i="5" s="1"/>
  <c r="AC344" i="5" s="1" a="1"/>
  <c r="AC344" i="5" s="1"/>
  <c r="AF50" i="5" a="1"/>
  <c r="AF50" i="5" s="1"/>
  <c r="S50" i="5"/>
  <c r="AD50" i="5" s="1"/>
  <c r="AF171" i="5" a="1"/>
  <c r="AF171" i="5" s="1"/>
  <c r="S171" i="5"/>
  <c r="AD171" i="5" s="1"/>
  <c r="AF283" i="5" a="1"/>
  <c r="AF283" i="5" s="1"/>
  <c r="S283" i="5"/>
  <c r="AB283" i="5" s="1"/>
  <c r="AC283" i="5" s="1" a="1"/>
  <c r="AC283" i="5" s="1"/>
  <c r="AF330" i="5" a="1"/>
  <c r="AF330" i="5" s="1"/>
  <c r="S330" i="5"/>
  <c r="AD330" i="5" s="1"/>
  <c r="AF496" i="5" a="1"/>
  <c r="AF496" i="5" s="1"/>
  <c r="S496" i="5"/>
  <c r="AF483" i="5" a="1"/>
  <c r="AF483" i="5" s="1"/>
  <c r="S483" i="5"/>
  <c r="AD483" i="5" s="1"/>
  <c r="AF127" i="5" a="1"/>
  <c r="AF127" i="5" s="1"/>
  <c r="S127" i="5"/>
  <c r="AB127" i="5" s="1"/>
  <c r="AF12" i="5" a="1"/>
  <c r="AF12" i="5" s="1"/>
  <c r="S12" i="5"/>
  <c r="AB12" i="5" s="1"/>
  <c r="AF321" i="5" a="1"/>
  <c r="AF321" i="5" s="1"/>
  <c r="S321" i="5"/>
  <c r="AD321" i="5" s="1"/>
  <c r="AF43" i="5" a="1"/>
  <c r="AF43" i="5" s="1"/>
  <c r="S43" i="5"/>
  <c r="AD43" i="5" s="1"/>
  <c r="AF105" i="5" a="1"/>
  <c r="AF105" i="5" s="1"/>
  <c r="S105" i="5"/>
  <c r="AD105" i="5" s="1"/>
  <c r="AF8" i="5" a="1"/>
  <c r="AF8" i="5" s="1"/>
  <c r="S8" i="5"/>
  <c r="AD8" i="5" s="1"/>
  <c r="AF485" i="5" a="1"/>
  <c r="AF485" i="5" s="1"/>
  <c r="S485" i="5"/>
  <c r="AD485" i="5" s="1"/>
  <c r="AF200" i="5" a="1"/>
  <c r="AF200" i="5" s="1"/>
  <c r="S200" i="5"/>
  <c r="AD200" i="5" s="1"/>
  <c r="AF89" i="5" a="1"/>
  <c r="AF89" i="5" s="1"/>
  <c r="S89" i="5"/>
  <c r="AD89" i="5" s="1"/>
  <c r="AF442" i="5" a="1"/>
  <c r="AF442" i="5" s="1"/>
  <c r="S442" i="5"/>
  <c r="AD442" i="5" s="1"/>
  <c r="AF91" i="5" a="1"/>
  <c r="AF91" i="5" s="1"/>
  <c r="S91" i="5"/>
  <c r="AD91" i="5" s="1"/>
  <c r="AF482" i="5" a="1"/>
  <c r="AF482" i="5" s="1"/>
  <c r="S482" i="5"/>
  <c r="AD482" i="5" s="1"/>
  <c r="AF329" i="5" a="1"/>
  <c r="AF329" i="5" s="1"/>
  <c r="S329" i="5"/>
  <c r="AB329" i="5" s="1"/>
  <c r="AF240" i="5" a="1"/>
  <c r="AF240" i="5" s="1"/>
  <c r="S240" i="5"/>
  <c r="AD240" i="5" s="1"/>
  <c r="AF118" i="5" a="1"/>
  <c r="AF118" i="5" s="1"/>
  <c r="S118" i="5"/>
  <c r="AD118" i="5" s="1"/>
  <c r="AF425" i="5" a="1"/>
  <c r="AF425" i="5" s="1"/>
  <c r="S425" i="5"/>
  <c r="AD425" i="5" s="1"/>
  <c r="AF53" i="5" a="1"/>
  <c r="AF53" i="5" s="1"/>
  <c r="S53" i="5"/>
  <c r="AB53" i="5" s="1"/>
  <c r="AE53" i="5" s="1" a="1"/>
  <c r="AE53" i="5" s="1"/>
  <c r="AF432" i="5" a="1"/>
  <c r="AF432" i="5" s="1"/>
  <c r="S432" i="5"/>
  <c r="AD432" i="5" s="1"/>
  <c r="AF106" i="5" a="1"/>
  <c r="AF106" i="5" s="1"/>
  <c r="S106" i="5"/>
  <c r="AB106" i="5" s="1"/>
  <c r="AF198" i="5" a="1"/>
  <c r="AF198" i="5" s="1"/>
  <c r="S198" i="5"/>
  <c r="AD198" i="5" s="1"/>
  <c r="AF129" i="5" a="1"/>
  <c r="AF129" i="5" s="1"/>
  <c r="S129" i="5"/>
  <c r="AD129" i="5" s="1"/>
  <c r="AF322" i="5" a="1"/>
  <c r="AF322" i="5" s="1"/>
  <c r="S322" i="5"/>
  <c r="AB322" i="5" s="1"/>
  <c r="AC322" i="5" s="1" a="1"/>
  <c r="AC322" i="5" s="1"/>
  <c r="AF230" i="5" a="1"/>
  <c r="AF230" i="5" s="1"/>
  <c r="S230" i="5"/>
  <c r="AD230" i="5" s="1"/>
  <c r="AF58" i="5" a="1"/>
  <c r="AF58" i="5" s="1"/>
  <c r="S58" i="5"/>
  <c r="AF35" i="5" a="1"/>
  <c r="AF35" i="5" s="1"/>
  <c r="S35" i="5"/>
  <c r="AB35" i="5" s="1"/>
  <c r="AF63" i="5" a="1"/>
  <c r="AF63" i="5" s="1"/>
  <c r="S63" i="5"/>
  <c r="AD63" i="5" s="1"/>
  <c r="AF256" i="5" a="1"/>
  <c r="AF256" i="5" s="1"/>
  <c r="S256" i="5"/>
  <c r="AF143" i="5" a="1"/>
  <c r="AF143" i="5" s="1"/>
  <c r="S143" i="5"/>
  <c r="AD143" i="5" s="1"/>
  <c r="AF364" i="5" a="1"/>
  <c r="AF364" i="5" s="1"/>
  <c r="S364" i="5"/>
  <c r="AB364" i="5" s="1"/>
  <c r="AF148" i="5" a="1"/>
  <c r="AF148" i="5" s="1"/>
  <c r="S148" i="5"/>
  <c r="AF248" i="5" a="1"/>
  <c r="AF248" i="5" s="1"/>
  <c r="S248" i="5"/>
  <c r="AF131" i="5" a="1"/>
  <c r="AF131" i="5" s="1"/>
  <c r="S131" i="5"/>
  <c r="AB131" i="5" s="1"/>
  <c r="AF139" i="5" a="1"/>
  <c r="AF139" i="5" s="1"/>
  <c r="S139" i="5"/>
  <c r="AD139" i="5" s="1"/>
  <c r="AF387" i="5" a="1"/>
  <c r="AF387" i="5" s="1"/>
  <c r="S387" i="5"/>
  <c r="AB387" i="5" s="1"/>
  <c r="AC387" i="5" s="1" a="1"/>
  <c r="AC387" i="5" s="1"/>
  <c r="AF14" i="5" a="1"/>
  <c r="AF14" i="5" s="1"/>
  <c r="S14" i="5"/>
  <c r="AD14" i="5" s="1"/>
  <c r="AF5" i="5" a="1"/>
  <c r="AF5" i="5" s="1"/>
  <c r="S5" i="5"/>
  <c r="AB5" i="5" s="1"/>
  <c r="AC5" i="5" s="1" a="1"/>
  <c r="AC5" i="5" s="1"/>
  <c r="AF136" i="5" a="1"/>
  <c r="AF136" i="5" s="1"/>
  <c r="S136" i="5"/>
  <c r="AD136" i="5" s="1"/>
  <c r="AF206" i="5" a="1"/>
  <c r="AF206" i="5" s="1"/>
  <c r="S206" i="5"/>
  <c r="AD206" i="5" s="1"/>
  <c r="AF407" i="5" a="1"/>
  <c r="AF407" i="5" s="1"/>
  <c r="S407" i="5"/>
  <c r="AB407" i="5" s="1"/>
  <c r="AE407" i="5" s="1" a="1"/>
  <c r="AE407" i="5" s="1"/>
  <c r="AF137" i="5" a="1"/>
  <c r="AF137" i="5" s="1"/>
  <c r="S137" i="5"/>
  <c r="AD137" i="5" s="1"/>
  <c r="AF494" i="5" a="1"/>
  <c r="AF494" i="5" s="1"/>
  <c r="S494" i="5"/>
  <c r="AD494" i="5" s="1"/>
  <c r="AF199" i="5" a="1"/>
  <c r="AF199" i="5" s="1"/>
  <c r="S199" i="5"/>
  <c r="AB199" i="5" s="1"/>
  <c r="AC199" i="5" s="1" a="1"/>
  <c r="AC199" i="5" s="1"/>
  <c r="AF34" i="5" a="1"/>
  <c r="AF34" i="5" s="1"/>
  <c r="S34" i="5"/>
  <c r="AF312" i="5" a="1"/>
  <c r="AF312" i="5" s="1"/>
  <c r="S312" i="5"/>
  <c r="AB312" i="5" s="1"/>
  <c r="AF298" i="5" a="1"/>
  <c r="AF298" i="5" s="1"/>
  <c r="S298" i="5"/>
  <c r="AB298" i="5" s="1"/>
  <c r="AF360" i="5" a="1"/>
  <c r="AF360" i="5" s="1"/>
  <c r="S360" i="5"/>
  <c r="AB360" i="5" s="1"/>
  <c r="AF228" i="5" a="1"/>
  <c r="AF228" i="5" s="1"/>
  <c r="S228" i="5"/>
  <c r="AB228" i="5" s="1"/>
  <c r="AF99" i="5" a="1"/>
  <c r="AF99" i="5" s="1"/>
  <c r="S99" i="5"/>
  <c r="AB99" i="5" s="1"/>
  <c r="AC99" i="5" s="1" a="1"/>
  <c r="AC99" i="5" s="1"/>
  <c r="AF134" i="5" a="1"/>
  <c r="AF134" i="5" s="1"/>
  <c r="S134" i="5"/>
  <c r="AB134" i="5" s="1"/>
  <c r="AF135" i="5" a="1"/>
  <c r="AF135" i="5" s="1"/>
  <c r="S135" i="5"/>
  <c r="AB135" i="5" s="1"/>
  <c r="AF345" i="5" a="1"/>
  <c r="AF345" i="5" s="1"/>
  <c r="S345" i="5"/>
  <c r="AD345" i="5" s="1"/>
  <c r="AF498" i="5" a="1"/>
  <c r="AF498" i="5" s="1"/>
  <c r="S498" i="5"/>
  <c r="AD498" i="5" s="1"/>
  <c r="AF177" i="5" a="1"/>
  <c r="AF177" i="5" s="1"/>
  <c r="S177" i="5"/>
  <c r="AF358" i="5" a="1"/>
  <c r="AF358" i="5" s="1"/>
  <c r="S358" i="5"/>
  <c r="AD358" i="5" s="1"/>
  <c r="AF69" i="5" a="1"/>
  <c r="AF69" i="5" s="1"/>
  <c r="S69" i="5"/>
  <c r="AD69" i="5" s="1"/>
  <c r="AF463" i="5" a="1"/>
  <c r="AF463" i="5" s="1"/>
  <c r="S463" i="5"/>
  <c r="AB463" i="5" s="1"/>
  <c r="AC463" i="5" s="1" a="1"/>
  <c r="AC463" i="5" s="1"/>
  <c r="AF45" i="5" a="1"/>
  <c r="AF45" i="5" s="1"/>
  <c r="S45" i="5"/>
  <c r="AD45" i="5" s="1"/>
  <c r="AF95" i="5" a="1"/>
  <c r="AF95" i="5" s="1"/>
  <c r="S95" i="5"/>
  <c r="AD95" i="5" s="1"/>
  <c r="AF51" i="5" a="1"/>
  <c r="AF51" i="5" s="1"/>
  <c r="S51" i="5"/>
  <c r="AD51" i="5" s="1"/>
  <c r="AF104" i="5" a="1"/>
  <c r="AF104" i="5" s="1"/>
  <c r="S104" i="5"/>
  <c r="AD104" i="5" s="1"/>
  <c r="AF373" i="5" a="1"/>
  <c r="AF373" i="5" s="1"/>
  <c r="S373" i="5"/>
  <c r="AB373" i="5" s="1"/>
  <c r="AF372" i="5" a="1"/>
  <c r="AF372" i="5" s="1"/>
  <c r="S372" i="5"/>
  <c r="AB372" i="5" s="1"/>
  <c r="AE372" i="5" s="1" a="1"/>
  <c r="AE372" i="5" s="1"/>
  <c r="AF23" i="5" a="1"/>
  <c r="AF23" i="5" s="1"/>
  <c r="S23" i="5"/>
  <c r="AD23" i="5" s="1"/>
  <c r="AF83" i="5" a="1"/>
  <c r="AF83" i="5" s="1"/>
  <c r="S83" i="5"/>
  <c r="AD83" i="5" s="1"/>
  <c r="AF361" i="5" a="1"/>
  <c r="AF361" i="5" s="1"/>
  <c r="S361" i="5"/>
  <c r="AB361" i="5" s="1"/>
  <c r="AE361" i="5" s="1" a="1"/>
  <c r="AE361" i="5" s="1"/>
  <c r="AF142" i="5" a="1"/>
  <c r="AF142" i="5" s="1"/>
  <c r="S142" i="5"/>
  <c r="AD142" i="5" s="1"/>
  <c r="AF72" i="5" a="1"/>
  <c r="AF72" i="5" s="1"/>
  <c r="S72" i="5"/>
  <c r="AB72" i="5" s="1"/>
  <c r="AF409" i="5" a="1"/>
  <c r="AF409" i="5" s="1"/>
  <c r="S409" i="5"/>
  <c r="AB409" i="5" s="1"/>
  <c r="AF448" i="5" a="1"/>
  <c r="AF448" i="5" s="1"/>
  <c r="S448" i="5"/>
  <c r="AB448" i="5" s="1"/>
  <c r="AF235" i="5" a="1"/>
  <c r="AF235" i="5" s="1"/>
  <c r="S235" i="5"/>
  <c r="AB235" i="5" s="1"/>
  <c r="AC235" i="5" s="1" a="1"/>
  <c r="AC235" i="5" s="1"/>
  <c r="AF419" i="5" a="1"/>
  <c r="AF419" i="5" s="1"/>
  <c r="S419" i="5"/>
  <c r="AD419" i="5" s="1"/>
  <c r="AF101" i="5" a="1"/>
  <c r="AF101" i="5" s="1"/>
  <c r="S101" i="5"/>
  <c r="AF441" i="5" a="1"/>
  <c r="AF441" i="5" s="1"/>
  <c r="S441" i="5"/>
  <c r="AD441" i="5" s="1"/>
  <c r="AF201" i="5" a="1"/>
  <c r="AF201" i="5" s="1"/>
  <c r="S201" i="5"/>
  <c r="AD201" i="5" s="1"/>
  <c r="AF251" i="5" a="1"/>
  <c r="AF251" i="5" s="1"/>
  <c r="S251" i="5"/>
  <c r="AF162" i="5" a="1"/>
  <c r="AF162" i="5" s="1"/>
  <c r="S162" i="5"/>
  <c r="AD162" i="5" s="1"/>
  <c r="AF19" i="5" a="1"/>
  <c r="AF19" i="5" s="1"/>
  <c r="S19" i="5"/>
  <c r="AD19" i="5" s="1"/>
  <c r="AF186" i="5" a="1"/>
  <c r="AF186" i="5" s="1"/>
  <c r="S186" i="5"/>
  <c r="AF313" i="5" a="1"/>
  <c r="AF313" i="5" s="1"/>
  <c r="S313" i="5"/>
  <c r="AF450" i="5" a="1"/>
  <c r="AF450" i="5" s="1"/>
  <c r="S450" i="5"/>
  <c r="AD450" i="5" s="1"/>
  <c r="AF434" i="5" a="1"/>
  <c r="AF434" i="5" s="1"/>
  <c r="S434" i="5"/>
  <c r="AD434" i="5" s="1"/>
  <c r="AF150" i="5" a="1"/>
  <c r="AF150" i="5" s="1"/>
  <c r="S150" i="5"/>
  <c r="AB150" i="5" s="1"/>
  <c r="AC150" i="5" s="1" a="1"/>
  <c r="AC150" i="5" s="1"/>
  <c r="AF227" i="5" a="1"/>
  <c r="AF227" i="5" s="1"/>
  <c r="S227" i="5"/>
  <c r="AD227" i="5" s="1"/>
  <c r="AF411" i="5" a="1"/>
  <c r="AF411" i="5" s="1"/>
  <c r="S411" i="5"/>
  <c r="AB411" i="5" s="1"/>
  <c r="AC411" i="5" s="1" a="1"/>
  <c r="AC411" i="5" s="1"/>
  <c r="AF168" i="5" a="1"/>
  <c r="AF168" i="5" s="1"/>
  <c r="S168" i="5"/>
  <c r="AD168" i="5" s="1"/>
  <c r="AF300" i="5" a="1"/>
  <c r="AF300" i="5" s="1"/>
  <c r="S300" i="5"/>
  <c r="AD300" i="5" s="1"/>
  <c r="AF381" i="5" a="1"/>
  <c r="AF381" i="5" s="1"/>
  <c r="S381" i="5"/>
  <c r="AB381" i="5" s="1"/>
  <c r="AE381" i="5" s="1" a="1"/>
  <c r="AE381" i="5" s="1"/>
  <c r="AF429" i="5" a="1"/>
  <c r="AF429" i="5" s="1"/>
  <c r="S429" i="5"/>
  <c r="AD429" i="5" s="1"/>
  <c r="AF215" i="5" a="1"/>
  <c r="AF215" i="5" s="1"/>
  <c r="S215" i="5"/>
  <c r="AD215" i="5" s="1"/>
  <c r="AF249" i="5" a="1"/>
  <c r="AF249" i="5" s="1"/>
  <c r="S249" i="5"/>
  <c r="AB249" i="5" s="1"/>
  <c r="AC249" i="5" s="1" a="1"/>
  <c r="AC249" i="5" s="1"/>
  <c r="AF153" i="5" a="1"/>
  <c r="AF153" i="5" s="1"/>
  <c r="S153" i="5"/>
  <c r="AF184" i="5" a="1"/>
  <c r="AF184" i="5" s="1"/>
  <c r="S184" i="5"/>
  <c r="AD184" i="5" s="1"/>
  <c r="AF374" i="5" a="1"/>
  <c r="AF374" i="5" s="1"/>
  <c r="S374" i="5"/>
  <c r="AD374" i="5" s="1"/>
  <c r="AF194" i="5" a="1"/>
  <c r="AF194" i="5" s="1"/>
  <c r="S194" i="5"/>
  <c r="AB194" i="5" s="1"/>
  <c r="AF340" i="5" a="1"/>
  <c r="AF340" i="5" s="1"/>
  <c r="S340" i="5"/>
  <c r="AB340" i="5" s="1"/>
  <c r="AF159" i="5" a="1"/>
  <c r="AF159" i="5" s="1"/>
  <c r="S159" i="5"/>
  <c r="AB159" i="5" s="1"/>
  <c r="AC159" i="5" s="1" a="1"/>
  <c r="AC159" i="5" s="1"/>
  <c r="AF384" i="5" a="1"/>
  <c r="AF384" i="5" s="1"/>
  <c r="S384" i="5"/>
  <c r="AD384" i="5" s="1"/>
  <c r="AF427" i="5" a="1"/>
  <c r="AF427" i="5" s="1"/>
  <c r="S427" i="5"/>
  <c r="AB427" i="5" s="1"/>
  <c r="AC427" i="5" s="1" a="1"/>
  <c r="AC427" i="5" s="1"/>
  <c r="AF67" i="5" a="1"/>
  <c r="AF67" i="5" s="1"/>
  <c r="S67" i="5"/>
  <c r="AD67" i="5" s="1"/>
  <c r="AF476" i="5" a="1"/>
  <c r="AF476" i="5" s="1"/>
  <c r="S476" i="5"/>
  <c r="AD476" i="5" s="1"/>
  <c r="AF288" i="5" a="1"/>
  <c r="AF288" i="5" s="1"/>
  <c r="S288" i="5"/>
  <c r="AD288" i="5" s="1"/>
  <c r="AF292" i="5" a="1"/>
  <c r="AF292" i="5" s="1"/>
  <c r="S292" i="5"/>
  <c r="AD292" i="5" s="1"/>
  <c r="AF92" i="5" a="1"/>
  <c r="AF92" i="5" s="1"/>
  <c r="S92" i="5"/>
  <c r="AD92" i="5" s="1"/>
  <c r="AF178" i="5" a="1"/>
  <c r="AF178" i="5" s="1"/>
  <c r="S178" i="5"/>
  <c r="AD178" i="5" s="1"/>
  <c r="AF440" i="5" a="1"/>
  <c r="AF440" i="5" s="1"/>
  <c r="S440" i="5"/>
  <c r="AB440" i="5" s="1"/>
  <c r="AE440" i="5" s="1" a="1"/>
  <c r="AE440" i="5" s="1"/>
  <c r="AF399" i="5" a="1"/>
  <c r="AF399" i="5" s="1"/>
  <c r="S399" i="5"/>
  <c r="AD399" i="5" s="1"/>
  <c r="AF80" i="5" a="1"/>
  <c r="AF80" i="5" s="1"/>
  <c r="S80" i="5"/>
  <c r="AD80" i="5" s="1"/>
  <c r="AF254" i="5" a="1"/>
  <c r="AF254" i="5" s="1"/>
  <c r="S254" i="5"/>
  <c r="AD254" i="5" s="1"/>
  <c r="AF341" i="5" a="1"/>
  <c r="AF341" i="5" s="1"/>
  <c r="S341" i="5"/>
  <c r="AF413" i="5" a="1"/>
  <c r="AF413" i="5" s="1"/>
  <c r="S413" i="5"/>
  <c r="AB413" i="5" s="1"/>
  <c r="AE413" i="5" s="1" a="1"/>
  <c r="AE413" i="5" s="1"/>
  <c r="AF125" i="5" a="1"/>
  <c r="AF125" i="5" s="1"/>
  <c r="S125" i="5"/>
  <c r="AD125" i="5" s="1"/>
  <c r="AF185" i="5" a="1"/>
  <c r="AF185" i="5" s="1"/>
  <c r="S185" i="5"/>
  <c r="AD185" i="5" s="1"/>
  <c r="AF40" i="5" a="1"/>
  <c r="AF40" i="5" s="1"/>
  <c r="S40" i="5"/>
  <c r="AD40" i="5" s="1"/>
  <c r="AF371" i="5" a="1"/>
  <c r="AF371" i="5" s="1"/>
  <c r="S371" i="5"/>
  <c r="AD371" i="5" s="1"/>
  <c r="AF436" i="5" a="1"/>
  <c r="AF436" i="5" s="1"/>
  <c r="S436" i="5"/>
  <c r="AB436" i="5" s="1"/>
  <c r="AF110" i="5" a="1"/>
  <c r="AF110" i="5" s="1"/>
  <c r="S110" i="5"/>
  <c r="AD110" i="5" s="1"/>
  <c r="AF220" i="5" a="1"/>
  <c r="AF220" i="5" s="1"/>
  <c r="S220" i="5"/>
  <c r="AF306" i="5" a="1"/>
  <c r="AF306" i="5" s="1"/>
  <c r="S306" i="5"/>
  <c r="AB306" i="5" s="1"/>
  <c r="AC306" i="5" s="1" a="1"/>
  <c r="AC306" i="5" s="1"/>
  <c r="AF225" i="5" a="1"/>
  <c r="AF225" i="5" s="1"/>
  <c r="S225" i="5"/>
  <c r="AD225" i="5" s="1"/>
  <c r="AF279" i="5" a="1"/>
  <c r="AF279" i="5" s="1"/>
  <c r="S279" i="5"/>
  <c r="AF397" i="5" a="1"/>
  <c r="AF397" i="5" s="1"/>
  <c r="S397" i="5"/>
  <c r="AD397" i="5" s="1"/>
  <c r="AF140" i="5" a="1"/>
  <c r="AF140" i="5" s="1"/>
  <c r="S140" i="5"/>
  <c r="AD140" i="5" s="1"/>
  <c r="AF500" i="5" a="1"/>
  <c r="AF500" i="5" s="1"/>
  <c r="S500" i="5"/>
  <c r="AF255" i="5" a="1"/>
  <c r="AF255" i="5" s="1"/>
  <c r="S255" i="5"/>
  <c r="AD255" i="5" s="1"/>
  <c r="AF39" i="5" a="1"/>
  <c r="AF39" i="5" s="1"/>
  <c r="S39" i="5"/>
  <c r="AD39" i="5" s="1"/>
  <c r="AF294" i="5" a="1"/>
  <c r="AF294" i="5" s="1"/>
  <c r="S294" i="5"/>
  <c r="AF165" i="5" a="1"/>
  <c r="AF165" i="5" s="1"/>
  <c r="S165" i="5"/>
  <c r="AF160" i="5" a="1"/>
  <c r="AF160" i="5" s="1"/>
  <c r="S160" i="5"/>
  <c r="AD160" i="5" s="1"/>
  <c r="AF471" i="5" a="1"/>
  <c r="AF471" i="5" s="1"/>
  <c r="S471" i="5"/>
  <c r="AF392" i="5" a="1"/>
  <c r="AF392" i="5" s="1"/>
  <c r="S392" i="5"/>
  <c r="AB392" i="5" s="1"/>
  <c r="AC392" i="5" s="1" a="1"/>
  <c r="AC392" i="5" s="1"/>
  <c r="AF270" i="5" a="1"/>
  <c r="AF270" i="5" s="1"/>
  <c r="S270" i="5"/>
  <c r="AD270" i="5" s="1"/>
  <c r="AF239" i="5" a="1"/>
  <c r="AF239" i="5" s="1"/>
  <c r="S239" i="5"/>
  <c r="AB239" i="5" s="1"/>
  <c r="AC239" i="5" s="1" a="1"/>
  <c r="AC239" i="5" s="1"/>
  <c r="AF244" i="5" a="1"/>
  <c r="AF244" i="5" s="1"/>
  <c r="S244" i="5"/>
  <c r="AD244" i="5" s="1"/>
  <c r="AF32" i="5" a="1"/>
  <c r="AF32" i="5" s="1"/>
  <c r="S32" i="5"/>
  <c r="AD32" i="5" s="1"/>
  <c r="AF317" i="5" a="1"/>
  <c r="AF317" i="5" s="1"/>
  <c r="S317" i="5"/>
  <c r="AB317" i="5" s="1"/>
  <c r="AE317" i="5" s="1" a="1"/>
  <c r="AE317" i="5" s="1"/>
  <c r="AF181" i="5" a="1"/>
  <c r="AF181" i="5" s="1"/>
  <c r="S181" i="5"/>
  <c r="AD181" i="5" s="1"/>
  <c r="AF65" i="5" a="1"/>
  <c r="AF65" i="5" s="1"/>
  <c r="S65" i="5"/>
  <c r="AF231" i="5" a="1"/>
  <c r="AF231" i="5" s="1"/>
  <c r="S231" i="5"/>
  <c r="AB231" i="5" s="1"/>
  <c r="AC231" i="5" s="1" a="1"/>
  <c r="AC231" i="5" s="1"/>
  <c r="AF391" i="5" a="1"/>
  <c r="AF391" i="5" s="1"/>
  <c r="S391" i="5"/>
  <c r="AB391" i="5" s="1"/>
  <c r="AF462" i="5" a="1"/>
  <c r="AF462" i="5" s="1"/>
  <c r="S462" i="5"/>
  <c r="AF76" i="5" a="1"/>
  <c r="AF76" i="5" s="1"/>
  <c r="S76" i="5"/>
  <c r="AF342" i="5" a="1"/>
  <c r="AF342" i="5" s="1"/>
  <c r="S342" i="5"/>
  <c r="AF267" i="5" a="1"/>
  <c r="AF267" i="5" s="1"/>
  <c r="S267" i="5"/>
  <c r="AB267" i="5" s="1"/>
  <c r="AF41" i="5" a="1"/>
  <c r="AF41" i="5" s="1"/>
  <c r="S41" i="5"/>
  <c r="AB41" i="5" s="1"/>
  <c r="AF70" i="5" a="1"/>
  <c r="AF70" i="5" s="1"/>
  <c r="S70" i="5"/>
  <c r="AF455" i="5" a="1"/>
  <c r="AF455" i="5" s="1"/>
  <c r="S455" i="5"/>
  <c r="AB455" i="5" s="1"/>
  <c r="AC455" i="5" s="1" a="1"/>
  <c r="AC455" i="5" s="1"/>
  <c r="AF405" i="5" a="1"/>
  <c r="AF405" i="5" s="1"/>
  <c r="S405" i="5"/>
  <c r="AB405" i="5" s="1"/>
  <c r="AE405" i="5" s="1" a="1"/>
  <c r="AE405" i="5" s="1"/>
  <c r="AF164" i="5" a="1"/>
  <c r="AF164" i="5" s="1"/>
  <c r="S164" i="5"/>
  <c r="AB164" i="5" s="1"/>
  <c r="AF378" i="5" a="1"/>
  <c r="AF378" i="5" s="1"/>
  <c r="S378" i="5"/>
  <c r="AD378" i="5" s="1"/>
  <c r="AF71" i="5" a="1"/>
  <c r="AF71" i="5" s="1"/>
  <c r="S71" i="5"/>
  <c r="AD71" i="5" s="1"/>
  <c r="AF119" i="5" a="1"/>
  <c r="AF119" i="5" s="1"/>
  <c r="S119" i="5"/>
  <c r="AD119" i="5" s="1"/>
  <c r="AF62" i="5" a="1"/>
  <c r="AF62" i="5" s="1"/>
  <c r="S62" i="5"/>
  <c r="AD62" i="5" s="1"/>
  <c r="AF276" i="5" a="1"/>
  <c r="AF276" i="5" s="1"/>
  <c r="S276" i="5"/>
  <c r="AD276" i="5" s="1"/>
  <c r="AF326" i="5" a="1"/>
  <c r="AF326" i="5" s="1"/>
  <c r="S326" i="5"/>
  <c r="AD326" i="5" s="1"/>
  <c r="AF120" i="5" a="1"/>
  <c r="AF120" i="5" s="1"/>
  <c r="S120" i="5"/>
  <c r="AD120" i="5" s="1"/>
  <c r="AF489" i="5" a="1"/>
  <c r="AF489" i="5" s="1"/>
  <c r="S489" i="5"/>
  <c r="AF335" i="5" a="1"/>
  <c r="AF335" i="5" s="1"/>
  <c r="S335" i="5"/>
  <c r="AD335" i="5" s="1"/>
  <c r="AF354" i="5" a="1"/>
  <c r="AF354" i="5" s="1"/>
  <c r="S354" i="5"/>
  <c r="AD354" i="5" s="1"/>
  <c r="AF497" i="5" a="1"/>
  <c r="AF497" i="5" s="1"/>
  <c r="S497" i="5"/>
  <c r="AD497" i="5" s="1"/>
  <c r="AF166" i="5" a="1"/>
  <c r="AF166" i="5" s="1"/>
  <c r="S166" i="5"/>
  <c r="AD166" i="5" s="1"/>
  <c r="AF2" i="2" a="1"/>
  <c r="AF2" i="2" s="1"/>
  <c r="AF3" i="2" a="1"/>
  <c r="AF3" i="2" s="1"/>
  <c r="AF4" i="2" a="1"/>
  <c r="AF4" i="2" s="1"/>
  <c r="AF5" i="2" a="1"/>
  <c r="AF5" i="2" s="1"/>
  <c r="AF6" i="2" a="1"/>
  <c r="AF6" i="2" s="1"/>
  <c r="AF7" i="2" a="1"/>
  <c r="AF7" i="2" s="1"/>
  <c r="AF8" i="2" a="1"/>
  <c r="AF8" i="2" s="1"/>
  <c r="AF9" i="2" a="1"/>
  <c r="AF9" i="2" s="1"/>
  <c r="AF10" i="2" a="1"/>
  <c r="AF10" i="2" s="1"/>
  <c r="AF11" i="2" a="1"/>
  <c r="AF11" i="2" s="1"/>
  <c r="AF12" i="2" a="1"/>
  <c r="AF12" i="2" s="1"/>
  <c r="AF13" i="2" a="1"/>
  <c r="AF13" i="2" s="1"/>
  <c r="AF14" i="2" a="1"/>
  <c r="AF14" i="2" s="1"/>
  <c r="AF15" i="2" a="1"/>
  <c r="AF15" i="2" s="1"/>
  <c r="AF16" i="2" a="1"/>
  <c r="AF16" i="2" s="1"/>
  <c r="AF17" i="2" a="1"/>
  <c r="AF17" i="2" s="1"/>
  <c r="AF18" i="2" a="1"/>
  <c r="AF18" i="2" s="1"/>
  <c r="AF19" i="2" a="1"/>
  <c r="AF19" i="2" s="1"/>
  <c r="AF20" i="2" a="1"/>
  <c r="AF20" i="2" s="1"/>
  <c r="AF21" i="2" a="1"/>
  <c r="AF21" i="2" s="1"/>
  <c r="AF22" i="2" a="1"/>
  <c r="AF22" i="2"/>
  <c r="AF23" i="2" a="1"/>
  <c r="AF23" i="2" s="1"/>
  <c r="AF24" i="2" a="1"/>
  <c r="AF24" i="2" s="1"/>
  <c r="AF25" i="2" a="1"/>
  <c r="AF25" i="2" s="1"/>
  <c r="AF26" i="2" a="1"/>
  <c r="AF26" i="2" s="1"/>
  <c r="AF27" i="2" a="1"/>
  <c r="AF27" i="2" s="1"/>
  <c r="AF28" i="2" a="1"/>
  <c r="AF28" i="2" s="1"/>
  <c r="AF29" i="2" a="1"/>
  <c r="AF29" i="2" s="1"/>
  <c r="AF30" i="2" a="1"/>
  <c r="AF30" i="2" s="1"/>
  <c r="AF31" i="2" a="1"/>
  <c r="AF31" i="2" s="1"/>
  <c r="AF32" i="2" a="1"/>
  <c r="AF32" i="2" s="1"/>
  <c r="AF33" i="2" a="1"/>
  <c r="AF33" i="2"/>
  <c r="AF34" i="2" a="1"/>
  <c r="AF34" i="2" s="1"/>
  <c r="AF35" i="2" a="1"/>
  <c r="AF35" i="2" s="1"/>
  <c r="AF36" i="2" a="1"/>
  <c r="AF36" i="2" s="1"/>
  <c r="AF37" i="2" a="1"/>
  <c r="AF37" i="2" s="1"/>
  <c r="AF38" i="2" a="1"/>
  <c r="AF38" i="2" s="1"/>
  <c r="AF39" i="2" a="1"/>
  <c r="AF39" i="2" s="1"/>
  <c r="AF40" i="2" a="1"/>
  <c r="AF40" i="2" s="1"/>
  <c r="AF41" i="2" a="1"/>
  <c r="AF41" i="2" s="1"/>
  <c r="AF42" i="2" a="1"/>
  <c r="AF42" i="2" s="1"/>
  <c r="AF43" i="2" a="1"/>
  <c r="AF43" i="2" s="1"/>
  <c r="AF44" i="2" a="1"/>
  <c r="AF44" i="2" s="1"/>
  <c r="AF45" i="2" a="1"/>
  <c r="AF45" i="2" s="1"/>
  <c r="AF46" i="2" a="1"/>
  <c r="AF46" i="2" s="1"/>
  <c r="AF47" i="2" a="1"/>
  <c r="AF47" i="2" s="1"/>
  <c r="AF48" i="2" a="1"/>
  <c r="AF48" i="2" s="1"/>
  <c r="AF49" i="2" a="1"/>
  <c r="AF49" i="2" s="1"/>
  <c r="AF50" i="2" a="1"/>
  <c r="AF50" i="2"/>
  <c r="AF51" i="2" a="1"/>
  <c r="AF51" i="2"/>
  <c r="AF52" i="2" a="1"/>
  <c r="AF52" i="2"/>
  <c r="AF53" i="2" a="1"/>
  <c r="AF53" i="2" s="1"/>
  <c r="AF54" i="2" a="1"/>
  <c r="AF54" i="2" s="1"/>
  <c r="AF55" i="2" a="1"/>
  <c r="AF55" i="2" s="1"/>
  <c r="AF56" i="2" a="1"/>
  <c r="AF56" i="2" s="1"/>
  <c r="AF57" i="2" a="1"/>
  <c r="AF57" i="2" s="1"/>
  <c r="AF58" i="2" a="1"/>
  <c r="AF58" i="2" s="1"/>
  <c r="AF59" i="2" a="1"/>
  <c r="AF59" i="2" s="1"/>
  <c r="AF60" i="2" a="1"/>
  <c r="AF60" i="2" s="1"/>
  <c r="AF61" i="2" a="1"/>
  <c r="AF61" i="2" s="1"/>
  <c r="AF62" i="2" a="1"/>
  <c r="AF62" i="2" s="1"/>
  <c r="AF63" i="2" a="1"/>
  <c r="AF63" i="2"/>
  <c r="AF64" i="2" a="1"/>
  <c r="AF64" i="2" s="1"/>
  <c r="AF65" i="2" a="1"/>
  <c r="AF65" i="2" s="1"/>
  <c r="AF66" i="2" a="1"/>
  <c r="AF66" i="2" s="1"/>
  <c r="AF67" i="2" a="1"/>
  <c r="AF67" i="2" s="1"/>
  <c r="AF68" i="2" a="1"/>
  <c r="AF68" i="2" s="1"/>
  <c r="AF69" i="2" a="1"/>
  <c r="AF69" i="2" s="1"/>
  <c r="AF70" i="2" a="1"/>
  <c r="AF70" i="2" s="1"/>
  <c r="AF71" i="2" a="1"/>
  <c r="AF71" i="2" s="1"/>
  <c r="AF72" i="2" a="1"/>
  <c r="AF72" i="2" s="1"/>
  <c r="AF73" i="2" a="1"/>
  <c r="AF73" i="2" s="1"/>
  <c r="AF74" i="2" a="1"/>
  <c r="AF74" i="2" s="1"/>
  <c r="AF75" i="2" a="1"/>
  <c r="AF75" i="2" s="1"/>
  <c r="AF76" i="2" a="1"/>
  <c r="AF76" i="2"/>
  <c r="AF77" i="2" a="1"/>
  <c r="AF77" i="2" s="1"/>
  <c r="AF78" i="2" a="1"/>
  <c r="AF78" i="2" s="1"/>
  <c r="AF79" i="2" a="1"/>
  <c r="AF79" i="2" s="1"/>
  <c r="AF80" i="2" a="1"/>
  <c r="AF80" i="2" s="1"/>
  <c r="AF81" i="2" a="1"/>
  <c r="AF81" i="2" s="1"/>
  <c r="AF82" i="2" a="1"/>
  <c r="AF82" i="2"/>
  <c r="AF83" i="2" a="1"/>
  <c r="AF83" i="2" s="1"/>
  <c r="AF84" i="2" a="1"/>
  <c r="AF84" i="2" s="1"/>
  <c r="AF85" i="2" a="1"/>
  <c r="AF85" i="2" s="1"/>
  <c r="AF86" i="2" a="1"/>
  <c r="AF86" i="2" s="1"/>
  <c r="AF87" i="2" a="1"/>
  <c r="AF87" i="2" s="1"/>
  <c r="AF88" i="2" a="1"/>
  <c r="AF88" i="2" s="1"/>
  <c r="AF89" i="2" a="1"/>
  <c r="AF89" i="2" s="1"/>
  <c r="AF90" i="2" a="1"/>
  <c r="AF90" i="2" s="1"/>
  <c r="AF91" i="2" a="1"/>
  <c r="AF91" i="2" s="1"/>
  <c r="AF92" i="2" a="1"/>
  <c r="AF92" i="2"/>
  <c r="AF93" i="2" a="1"/>
  <c r="AF93" i="2" s="1"/>
  <c r="AF94" i="2" a="1"/>
  <c r="AF94" i="2" s="1"/>
  <c r="AF95" i="2" a="1"/>
  <c r="AF95" i="2" s="1"/>
  <c r="AF96" i="2" a="1"/>
  <c r="AF96" i="2" s="1"/>
  <c r="AF97" i="2" a="1"/>
  <c r="AF97" i="2" s="1"/>
  <c r="AF98" i="2" a="1"/>
  <c r="AF98" i="2"/>
  <c r="AF99" i="2" a="1"/>
  <c r="AF99" i="2" s="1"/>
  <c r="AF100" i="2" a="1"/>
  <c r="AF100" i="2" s="1"/>
  <c r="AF101" i="2" a="1"/>
  <c r="AF101" i="2" s="1"/>
  <c r="AF102" i="2" a="1"/>
  <c r="AF102" i="2" s="1"/>
  <c r="AF103" i="2" a="1"/>
  <c r="AF103" i="2" s="1"/>
  <c r="AF104" i="2" a="1"/>
  <c r="AF104" i="2" s="1"/>
  <c r="AF105" i="2" a="1"/>
  <c r="AF105" i="2" s="1"/>
  <c r="AF106" i="2" a="1"/>
  <c r="AF106" i="2"/>
  <c r="AF107" i="2" a="1"/>
  <c r="AF107" i="2" s="1"/>
  <c r="AF108" i="2" a="1"/>
  <c r="AF108" i="2" s="1"/>
  <c r="AF109" i="2" a="1"/>
  <c r="AF109" i="2" s="1"/>
  <c r="AF110" i="2" a="1"/>
  <c r="AF110" i="2" s="1"/>
  <c r="AF111" i="2" a="1"/>
  <c r="AF111" i="2" s="1"/>
  <c r="AF112" i="2" a="1"/>
  <c r="AF112" i="2" s="1"/>
  <c r="AF113" i="2" a="1"/>
  <c r="AF113" i="2" s="1"/>
  <c r="AF114" i="2" a="1"/>
  <c r="AF114" i="2" s="1"/>
  <c r="AF115" i="2" a="1"/>
  <c r="AF115" i="2" s="1"/>
  <c r="AF116" i="2" a="1"/>
  <c r="AF116" i="2"/>
  <c r="AF117" i="2" a="1"/>
  <c r="AF117" i="2"/>
  <c r="AF118" i="2" a="1"/>
  <c r="AF118" i="2" s="1"/>
  <c r="AF119" i="2" a="1"/>
  <c r="AF119" i="2" s="1"/>
  <c r="AF120" i="2" a="1"/>
  <c r="AF120" i="2" s="1"/>
  <c r="AF121" i="2" a="1"/>
  <c r="AF121" i="2" s="1"/>
  <c r="AF122" i="2" a="1"/>
  <c r="AF122" i="2" s="1"/>
  <c r="AF123" i="2" a="1"/>
  <c r="AF123" i="2" s="1"/>
  <c r="AF124" i="2" a="1"/>
  <c r="AF124" i="2" s="1"/>
  <c r="AF125" i="2" a="1"/>
  <c r="AF125" i="2" s="1"/>
  <c r="AF126" i="2" a="1"/>
  <c r="AF126" i="2" s="1"/>
  <c r="AF127" i="2" a="1"/>
  <c r="AF127" i="2" s="1"/>
  <c r="AF128" i="2" a="1"/>
  <c r="AF128" i="2" s="1"/>
  <c r="AF129" i="2" a="1"/>
  <c r="AF129" i="2" s="1"/>
  <c r="AF130" i="2" a="1"/>
  <c r="AF130" i="2" s="1"/>
  <c r="AF131" i="2" a="1"/>
  <c r="AF131" i="2" s="1"/>
  <c r="AF132" i="2" a="1"/>
  <c r="AF132" i="2" s="1"/>
  <c r="AF133" i="2" a="1"/>
  <c r="AF133" i="2" s="1"/>
  <c r="AF134" i="2" a="1"/>
  <c r="AF134" i="2" s="1"/>
  <c r="AF135" i="2" a="1"/>
  <c r="AF135" i="2" s="1"/>
  <c r="AF136" i="2" a="1"/>
  <c r="AF136" i="2" s="1"/>
  <c r="AF137" i="2" a="1"/>
  <c r="AF137" i="2" s="1"/>
  <c r="AF138" i="2" a="1"/>
  <c r="AF138" i="2" s="1"/>
  <c r="AF139" i="2" a="1"/>
  <c r="AF139" i="2" s="1"/>
  <c r="AF140" i="2" a="1"/>
  <c r="AF140" i="2" s="1"/>
  <c r="AF141" i="2" a="1"/>
  <c r="AF141" i="2" s="1"/>
  <c r="AF142" i="2" a="1"/>
  <c r="AF142" i="2"/>
  <c r="AF143" i="2" a="1"/>
  <c r="AF143" i="2" s="1"/>
  <c r="AF144" i="2" a="1"/>
  <c r="AF144" i="2" s="1"/>
  <c r="AF145" i="2" a="1"/>
  <c r="AF145" i="2" s="1"/>
  <c r="AF146" i="2" a="1"/>
  <c r="AF146" i="2"/>
  <c r="AF147" i="2" a="1"/>
  <c r="AF147" i="2"/>
  <c r="AF148" i="2" a="1"/>
  <c r="AF148" i="2" s="1"/>
  <c r="AF149" i="2" a="1"/>
  <c r="AF149" i="2" s="1"/>
  <c r="AF150" i="2" a="1"/>
  <c r="AF150" i="2" s="1"/>
  <c r="AF151" i="2" a="1"/>
  <c r="AF151" i="2" s="1"/>
  <c r="AF152" i="2" a="1"/>
  <c r="AF152" i="2" s="1"/>
  <c r="AF153" i="2" a="1"/>
  <c r="AF153" i="2" s="1"/>
  <c r="AF154" i="2" a="1"/>
  <c r="AF154" i="2"/>
  <c r="AF155" i="2" a="1"/>
  <c r="AF155" i="2" s="1"/>
  <c r="AF156" i="2" a="1"/>
  <c r="AF156" i="2" s="1"/>
  <c r="AF157" i="2" a="1"/>
  <c r="AF157" i="2" s="1"/>
  <c r="AF158" i="2" a="1"/>
  <c r="AF158" i="2" s="1"/>
  <c r="AF159" i="2" a="1"/>
  <c r="AF159" i="2" s="1"/>
  <c r="AF160" i="2" a="1"/>
  <c r="AF160" i="2" s="1"/>
  <c r="AF161" i="2" a="1"/>
  <c r="AF161" i="2" s="1"/>
  <c r="AF162" i="2" a="1"/>
  <c r="AF162" i="2" s="1"/>
  <c r="AF163" i="2" a="1"/>
  <c r="AF163" i="2" s="1"/>
  <c r="AF164" i="2" a="1"/>
  <c r="AF164" i="2" s="1"/>
  <c r="AF165" i="2" a="1"/>
  <c r="AF165" i="2" s="1"/>
  <c r="AF166" i="2" a="1"/>
  <c r="AF166" i="2" s="1"/>
  <c r="AF167" i="2" a="1"/>
  <c r="AF167" i="2" s="1"/>
  <c r="AF168" i="2" a="1"/>
  <c r="AF168" i="2" s="1"/>
  <c r="AF169" i="2" a="1"/>
  <c r="AF169" i="2" s="1"/>
  <c r="AF170" i="2" a="1"/>
  <c r="AF170" i="2"/>
  <c r="AF171" i="2" a="1"/>
  <c r="AF171" i="2" s="1"/>
  <c r="AF172" i="2" a="1"/>
  <c r="AF172" i="2"/>
  <c r="AF173" i="2" a="1"/>
  <c r="AF173" i="2" s="1"/>
  <c r="AF174" i="2" a="1"/>
  <c r="AF174" i="2" s="1"/>
  <c r="AF175" i="2" a="1"/>
  <c r="AF175" i="2" s="1"/>
  <c r="AF176" i="2" a="1"/>
  <c r="AF176" i="2" s="1"/>
  <c r="AF177" i="2" a="1"/>
  <c r="AF177" i="2" s="1"/>
  <c r="AF178" i="2" a="1"/>
  <c r="AF178" i="2"/>
  <c r="AF179" i="2" a="1"/>
  <c r="AF179" i="2" s="1"/>
  <c r="AF180" i="2" a="1"/>
  <c r="AF180" i="2" s="1"/>
  <c r="AF181" i="2" a="1"/>
  <c r="AF181" i="2" s="1"/>
  <c r="AF182" i="2" a="1"/>
  <c r="AF182" i="2" s="1"/>
  <c r="AF183" i="2" a="1"/>
  <c r="AF183" i="2" s="1"/>
  <c r="AF184" i="2" a="1"/>
  <c r="AF184" i="2" s="1"/>
  <c r="AF185" i="2" a="1"/>
  <c r="AF185" i="2" s="1"/>
  <c r="AF186" i="2" a="1"/>
  <c r="AF186" i="2" s="1"/>
  <c r="AF187" i="2" a="1"/>
  <c r="AF187" i="2" s="1"/>
  <c r="AF188" i="2" a="1"/>
  <c r="AF188" i="2"/>
  <c r="AF189" i="2" a="1"/>
  <c r="AF189" i="2" s="1"/>
  <c r="AF190" i="2" a="1"/>
  <c r="AF190" i="2" s="1"/>
  <c r="AF191" i="2" a="1"/>
  <c r="AF191" i="2" s="1"/>
  <c r="AF192" i="2" a="1"/>
  <c r="AF192" i="2" s="1"/>
  <c r="AF193" i="2" a="1"/>
  <c r="AF193" i="2" s="1"/>
  <c r="AF194" i="2" a="1"/>
  <c r="AF194" i="2" s="1"/>
  <c r="AF195" i="2" a="1"/>
  <c r="AF195" i="2" s="1"/>
  <c r="AF196" i="2" a="1"/>
  <c r="AF196" i="2" s="1"/>
  <c r="AF197" i="2" a="1"/>
  <c r="AF197" i="2" s="1"/>
  <c r="AF198" i="2" a="1"/>
  <c r="AF198" i="2" s="1"/>
  <c r="AF199" i="2" a="1"/>
  <c r="AF199" i="2" s="1"/>
  <c r="AF200" i="2" a="1"/>
  <c r="AF200" i="2" s="1"/>
  <c r="AF201" i="2" a="1"/>
  <c r="AF201" i="2" s="1"/>
  <c r="AF202" i="2" a="1"/>
  <c r="AF202" i="2"/>
  <c r="AF203" i="2" a="1"/>
  <c r="AF203" i="2" s="1"/>
  <c r="AF204" i="2" a="1"/>
  <c r="AF204" i="2" s="1"/>
  <c r="AF205" i="2" a="1"/>
  <c r="AF205" i="2" s="1"/>
  <c r="AF206" i="2" a="1"/>
  <c r="AF206" i="2" s="1"/>
  <c r="AF207" i="2" a="1"/>
  <c r="AF207" i="2"/>
  <c r="AF208" i="2" a="1"/>
  <c r="AF208" i="2" s="1"/>
  <c r="AF209" i="2" a="1"/>
  <c r="AF209" i="2" s="1"/>
  <c r="AF210" i="2" a="1"/>
  <c r="AF210" i="2" s="1"/>
  <c r="AF211" i="2" a="1"/>
  <c r="AF211" i="2" s="1"/>
  <c r="AF212" i="2" a="1"/>
  <c r="AF212" i="2"/>
  <c r="AF213" i="2" a="1"/>
  <c r="AF213" i="2" s="1"/>
  <c r="AF214" i="2" a="1"/>
  <c r="AF214" i="2"/>
  <c r="AF215" i="2" a="1"/>
  <c r="AF215" i="2" s="1"/>
  <c r="AF216" i="2" a="1"/>
  <c r="AF216" i="2" s="1"/>
  <c r="AF217" i="2" a="1"/>
  <c r="AF217" i="2" s="1"/>
  <c r="AF218" i="2" a="1"/>
  <c r="AF218" i="2" s="1"/>
  <c r="AF219" i="2" a="1"/>
  <c r="AF219" i="2" s="1"/>
  <c r="AF220" i="2" a="1"/>
  <c r="AF220" i="2" s="1"/>
  <c r="AF221" i="2" a="1"/>
  <c r="AF221" i="2" s="1"/>
  <c r="AF222" i="2" a="1"/>
  <c r="AF222" i="2" s="1"/>
  <c r="AF223" i="2" a="1"/>
  <c r="AF223" i="2" s="1"/>
  <c r="AF224" i="2" a="1"/>
  <c r="AF224" i="2" s="1"/>
  <c r="AF225" i="2" a="1"/>
  <c r="AF225" i="2" s="1"/>
  <c r="AF226" i="2" a="1"/>
  <c r="AF226" i="2" s="1"/>
  <c r="AF227" i="2" a="1"/>
  <c r="AF227" i="2" s="1"/>
  <c r="AF228" i="2" a="1"/>
  <c r="AF228" i="2" s="1"/>
  <c r="AF229" i="2" a="1"/>
  <c r="AF229" i="2" s="1"/>
  <c r="AF230" i="2" a="1"/>
  <c r="AF230" i="2" s="1"/>
  <c r="AF231" i="2" a="1"/>
  <c r="AF231" i="2" s="1"/>
  <c r="AF232" i="2" a="1"/>
  <c r="AF232" i="2" s="1"/>
  <c r="AF233" i="2" a="1"/>
  <c r="AF233" i="2" s="1"/>
  <c r="AF234" i="2" a="1"/>
  <c r="AF234" i="2" s="1"/>
  <c r="AF235" i="2" a="1"/>
  <c r="AF235" i="2" s="1"/>
  <c r="AF236" i="2" a="1"/>
  <c r="AF236" i="2" s="1"/>
  <c r="AF237" i="2" a="1"/>
  <c r="AF237" i="2"/>
  <c r="AF238" i="2" a="1"/>
  <c r="AF238" i="2" s="1"/>
  <c r="AF239" i="2" a="1"/>
  <c r="AF239" i="2" s="1"/>
  <c r="AF240" i="2" a="1"/>
  <c r="AF240" i="2" s="1"/>
  <c r="AF241" i="2" a="1"/>
  <c r="AF241" i="2" s="1"/>
  <c r="AF242" i="2" a="1"/>
  <c r="AF242" i="2" s="1"/>
  <c r="AF243" i="2" a="1"/>
  <c r="AF243" i="2"/>
  <c r="AF244" i="2" a="1"/>
  <c r="AF244" i="2"/>
  <c r="AF245" i="2" a="1"/>
  <c r="AF245" i="2" s="1"/>
  <c r="AF246" i="2" a="1"/>
  <c r="AF246" i="2" s="1"/>
  <c r="AF247" i="2" a="1"/>
  <c r="AF247" i="2" s="1"/>
  <c r="AF248" i="2" a="1"/>
  <c r="AF248" i="2" s="1"/>
  <c r="AF249" i="2" a="1"/>
  <c r="AF249" i="2" s="1"/>
  <c r="AF250" i="2" a="1"/>
  <c r="AF250" i="2" s="1"/>
  <c r="AF251" i="2" a="1"/>
  <c r="AF251" i="2" s="1"/>
  <c r="AF252" i="2" a="1"/>
  <c r="AF252" i="2" s="1"/>
  <c r="AF253" i="2" a="1"/>
  <c r="AF253" i="2" s="1"/>
  <c r="AF254" i="2" a="1"/>
  <c r="AF254" i="2" s="1"/>
  <c r="AF255" i="2" a="1"/>
  <c r="AF255" i="2"/>
  <c r="AF256" i="2" a="1"/>
  <c r="AF256" i="2" s="1"/>
  <c r="AF257" i="2" a="1"/>
  <c r="AF257" i="2" s="1"/>
  <c r="AF258" i="2" a="1"/>
  <c r="AF258" i="2" s="1"/>
  <c r="AF259" i="2" a="1"/>
  <c r="AF259" i="2" s="1"/>
  <c r="AF260" i="2" a="1"/>
  <c r="AF260" i="2" s="1"/>
  <c r="AF261" i="2" a="1"/>
  <c r="AF261" i="2" s="1"/>
  <c r="AF262" i="2" a="1"/>
  <c r="AF262" i="2" s="1"/>
  <c r="AF263" i="2" a="1"/>
  <c r="AF263" i="2" s="1"/>
  <c r="AF264" i="2" a="1"/>
  <c r="AF264" i="2" s="1"/>
  <c r="AF265" i="2" a="1"/>
  <c r="AF265" i="2" s="1"/>
  <c r="AF266" i="2" a="1"/>
  <c r="AF266" i="2"/>
  <c r="AF267" i="2" a="1"/>
  <c r="AF267" i="2" s="1"/>
  <c r="AF268" i="2" a="1"/>
  <c r="AF268" i="2" s="1"/>
  <c r="AF269" i="2" a="1"/>
  <c r="AF269" i="2" s="1"/>
  <c r="AF270" i="2" a="1"/>
  <c r="AF270" i="2" s="1"/>
  <c r="AF271" i="2" a="1"/>
  <c r="AF271" i="2" s="1"/>
  <c r="AF272" i="2" a="1"/>
  <c r="AF272" i="2" s="1"/>
  <c r="AF273" i="2" a="1"/>
  <c r="AF273" i="2" s="1"/>
  <c r="AF274" i="2" a="1"/>
  <c r="AF274" i="2"/>
  <c r="AF275" i="2" a="1"/>
  <c r="AF275" i="2" s="1"/>
  <c r="AF276" i="2" a="1"/>
  <c r="AF276" i="2" s="1"/>
  <c r="AF277" i="2" a="1"/>
  <c r="AF277" i="2" s="1"/>
  <c r="AF278" i="2" a="1"/>
  <c r="AF278" i="2" s="1"/>
  <c r="AF279" i="2" a="1"/>
  <c r="AF279" i="2" s="1"/>
  <c r="AF280" i="2" a="1"/>
  <c r="AF280" i="2" s="1"/>
  <c r="AF281" i="2" a="1"/>
  <c r="AF281" i="2" s="1"/>
  <c r="AF282" i="2" a="1"/>
  <c r="AF282" i="2" s="1"/>
  <c r="AF283" i="2" a="1"/>
  <c r="AF283" i="2" s="1"/>
  <c r="AF284" i="2" a="1"/>
  <c r="AF284" i="2"/>
  <c r="AF285" i="2" a="1"/>
  <c r="AF285" i="2" s="1"/>
  <c r="AF286" i="2" a="1"/>
  <c r="AF286" i="2" s="1"/>
  <c r="AF287" i="2" a="1"/>
  <c r="AF287" i="2" s="1"/>
  <c r="AF288" i="2" a="1"/>
  <c r="AF288" i="2" s="1"/>
  <c r="AF289" i="2" a="1"/>
  <c r="AF289" i="2" s="1"/>
  <c r="AF290" i="2" a="1"/>
  <c r="AF290" i="2" s="1"/>
  <c r="AF291" i="2" a="1"/>
  <c r="AF291" i="2" s="1"/>
  <c r="AF292" i="2" a="1"/>
  <c r="AF292" i="2" s="1"/>
  <c r="AF293" i="2" a="1"/>
  <c r="AF293" i="2" s="1"/>
  <c r="AF294" i="2" a="1"/>
  <c r="AF294" i="2" s="1"/>
  <c r="AF295" i="2" a="1"/>
  <c r="AF295" i="2" s="1"/>
  <c r="AF296" i="2" a="1"/>
  <c r="AF296" i="2" s="1"/>
  <c r="AF297" i="2" a="1"/>
  <c r="AF297" i="2" s="1"/>
  <c r="AF298" i="2" a="1"/>
  <c r="AF298" i="2"/>
  <c r="AF299" i="2" a="1"/>
  <c r="AF299" i="2" s="1"/>
  <c r="AF300" i="2" a="1"/>
  <c r="AF300" i="2" s="1"/>
  <c r="AF301" i="2" a="1"/>
  <c r="AF301" i="2" s="1"/>
  <c r="AF302" i="2" a="1"/>
  <c r="AF302" i="2" s="1"/>
  <c r="AF303" i="2" a="1"/>
  <c r="AF303" i="2"/>
  <c r="AF304" i="2" a="1"/>
  <c r="AF304" i="2" s="1"/>
  <c r="AF305" i="2" a="1"/>
  <c r="AF305" i="2" s="1"/>
  <c r="AF306" i="2" a="1"/>
  <c r="AF306" i="2" s="1"/>
  <c r="AF307" i="2" a="1"/>
  <c r="AF307" i="2" s="1"/>
  <c r="AF308" i="2" a="1"/>
  <c r="AF308" i="2"/>
  <c r="AF309" i="2" a="1"/>
  <c r="AF309" i="2" s="1"/>
  <c r="AF310" i="2" a="1"/>
  <c r="AF310" i="2" s="1"/>
  <c r="AF311" i="2" a="1"/>
  <c r="AF311" i="2" s="1"/>
  <c r="AF312" i="2" a="1"/>
  <c r="AF312" i="2" s="1"/>
  <c r="AF313" i="2" a="1"/>
  <c r="AF313" i="2" s="1"/>
  <c r="AF314" i="2" a="1"/>
  <c r="AF314" i="2" s="1"/>
  <c r="AF315" i="2" a="1"/>
  <c r="AF315" i="2"/>
  <c r="AF316" i="2" a="1"/>
  <c r="AF316" i="2"/>
  <c r="AF317" i="2" a="1"/>
  <c r="AF317" i="2" s="1"/>
  <c r="AF318" i="2" a="1"/>
  <c r="AF318" i="2" s="1"/>
  <c r="AF319" i="2" a="1"/>
  <c r="AF319" i="2" s="1"/>
  <c r="AF320" i="2" a="1"/>
  <c r="AF320" i="2" s="1"/>
  <c r="AF321" i="2" a="1"/>
  <c r="AF321" i="2" s="1"/>
  <c r="AF322" i="2" a="1"/>
  <c r="AF322" i="2" s="1"/>
  <c r="AF323" i="2" a="1"/>
  <c r="AF323" i="2" s="1"/>
  <c r="AF324" i="2" a="1"/>
  <c r="AF324" i="2" s="1"/>
  <c r="AF325" i="2" a="1"/>
  <c r="AF325" i="2" s="1"/>
  <c r="AF326" i="2" a="1"/>
  <c r="AF326" i="2" s="1"/>
  <c r="AF327" i="2" a="1"/>
  <c r="AF327" i="2" s="1"/>
  <c r="AF328" i="2" a="1"/>
  <c r="AF328" i="2" s="1"/>
  <c r="AF329" i="2" a="1"/>
  <c r="AF329" i="2" s="1"/>
  <c r="AF330" i="2" a="1"/>
  <c r="AF330" i="2" s="1"/>
  <c r="AF331" i="2" a="1"/>
  <c r="AF331" i="2" s="1"/>
  <c r="AF332" i="2" a="1"/>
  <c r="AF332" i="2" s="1"/>
  <c r="AF333" i="2" a="1"/>
  <c r="AF333" i="2" s="1"/>
  <c r="AF334" i="2" a="1"/>
  <c r="AF334" i="2" s="1"/>
  <c r="AF335" i="2" a="1"/>
  <c r="AF335" i="2" s="1"/>
  <c r="AF336" i="2" a="1"/>
  <c r="AF336" i="2" s="1"/>
  <c r="AF337" i="2" a="1"/>
  <c r="AF337" i="2" s="1"/>
  <c r="AF338" i="2" a="1"/>
  <c r="AF338" i="2" s="1"/>
  <c r="AF339" i="2" a="1"/>
  <c r="AF339" i="2"/>
  <c r="AF340" i="2" a="1"/>
  <c r="AF340" i="2" s="1"/>
  <c r="AF341" i="2" a="1"/>
  <c r="AF341" i="2" s="1"/>
  <c r="AF342" i="2" a="1"/>
  <c r="AF342" i="2" s="1"/>
  <c r="AF343" i="2" a="1"/>
  <c r="AF343" i="2" s="1"/>
  <c r="AF344" i="2" a="1"/>
  <c r="AF344" i="2" s="1"/>
  <c r="AF345" i="2" a="1"/>
  <c r="AF345" i="2" s="1"/>
  <c r="AF346" i="2" a="1"/>
  <c r="AF346" i="2" s="1"/>
  <c r="AF347" i="2" a="1"/>
  <c r="AF347" i="2" s="1"/>
  <c r="AF348" i="2" a="1"/>
  <c r="AF348" i="2" s="1"/>
  <c r="AF349" i="2" a="1"/>
  <c r="AF349" i="2" s="1"/>
  <c r="AF350" i="2" a="1"/>
  <c r="AF350" i="2" s="1"/>
  <c r="AF351" i="2" a="1"/>
  <c r="AF351" i="2" s="1"/>
  <c r="AF352" i="2" a="1"/>
  <c r="AF352" i="2" s="1"/>
  <c r="AF353" i="2" a="1"/>
  <c r="AF353" i="2" s="1"/>
  <c r="AF354" i="2" a="1"/>
  <c r="AF354" i="2" s="1"/>
  <c r="AF355" i="2" a="1"/>
  <c r="AF355" i="2" s="1"/>
  <c r="AF356" i="2" a="1"/>
  <c r="AF356" i="2" s="1"/>
  <c r="AF357" i="2" a="1"/>
  <c r="AF357" i="2" s="1"/>
  <c r="AF358" i="2" a="1"/>
  <c r="AF358" i="2" s="1"/>
  <c r="AF359" i="2" a="1"/>
  <c r="AF359" i="2" s="1"/>
  <c r="AF360" i="2" a="1"/>
  <c r="AF360" i="2" s="1"/>
  <c r="AF361" i="2" a="1"/>
  <c r="AF361" i="2" s="1"/>
  <c r="AF362" i="2" a="1"/>
  <c r="AF362" i="2" s="1"/>
  <c r="AF363" i="2" a="1"/>
  <c r="AF363" i="2" s="1"/>
  <c r="AF364" i="2" a="1"/>
  <c r="AF364" i="2"/>
  <c r="AF365" i="2" a="1"/>
  <c r="AF365" i="2" s="1"/>
  <c r="AF366" i="2" a="1"/>
  <c r="AF366" i="2" s="1"/>
  <c r="AF367" i="2" a="1"/>
  <c r="AF367" i="2" s="1"/>
  <c r="AF368" i="2" a="1"/>
  <c r="AF368" i="2" s="1"/>
  <c r="AF369" i="2" a="1"/>
  <c r="AF369" i="2" s="1"/>
  <c r="AF370" i="2" a="1"/>
  <c r="AF370" i="2"/>
  <c r="AF371" i="2" a="1"/>
  <c r="AF371" i="2" s="1"/>
  <c r="AF372" i="2" a="1"/>
  <c r="AF372" i="2" s="1"/>
  <c r="AF373" i="2" a="1"/>
  <c r="AF373" i="2" s="1"/>
  <c r="AF374" i="2" a="1"/>
  <c r="AF374" i="2" s="1"/>
  <c r="AF375" i="2" a="1"/>
  <c r="AF375" i="2" s="1"/>
  <c r="AF376" i="2" a="1"/>
  <c r="AF376" i="2" s="1"/>
  <c r="AF377" i="2" a="1"/>
  <c r="AF377" i="2" s="1"/>
  <c r="AF378" i="2" a="1"/>
  <c r="AF378" i="2" s="1"/>
  <c r="AF379" i="2" a="1"/>
  <c r="AF379" i="2" s="1"/>
  <c r="AF380" i="2" a="1"/>
  <c r="AF380" i="2"/>
  <c r="AF381" i="2" a="1"/>
  <c r="AF381" i="2" s="1"/>
  <c r="AF382" i="2" a="1"/>
  <c r="AF382" i="2" s="1"/>
  <c r="AF383" i="2" a="1"/>
  <c r="AF383" i="2" s="1"/>
  <c r="AF384" i="2" a="1"/>
  <c r="AF384" i="2" s="1"/>
  <c r="AF385" i="2" a="1"/>
  <c r="AF385" i="2" s="1"/>
  <c r="AF386" i="2" a="1"/>
  <c r="AF386" i="2" s="1"/>
  <c r="AF387" i="2" a="1"/>
  <c r="AF387" i="2" s="1"/>
  <c r="AF388" i="2" a="1"/>
  <c r="AF388" i="2"/>
  <c r="AF389" i="2" a="1"/>
  <c r="AF389" i="2" s="1"/>
  <c r="AF390" i="2" a="1"/>
  <c r="AF390" i="2" s="1"/>
  <c r="AF391" i="2" a="1"/>
  <c r="AF391" i="2" s="1"/>
  <c r="AF392" i="2" a="1"/>
  <c r="AF392" i="2" s="1"/>
  <c r="AF393" i="2" a="1"/>
  <c r="AF393" i="2" s="1"/>
  <c r="AF394" i="2" a="1"/>
  <c r="AF394" i="2"/>
  <c r="AF395" i="2" a="1"/>
  <c r="AF395" i="2" s="1"/>
  <c r="AF396" i="2" a="1"/>
  <c r="AF396" i="2" s="1"/>
  <c r="AF397" i="2" a="1"/>
  <c r="AF397" i="2" s="1"/>
  <c r="AF398" i="2" a="1"/>
  <c r="AF398" i="2" s="1"/>
  <c r="AF399" i="2" a="1"/>
  <c r="AF399" i="2" s="1"/>
  <c r="AF400" i="2" a="1"/>
  <c r="AF400" i="2" s="1"/>
  <c r="AF401" i="2" a="1"/>
  <c r="AF401" i="2" s="1"/>
  <c r="AF402" i="2" a="1"/>
  <c r="AF402" i="2" s="1"/>
  <c r="AF403" i="2" a="1"/>
  <c r="AF403" i="2" s="1"/>
  <c r="AF404" i="2" a="1"/>
  <c r="AF404" i="2"/>
  <c r="AF405" i="2" a="1"/>
  <c r="AF405" i="2" s="1"/>
  <c r="AF406" i="2" a="1"/>
  <c r="AF406" i="2" s="1"/>
  <c r="AF407" i="2" a="1"/>
  <c r="AF407" i="2" s="1"/>
  <c r="AF408" i="2" a="1"/>
  <c r="AF408" i="2" s="1"/>
  <c r="AF409" i="2" a="1"/>
  <c r="AF409" i="2" s="1"/>
  <c r="AF410" i="2" a="1"/>
  <c r="AF410" i="2" s="1"/>
  <c r="AF411" i="2" a="1"/>
  <c r="AF411" i="2"/>
  <c r="AF412" i="2" a="1"/>
  <c r="AF412" i="2"/>
  <c r="AF413" i="2" a="1"/>
  <c r="AF413" i="2" s="1"/>
  <c r="AF414" i="2" a="1"/>
  <c r="AF414" i="2" s="1"/>
  <c r="AF415" i="2" a="1"/>
  <c r="AF415" i="2" s="1"/>
  <c r="AF416" i="2" a="1"/>
  <c r="AF416" i="2" s="1"/>
  <c r="AF417" i="2" a="1"/>
  <c r="AF417" i="2"/>
  <c r="AF418" i="2" a="1"/>
  <c r="AF418" i="2" s="1"/>
  <c r="AF419" i="2" a="1"/>
  <c r="AF419" i="2" s="1"/>
  <c r="AF420" i="2" a="1"/>
  <c r="AF420" i="2" s="1"/>
  <c r="AF421" i="2" a="1"/>
  <c r="AF421" i="2" s="1"/>
  <c r="AF422" i="2" a="1"/>
  <c r="AF422" i="2" s="1"/>
  <c r="AF423" i="2" a="1"/>
  <c r="AF423" i="2" s="1"/>
  <c r="AF424" i="2" a="1"/>
  <c r="AF424" i="2" s="1"/>
  <c r="AF425" i="2" a="1"/>
  <c r="AF425" i="2" s="1"/>
  <c r="AF426" i="2" a="1"/>
  <c r="AF426" i="2" s="1"/>
  <c r="AF427" i="2" a="1"/>
  <c r="AF427" i="2" s="1"/>
  <c r="AF428" i="2" a="1"/>
  <c r="AF428" i="2" s="1"/>
  <c r="AF429" i="2" a="1"/>
  <c r="AF429" i="2"/>
  <c r="AF430" i="2" a="1"/>
  <c r="AF430" i="2" s="1"/>
  <c r="AF431" i="2" a="1"/>
  <c r="AF431" i="2" s="1"/>
  <c r="AF432" i="2" a="1"/>
  <c r="AF432" i="2" s="1"/>
  <c r="AF433" i="2" a="1"/>
  <c r="AF433" i="2" s="1"/>
  <c r="AF434" i="2" a="1"/>
  <c r="AF434" i="2" s="1"/>
  <c r="AF435" i="2" a="1"/>
  <c r="AF435" i="2" s="1"/>
  <c r="AF436" i="2" a="1"/>
  <c r="AF436" i="2" s="1"/>
  <c r="AF437" i="2" a="1"/>
  <c r="AF437" i="2" s="1"/>
  <c r="AF438" i="2" a="1"/>
  <c r="AF438" i="2" s="1"/>
  <c r="AF439" i="2" a="1"/>
  <c r="AF439" i="2" s="1"/>
  <c r="AF440" i="2" a="1"/>
  <c r="AF440" i="2" s="1"/>
  <c r="AF441" i="2" a="1"/>
  <c r="AF441" i="2" s="1"/>
  <c r="AF442" i="2" a="1"/>
  <c r="AF442" i="2" s="1"/>
  <c r="AF443" i="2" a="1"/>
  <c r="AF443" i="2" s="1"/>
  <c r="AF444" i="2" a="1"/>
  <c r="AF444" i="2" s="1"/>
  <c r="AF445" i="2" a="1"/>
  <c r="AF445" i="2" s="1"/>
  <c r="AF446" i="2" a="1"/>
  <c r="AF446" i="2" s="1"/>
  <c r="AF447" i="2" a="1"/>
  <c r="AF447" i="2" s="1"/>
  <c r="AF448" i="2" a="1"/>
  <c r="AF448" i="2" s="1"/>
  <c r="AF449" i="2" a="1"/>
  <c r="AF449" i="2" s="1"/>
  <c r="AF450" i="2" a="1"/>
  <c r="AF450" i="2" s="1"/>
  <c r="AF451" i="2" a="1"/>
  <c r="AF451" i="2" s="1"/>
  <c r="AF452" i="2" a="1"/>
  <c r="AF452" i="2" s="1"/>
  <c r="AF453" i="2" a="1"/>
  <c r="AF453" i="2" s="1"/>
  <c r="AF454" i="2" a="1"/>
  <c r="AF454" i="2" s="1"/>
  <c r="AF455" i="2" a="1"/>
  <c r="AF455" i="2" s="1"/>
  <c r="AF456" i="2" a="1"/>
  <c r="AF456" i="2" s="1"/>
  <c r="AF457" i="2" a="1"/>
  <c r="AF457" i="2" s="1"/>
  <c r="AF458" i="2" a="1"/>
  <c r="AF458" i="2"/>
  <c r="AF459" i="2" a="1"/>
  <c r="AF459" i="2" s="1"/>
  <c r="AF460" i="2" a="1"/>
  <c r="AF460" i="2" s="1"/>
  <c r="AF461" i="2" a="1"/>
  <c r="AF461" i="2" s="1"/>
  <c r="AF462" i="2" a="1"/>
  <c r="AF462" i="2" s="1"/>
  <c r="AF463" i="2" a="1"/>
  <c r="AF463" i="2" s="1"/>
  <c r="AF464" i="2" a="1"/>
  <c r="AF464" i="2" s="1"/>
  <c r="AF465" i="2" a="1"/>
  <c r="AF465" i="2" s="1"/>
  <c r="AF466" i="2" a="1"/>
  <c r="AF466" i="2" s="1"/>
  <c r="AF467" i="2" a="1"/>
  <c r="AF467" i="2" s="1"/>
  <c r="AF468" i="2" a="1"/>
  <c r="AF468" i="2" s="1"/>
  <c r="AF469" i="2" a="1"/>
  <c r="AF469" i="2" s="1"/>
  <c r="AF470" i="2" a="1"/>
  <c r="AF470" i="2" s="1"/>
  <c r="AF471" i="2" a="1"/>
  <c r="AF471" i="2" s="1"/>
  <c r="AF472" i="2" a="1"/>
  <c r="AF472" i="2" s="1"/>
  <c r="AF473" i="2" a="1"/>
  <c r="AF473" i="2" s="1"/>
  <c r="AF474" i="2" a="1"/>
  <c r="AF474" i="2" s="1"/>
  <c r="AF475" i="2" a="1"/>
  <c r="AF475" i="2" s="1"/>
  <c r="AF476" i="2" a="1"/>
  <c r="AF476" i="2" s="1"/>
  <c r="AF477" i="2" a="1"/>
  <c r="AF477" i="2" s="1"/>
  <c r="AF478" i="2" a="1"/>
  <c r="AF478" i="2" s="1"/>
  <c r="AF479" i="2" a="1"/>
  <c r="AF479" i="2" s="1"/>
  <c r="AF480" i="2" a="1"/>
  <c r="AF480" i="2" s="1"/>
  <c r="AF481" i="2" a="1"/>
  <c r="AF481" i="2" s="1"/>
  <c r="AF482" i="2" a="1"/>
  <c r="AF482" i="2"/>
  <c r="AF483" i="2" a="1"/>
  <c r="AF483" i="2"/>
  <c r="AF484" i="2" a="1"/>
  <c r="AF484" i="2" s="1"/>
  <c r="AF485" i="2" a="1"/>
  <c r="AF485" i="2" s="1"/>
  <c r="AF486" i="2" a="1"/>
  <c r="AF486" i="2" s="1"/>
  <c r="AF487" i="2" a="1"/>
  <c r="AF487" i="2" s="1"/>
  <c r="AF488" i="2" a="1"/>
  <c r="AF488" i="2" s="1"/>
  <c r="AF489" i="2" a="1"/>
  <c r="AF489" i="2" s="1"/>
  <c r="AF490" i="2" a="1"/>
  <c r="AF490" i="2"/>
  <c r="AF491" i="2" a="1"/>
  <c r="AF491" i="2" s="1"/>
  <c r="AF492" i="2" a="1"/>
  <c r="AF492" i="2" s="1"/>
  <c r="AF493" i="2" a="1"/>
  <c r="AF493" i="2" s="1"/>
  <c r="AF494" i="2" a="1"/>
  <c r="AF494" i="2" s="1"/>
  <c r="AF495" i="2" a="1"/>
  <c r="AF495" i="2"/>
  <c r="AF496" i="2" a="1"/>
  <c r="AF496" i="2" s="1"/>
  <c r="AF497" i="2" a="1"/>
  <c r="AF497" i="2" s="1"/>
  <c r="AF498" i="2" a="1"/>
  <c r="AF498" i="2" s="1"/>
  <c r="AF499" i="2" a="1"/>
  <c r="AF499" i="2" s="1"/>
  <c r="AF500" i="2" a="1"/>
  <c r="AF500" i="2"/>
  <c r="AF501" i="2" a="1"/>
  <c r="AF501" i="2"/>
  <c r="AB192" i="5" l="1"/>
  <c r="AE192" i="5" s="1" a="1"/>
  <c r="AE192" i="5" s="1"/>
  <c r="AD361" i="5"/>
  <c r="AD167" i="5"/>
  <c r="AD451" i="5"/>
  <c r="AE190" i="5" a="1"/>
  <c r="AE190" i="5" s="1"/>
  <c r="AD448" i="5"/>
  <c r="AD356" i="5"/>
  <c r="AB300" i="5"/>
  <c r="AE300" i="5" s="1" a="1"/>
  <c r="AE300" i="5" s="1"/>
  <c r="AD242" i="5"/>
  <c r="AB126" i="5"/>
  <c r="AC126" i="5" s="1" a="1"/>
  <c r="AC126" i="5" s="1"/>
  <c r="AD359" i="5"/>
  <c r="AD27" i="5"/>
  <c r="AD159" i="5"/>
  <c r="AB223" i="5"/>
  <c r="AE223" i="5" s="1" a="1"/>
  <c r="AE223" i="5" s="1"/>
  <c r="AD463" i="5"/>
  <c r="AE452" i="5" a="1"/>
  <c r="AE452" i="5" s="1"/>
  <c r="AB412" i="5"/>
  <c r="AE412" i="5" s="1" a="1"/>
  <c r="AE412" i="5" s="1"/>
  <c r="AB240" i="5"/>
  <c r="AE240" i="5" s="1" a="1"/>
  <c r="AE240" i="5" s="1"/>
  <c r="AD443" i="5"/>
  <c r="AE144" i="5" a="1"/>
  <c r="AE144" i="5" s="1"/>
  <c r="AD417" i="5"/>
  <c r="AB494" i="5"/>
  <c r="AC494" i="5" s="1" a="1"/>
  <c r="AC494" i="5" s="1"/>
  <c r="AE451" i="5" a="1"/>
  <c r="AE451" i="5" s="1"/>
  <c r="AD364" i="5"/>
  <c r="AB308" i="5"/>
  <c r="AC308" i="5" s="1" a="1"/>
  <c r="AC308" i="5" s="1"/>
  <c r="AB86" i="5"/>
  <c r="AE86" i="5" s="1" a="1"/>
  <c r="AE86" i="5" s="1"/>
  <c r="AE249" i="5" a="1"/>
  <c r="AE249" i="5" s="1"/>
  <c r="AB43" i="5"/>
  <c r="AD317" i="5"/>
  <c r="AE21" i="5" a="1"/>
  <c r="AE21" i="5" s="1"/>
  <c r="AC21" i="5" a="1"/>
  <c r="AC21" i="5" s="1"/>
  <c r="AB88" i="5"/>
  <c r="AE88" i="5" s="1" a="1"/>
  <c r="AE88" i="5" s="1"/>
  <c r="AD268" i="5"/>
  <c r="AD16" i="5"/>
  <c r="AB120" i="5"/>
  <c r="AE120" i="5" s="1" a="1"/>
  <c r="AE120" i="5" s="1"/>
  <c r="AB160" i="5"/>
  <c r="AC160" i="5" s="1" a="1"/>
  <c r="AC160" i="5" s="1"/>
  <c r="AB122" i="5"/>
  <c r="AE122" i="5" s="1" a="1"/>
  <c r="AE122" i="5" s="1"/>
  <c r="AE75" i="5" a="1"/>
  <c r="AE75" i="5" s="1"/>
  <c r="AE16" i="5" a="1"/>
  <c r="AE16" i="5" s="1"/>
  <c r="AD53" i="5"/>
  <c r="AD20" i="5"/>
  <c r="AD3" i="5"/>
  <c r="AB19" i="5"/>
  <c r="AC19" i="5" s="1" a="1"/>
  <c r="AC19" i="5" s="1"/>
  <c r="AD72" i="5"/>
  <c r="AD357" i="5"/>
  <c r="AD501" i="5"/>
  <c r="AB323" i="5"/>
  <c r="AC323" i="5" s="1" a="1"/>
  <c r="AC323" i="5" s="1"/>
  <c r="AD484" i="5"/>
  <c r="AD415" i="5"/>
  <c r="AD127" i="5"/>
  <c r="AD286" i="5"/>
  <c r="AB173" i="5"/>
  <c r="AE173" i="5" s="1" a="1"/>
  <c r="AE173" i="5" s="1"/>
  <c r="AE415" i="5" a="1"/>
  <c r="AE415" i="5" s="1"/>
  <c r="AB169" i="5"/>
  <c r="AE169" i="5" s="1" a="1"/>
  <c r="AE169" i="5" s="1"/>
  <c r="AC281" i="5" a="1"/>
  <c r="AC281" i="5" s="1"/>
  <c r="AE400" i="5" a="1"/>
  <c r="AE400" i="5" s="1"/>
  <c r="AD405" i="5"/>
  <c r="AD281" i="5"/>
  <c r="AD386" i="5"/>
  <c r="AB467" i="5"/>
  <c r="AE363" i="5" a="1"/>
  <c r="AE363" i="5" s="1"/>
  <c r="AD235" i="5"/>
  <c r="AD373" i="5"/>
  <c r="AD228" i="5"/>
  <c r="AD414" i="5"/>
  <c r="AE82" i="5" a="1"/>
  <c r="AE82" i="5" s="1"/>
  <c r="AD396" i="5"/>
  <c r="AB428" i="5"/>
  <c r="AE428" i="5" s="1" a="1"/>
  <c r="AE428" i="5" s="1"/>
  <c r="AD212" i="5"/>
  <c r="AD258" i="5"/>
  <c r="AB7" i="5"/>
  <c r="AE7" i="5" s="1" a="1"/>
  <c r="AE7" i="5" s="1"/>
  <c r="AE216" i="5" a="1"/>
  <c r="AE216" i="5" s="1"/>
  <c r="AB128" i="5"/>
  <c r="AC128" i="5" s="1" a="1"/>
  <c r="AC128" i="5" s="1"/>
  <c r="AB108" i="5"/>
  <c r="AE108" i="5" s="1" a="1"/>
  <c r="AE108" i="5" s="1"/>
  <c r="AB282" i="5"/>
  <c r="AE282" i="5" s="1" a="1"/>
  <c r="AE282" i="5" s="1"/>
  <c r="AD322" i="5"/>
  <c r="AD301" i="5"/>
  <c r="AD21" i="5"/>
  <c r="AE167" i="5" a="1"/>
  <c r="AE167" i="5" s="1"/>
  <c r="AD134" i="5"/>
  <c r="AD395" i="5"/>
  <c r="AB296" i="5"/>
  <c r="AC296" i="5" s="1" a="1"/>
  <c r="AC296" i="5" s="1"/>
  <c r="AD372" i="5"/>
  <c r="AB91" i="5"/>
  <c r="AE91" i="5" s="1" a="1"/>
  <c r="AE91" i="5" s="1"/>
  <c r="AB245" i="5"/>
  <c r="AE245" i="5" s="1" a="1"/>
  <c r="AE245" i="5" s="1"/>
  <c r="AD370" i="5"/>
  <c r="AB51" i="5"/>
  <c r="AE51" i="5" s="1" a="1"/>
  <c r="AE51" i="5" s="1"/>
  <c r="AD194" i="5"/>
  <c r="AD12" i="5"/>
  <c r="AB492" i="5"/>
  <c r="AE492" i="5" s="1" a="1"/>
  <c r="AE492" i="5" s="1"/>
  <c r="AD239" i="5"/>
  <c r="AD438" i="5"/>
  <c r="AD46" i="5"/>
  <c r="AE319" i="5" a="1"/>
  <c r="AE319" i="5" s="1"/>
  <c r="AD170" i="5"/>
  <c r="AC479" i="5" a="1"/>
  <c r="AC479" i="5" s="1"/>
  <c r="AD400" i="5"/>
  <c r="AD381" i="5"/>
  <c r="AD107" i="5"/>
  <c r="AB45" i="5"/>
  <c r="AE45" i="5" s="1" a="1"/>
  <c r="AE45" i="5" s="1"/>
  <c r="AD275" i="5"/>
  <c r="AE356" i="5" a="1"/>
  <c r="AE356" i="5" s="1"/>
  <c r="AD236" i="5"/>
  <c r="AD190" i="5"/>
  <c r="AD333" i="5"/>
  <c r="AB97" i="5"/>
  <c r="AE97" i="5" s="1" a="1"/>
  <c r="AE97" i="5" s="1"/>
  <c r="AD144" i="5"/>
  <c r="AC329" i="5" a="1"/>
  <c r="AC329" i="5" s="1"/>
  <c r="AE329" i="5" a="1"/>
  <c r="AE329" i="5" s="1"/>
  <c r="AC395" i="5" a="1"/>
  <c r="AC395" i="5" s="1"/>
  <c r="AE395" i="5" a="1"/>
  <c r="AE395" i="5" s="1"/>
  <c r="AC179" i="5" a="1"/>
  <c r="AC179" i="5" s="1"/>
  <c r="AE179" i="5" a="1"/>
  <c r="AE179" i="5" s="1"/>
  <c r="AC373" i="5" a="1"/>
  <c r="AC373" i="5" s="1"/>
  <c r="AE373" i="5" a="1"/>
  <c r="AE373" i="5" s="1"/>
  <c r="AE35" i="5" a="1"/>
  <c r="AE35" i="5" s="1"/>
  <c r="AC35" i="5" a="1"/>
  <c r="AC35" i="5" s="1"/>
  <c r="AC382" i="5" a="1"/>
  <c r="AC382" i="5" s="1"/>
  <c r="AE382" i="5" a="1"/>
  <c r="AE382" i="5" s="1"/>
  <c r="AE212" i="5" a="1"/>
  <c r="AE212" i="5" s="1"/>
  <c r="AC212" i="5" a="1"/>
  <c r="AC212" i="5" s="1"/>
  <c r="AC443" i="5" a="1"/>
  <c r="AC443" i="5" s="1"/>
  <c r="AE443" i="5" a="1"/>
  <c r="AE443" i="5" s="1"/>
  <c r="AE448" i="5" a="1"/>
  <c r="AE448" i="5" s="1"/>
  <c r="AC448" i="5" a="1"/>
  <c r="AC448" i="5" s="1"/>
  <c r="AB123" i="5"/>
  <c r="AB369" i="5"/>
  <c r="AD369" i="5"/>
  <c r="AD210" i="5"/>
  <c r="AD424" i="5"/>
  <c r="AC73" i="5" a="1"/>
  <c r="AC73" i="5" s="1"/>
  <c r="AB269" i="5"/>
  <c r="AC269" i="5" s="1" a="1"/>
  <c r="AC269" i="5" s="1"/>
  <c r="AC122" i="5" a="1"/>
  <c r="AC122" i="5" s="1"/>
  <c r="AB176" i="5"/>
  <c r="AE176" i="5" s="1" a="1"/>
  <c r="AE176" i="5" s="1"/>
  <c r="AB80" i="5"/>
  <c r="AE80" i="5" s="1" a="1"/>
  <c r="AE80" i="5" s="1"/>
  <c r="AB441" i="5"/>
  <c r="AB206" i="5"/>
  <c r="AD387" i="5"/>
  <c r="AB129" i="5"/>
  <c r="AE129" i="5" s="1" a="1"/>
  <c r="AE129" i="5" s="1"/>
  <c r="AD329" i="5"/>
  <c r="AB89" i="5"/>
  <c r="AE89" i="5" s="1" a="1"/>
  <c r="AE89" i="5" s="1"/>
  <c r="AB183" i="5"/>
  <c r="AB315" i="5"/>
  <c r="AE315" i="5" s="1" a="1"/>
  <c r="AE315" i="5" s="1"/>
  <c r="AD315" i="5"/>
  <c r="AC438" i="5" a="1"/>
  <c r="AC438" i="5" s="1"/>
  <c r="AE438" i="5" a="1"/>
  <c r="AE438" i="5" s="1"/>
  <c r="AD464" i="5"/>
  <c r="AC359" i="5" a="1"/>
  <c r="AC359" i="5" s="1"/>
  <c r="AE445" i="5" a="1"/>
  <c r="AE445" i="5" s="1"/>
  <c r="AB74" i="5"/>
  <c r="AE74" i="5" s="1" a="1"/>
  <c r="AE74" i="5" s="1"/>
  <c r="AD346" i="5"/>
  <c r="AD73" i="5"/>
  <c r="AB447" i="5"/>
  <c r="AE447" i="5" s="1" a="1"/>
  <c r="AE447" i="5" s="1"/>
  <c r="AB264" i="5"/>
  <c r="AE264" i="5" s="1" a="1"/>
  <c r="AE264" i="5" s="1"/>
  <c r="AB465" i="5"/>
  <c r="AE465" i="5" s="1" a="1"/>
  <c r="AE465" i="5" s="1"/>
  <c r="AB349" i="5"/>
  <c r="AB151" i="5"/>
  <c r="AE151" i="5" s="1" a="1"/>
  <c r="AE151" i="5" s="1"/>
  <c r="AB397" i="5"/>
  <c r="AD150" i="5"/>
  <c r="AD35" i="5"/>
  <c r="AD319" i="5"/>
  <c r="AD98" i="5"/>
  <c r="AD474" i="5"/>
  <c r="AB474" i="5"/>
  <c r="AC474" i="5" s="1" a="1"/>
  <c r="AC474" i="5" s="1"/>
  <c r="AB29" i="5"/>
  <c r="AD29" i="5"/>
  <c r="AB493" i="5"/>
  <c r="AD493" i="5"/>
  <c r="AB309" i="5"/>
  <c r="AB124" i="5"/>
  <c r="AE124" i="5" s="1" a="1"/>
  <c r="AE124" i="5" s="1"/>
  <c r="AD124" i="5"/>
  <c r="AD445" i="5"/>
  <c r="AD70" i="5"/>
  <c r="AB70" i="5"/>
  <c r="AB139" i="5"/>
  <c r="AB314" i="5"/>
  <c r="AD298" i="5"/>
  <c r="AD413" i="5"/>
  <c r="AB498" i="5"/>
  <c r="AC498" i="5" s="1" a="1"/>
  <c r="AC498" i="5" s="1"/>
  <c r="AD289" i="5"/>
  <c r="AB471" i="5"/>
  <c r="AD471" i="5"/>
  <c r="AB321" i="5"/>
  <c r="AC321" i="5" s="1" a="1"/>
  <c r="AC321" i="5" s="1"/>
  <c r="AB191" i="5"/>
  <c r="AC191" i="5" s="1" a="1"/>
  <c r="AC191" i="5" s="1"/>
  <c r="AD6" i="5"/>
  <c r="AD179" i="5"/>
  <c r="AB325" i="5"/>
  <c r="AE325" i="5" s="1" a="1"/>
  <c r="AE325" i="5" s="1"/>
  <c r="AB444" i="5"/>
  <c r="AE444" i="5" s="1" a="1"/>
  <c r="AE444" i="5" s="1"/>
  <c r="AE370" i="5" a="1"/>
  <c r="AE370" i="5" s="1"/>
  <c r="AD163" i="5"/>
  <c r="AB229" i="5"/>
  <c r="AE297" i="5" a="1"/>
  <c r="AE297" i="5" s="1"/>
  <c r="AB138" i="5"/>
  <c r="AB398" i="5"/>
  <c r="AC398" i="5" s="1" a="1"/>
  <c r="AC398" i="5" s="1"/>
  <c r="AD398" i="5"/>
  <c r="AE258" i="5" a="1"/>
  <c r="AE258" i="5" s="1"/>
  <c r="AC258" i="5" a="1"/>
  <c r="AC258" i="5" s="1"/>
  <c r="AB470" i="5"/>
  <c r="AE470" i="5" s="1" a="1"/>
  <c r="AE470" i="5" s="1"/>
  <c r="AB111" i="5"/>
  <c r="AD111" i="5"/>
  <c r="AD392" i="5"/>
  <c r="AD436" i="5"/>
  <c r="AB26" i="5"/>
  <c r="AE26" i="5" s="1" a="1"/>
  <c r="AE26" i="5" s="1"/>
  <c r="AB378" i="5"/>
  <c r="AD391" i="5"/>
  <c r="AE392" i="5" a="1"/>
  <c r="AE392" i="5" s="1"/>
  <c r="AB384" i="5"/>
  <c r="AC384" i="5" s="1" a="1"/>
  <c r="AC384" i="5" s="1"/>
  <c r="AB215" i="5"/>
  <c r="AE215" i="5" s="1" a="1"/>
  <c r="AE215" i="5" s="1"/>
  <c r="AB434" i="5"/>
  <c r="AB136" i="5"/>
  <c r="AC136" i="5" s="1" a="1"/>
  <c r="AC136" i="5" s="1"/>
  <c r="AB261" i="5"/>
  <c r="AD261" i="5"/>
  <c r="AD121" i="5"/>
  <c r="AB121" i="5"/>
  <c r="AC121" i="5" s="1" a="1"/>
  <c r="AC121" i="5" s="1"/>
  <c r="AB353" i="5"/>
  <c r="AB284" i="5"/>
  <c r="AE284" i="5" s="1" a="1"/>
  <c r="AE284" i="5" s="1"/>
  <c r="AD382" i="5"/>
  <c r="AE27" i="5" a="1"/>
  <c r="AE27" i="5" s="1"/>
  <c r="AB276" i="5"/>
  <c r="AC276" i="5" s="1" a="1"/>
  <c r="AC276" i="5" s="1"/>
  <c r="AB374" i="5"/>
  <c r="AC374" i="5" s="1" a="1"/>
  <c r="AC374" i="5" s="1"/>
  <c r="AD449" i="5"/>
  <c r="AD418" i="5"/>
  <c r="AB305" i="5"/>
  <c r="AC305" i="5" s="1" a="1"/>
  <c r="AC305" i="5" s="1"/>
  <c r="AD305" i="5"/>
  <c r="AD297" i="5"/>
  <c r="AD231" i="5"/>
  <c r="AD420" i="5"/>
  <c r="AB421" i="5"/>
  <c r="AE421" i="5" s="1" a="1"/>
  <c r="AE421" i="5" s="1"/>
  <c r="AB293" i="5"/>
  <c r="AD293" i="5"/>
  <c r="AD489" i="5"/>
  <c r="AB489" i="5"/>
  <c r="AC489" i="5" s="1" a="1"/>
  <c r="AC489" i="5" s="1"/>
  <c r="AD306" i="5"/>
  <c r="AB40" i="5"/>
  <c r="AE40" i="5" s="1" a="1"/>
  <c r="AE40" i="5" s="1"/>
  <c r="AB178" i="5"/>
  <c r="AC178" i="5" s="1" a="1"/>
  <c r="AC178" i="5" s="1"/>
  <c r="AB476" i="5"/>
  <c r="AC476" i="5" s="1" a="1"/>
  <c r="AC476" i="5" s="1"/>
  <c r="AB429" i="5"/>
  <c r="AC429" i="5" s="1" a="1"/>
  <c r="AC429" i="5" s="1"/>
  <c r="AC12" i="5" a="1"/>
  <c r="AC12" i="5" s="1"/>
  <c r="AE12" i="5" a="1"/>
  <c r="AE12" i="5" s="1"/>
  <c r="AB17" i="5"/>
  <c r="AE17" i="5" s="1" a="1"/>
  <c r="AE17" i="5" s="1"/>
  <c r="AC301" i="5" a="1"/>
  <c r="AC301" i="5" s="1"/>
  <c r="AE301" i="5" a="1"/>
  <c r="AE301" i="5" s="1"/>
  <c r="AB336" i="5"/>
  <c r="AE357" i="5" a="1"/>
  <c r="AE357" i="5" s="1"/>
  <c r="AB461" i="5"/>
  <c r="AB366" i="5"/>
  <c r="AE366" i="5" s="1" a="1"/>
  <c r="AE366" i="5" s="1"/>
  <c r="AD479" i="5"/>
  <c r="AB481" i="5"/>
  <c r="AE481" i="5" s="1" a="1"/>
  <c r="AE481" i="5" s="1"/>
  <c r="AD247" i="5"/>
  <c r="AD220" i="5"/>
  <c r="AB220" i="5"/>
  <c r="AE220" i="5" s="1" a="1"/>
  <c r="AE220" i="5" s="1"/>
  <c r="AC135" i="5" a="1"/>
  <c r="AC135" i="5" s="1"/>
  <c r="AE135" i="5" a="1"/>
  <c r="AE135" i="5" s="1"/>
  <c r="AD76" i="5"/>
  <c r="AB76" i="5"/>
  <c r="AE76" i="5" s="1" a="1"/>
  <c r="AE76" i="5" s="1"/>
  <c r="AD135" i="5"/>
  <c r="AB105" i="5"/>
  <c r="AD376" i="5"/>
  <c r="AB177" i="5"/>
  <c r="AD177" i="5"/>
  <c r="AD295" i="5"/>
  <c r="AD207" i="5"/>
  <c r="AE401" i="5" a="1"/>
  <c r="AE401" i="5" s="1"/>
  <c r="AB66" i="5"/>
  <c r="AE66" i="5" s="1" a="1"/>
  <c r="AE66" i="5" s="1"/>
  <c r="AD475" i="5"/>
  <c r="AB316" i="5"/>
  <c r="AE316" i="5" s="1" a="1"/>
  <c r="AE316" i="5" s="1"/>
  <c r="AB343" i="5"/>
  <c r="AD343" i="5"/>
  <c r="AB246" i="5"/>
  <c r="AD246" i="5"/>
  <c r="AE475" i="5" a="1"/>
  <c r="AE475" i="5" s="1"/>
  <c r="AB320" i="5"/>
  <c r="AE320" i="5" s="1" a="1"/>
  <c r="AE320" i="5" s="1"/>
  <c r="AD320" i="5"/>
  <c r="AB243" i="5"/>
  <c r="AE243" i="5" s="1" a="1"/>
  <c r="AE243" i="5" s="1"/>
  <c r="AB335" i="5"/>
  <c r="AC335" i="5" s="1" a="1"/>
  <c r="AC335" i="5" s="1"/>
  <c r="AB168" i="5"/>
  <c r="AC168" i="5" s="1" a="1"/>
  <c r="AC168" i="5" s="1"/>
  <c r="AD154" i="5"/>
  <c r="AB137" i="5"/>
  <c r="AC137" i="5" s="1" a="1"/>
  <c r="AC137" i="5" s="1"/>
  <c r="AB244" i="5"/>
  <c r="AE244" i="5" s="1" a="1"/>
  <c r="AE244" i="5" s="1"/>
  <c r="AB341" i="5"/>
  <c r="AD341" i="5"/>
  <c r="AD99" i="5"/>
  <c r="AE61" i="5" a="1"/>
  <c r="AE61" i="5" s="1"/>
  <c r="AE6" i="5" a="1"/>
  <c r="AE6" i="5" s="1"/>
  <c r="AE268" i="5" a="1"/>
  <c r="AE268" i="5" s="1"/>
  <c r="AB65" i="5"/>
  <c r="AE65" i="5" s="1" a="1"/>
  <c r="AE65" i="5" s="1"/>
  <c r="AD65" i="5"/>
  <c r="AB78" i="5"/>
  <c r="AE78" i="5" s="1" a="1"/>
  <c r="AE78" i="5" s="1"/>
  <c r="AD78" i="5"/>
  <c r="AB180" i="5"/>
  <c r="AD56" i="5"/>
  <c r="AB430" i="5"/>
  <c r="AE430" i="5" s="1" a="1"/>
  <c r="AE430" i="5" s="1"/>
  <c r="AD85" i="5"/>
  <c r="AB423" i="5"/>
  <c r="AE423" i="5" s="1" a="1"/>
  <c r="AE423" i="5" s="1"/>
  <c r="AB331" i="5"/>
  <c r="AB271" i="5"/>
  <c r="AE271" i="5" s="1" a="1"/>
  <c r="AE271" i="5" s="1"/>
  <c r="AB60" i="5"/>
  <c r="AD102" i="5"/>
  <c r="AD55" i="5"/>
  <c r="AB155" i="5"/>
  <c r="AC155" i="5" s="1" a="1"/>
  <c r="AC155" i="5" s="1"/>
  <c r="AB327" i="5"/>
  <c r="AE327" i="5" s="1" a="1"/>
  <c r="AE327" i="5" s="1"/>
  <c r="AB291" i="5"/>
  <c r="AE291" i="5" s="1" a="1"/>
  <c r="AE291" i="5" s="1"/>
  <c r="AC439" i="5" a="1"/>
  <c r="AC439" i="5" s="1"/>
  <c r="AD224" i="5"/>
  <c r="AB272" i="5"/>
  <c r="AC272" i="5" s="1" a="1"/>
  <c r="AC272" i="5" s="1"/>
  <c r="AB18" i="5"/>
  <c r="AC18" i="5" s="1" a="1"/>
  <c r="AC18" i="5" s="1"/>
  <c r="AD427" i="5"/>
  <c r="AD5" i="5"/>
  <c r="AE56" i="5" a="1"/>
  <c r="AE56" i="5" s="1"/>
  <c r="AB368" i="5"/>
  <c r="AE368" i="5" s="1" a="1"/>
  <c r="AE368" i="5" s="1"/>
  <c r="AD410" i="5"/>
  <c r="AD237" i="5"/>
  <c r="AD130" i="5"/>
  <c r="AE85" i="5" a="1"/>
  <c r="AE85" i="5" s="1"/>
  <c r="AB156" i="5"/>
  <c r="AB393" i="5"/>
  <c r="AB54" i="5"/>
  <c r="AE54" i="5" s="1" a="1"/>
  <c r="AE54" i="5" s="1"/>
  <c r="AB213" i="5"/>
  <c r="AD174" i="5"/>
  <c r="AB44" i="5"/>
  <c r="AE44" i="5" s="1" a="1"/>
  <c r="AE44" i="5" s="1"/>
  <c r="AB337" i="5"/>
  <c r="AD379" i="5"/>
  <c r="AD439" i="5"/>
  <c r="AE224" i="5" a="1"/>
  <c r="AE224" i="5" s="1"/>
  <c r="AB446" i="5"/>
  <c r="AE446" i="5" s="1" a="1"/>
  <c r="AE446" i="5" s="1"/>
  <c r="AB39" i="5"/>
  <c r="AE39" i="5" s="1" a="1"/>
  <c r="AE39" i="5" s="1"/>
  <c r="AD411" i="5"/>
  <c r="AB354" i="5"/>
  <c r="AB62" i="5"/>
  <c r="AC62" i="5" s="1" a="1"/>
  <c r="AC62" i="5" s="1"/>
  <c r="AD440" i="5"/>
  <c r="AB288" i="5"/>
  <c r="AE427" i="5" a="1"/>
  <c r="AE427" i="5" s="1"/>
  <c r="AE411" i="5" a="1"/>
  <c r="AE411" i="5" s="1"/>
  <c r="AD360" i="5"/>
  <c r="AD199" i="5"/>
  <c r="AD407" i="5"/>
  <c r="AE5" i="5" a="1"/>
  <c r="AE5" i="5" s="1"/>
  <c r="AD106" i="5"/>
  <c r="AB200" i="5"/>
  <c r="AC200" i="5" s="1" a="1"/>
  <c r="AC200" i="5" s="1"/>
  <c r="AD283" i="5"/>
  <c r="AB193" i="5"/>
  <c r="AC193" i="5" s="1" a="1"/>
  <c r="AC193" i="5" s="1"/>
  <c r="AB350" i="5"/>
  <c r="AD457" i="5"/>
  <c r="AD273" i="5"/>
  <c r="AB377" i="5"/>
  <c r="AE174" i="5" a="1"/>
  <c r="AE174" i="5" s="1"/>
  <c r="AD157" i="5"/>
  <c r="AD195" i="5"/>
  <c r="AB477" i="5"/>
  <c r="AE477" i="5" s="1" a="1"/>
  <c r="AE477" i="5" s="1"/>
  <c r="AE379" i="5" a="1"/>
  <c r="AE379" i="5" s="1"/>
  <c r="AD340" i="5"/>
  <c r="AD249" i="5"/>
  <c r="AE199" i="5" a="1"/>
  <c r="AE199" i="5" s="1"/>
  <c r="AE283" i="5" a="1"/>
  <c r="AE283" i="5" s="1"/>
  <c r="AD133" i="5"/>
  <c r="AD68" i="5"/>
  <c r="AD389" i="5"/>
  <c r="AD375" i="5"/>
  <c r="AD478" i="5"/>
  <c r="AD82" i="5"/>
  <c r="AD216" i="5"/>
  <c r="AE157" i="5" a="1"/>
  <c r="AE157" i="5" s="1"/>
  <c r="AE195" i="5" a="1"/>
  <c r="AE195" i="5" s="1"/>
  <c r="AD233" i="5"/>
  <c r="AD75" i="5"/>
  <c r="AD452" i="5"/>
  <c r="AE391" i="5" a="1"/>
  <c r="AE391" i="5" s="1"/>
  <c r="AC391" i="5" a="1"/>
  <c r="AC391" i="5" s="1"/>
  <c r="AC131" i="5" a="1"/>
  <c r="AC131" i="5" s="1"/>
  <c r="AE131" i="5" a="1"/>
  <c r="AE131" i="5" s="1"/>
  <c r="AE364" i="5" a="1"/>
  <c r="AE364" i="5" s="1"/>
  <c r="AC364" i="5" a="1"/>
  <c r="AC364" i="5" s="1"/>
  <c r="AB402" i="5"/>
  <c r="AD189" i="5"/>
  <c r="AB189" i="5"/>
  <c r="AE68" i="5" a="1"/>
  <c r="AE68" i="5" s="1"/>
  <c r="AC68" i="5" a="1"/>
  <c r="AC68" i="5" s="1"/>
  <c r="AC20" i="5" a="1"/>
  <c r="AC20" i="5" s="1"/>
  <c r="AD158" i="5"/>
  <c r="AB158" i="5"/>
  <c r="AC484" i="5" a="1"/>
  <c r="AC484" i="5" s="1"/>
  <c r="AB125" i="5"/>
  <c r="AD280" i="5"/>
  <c r="AB280" i="5"/>
  <c r="AB48" i="5"/>
  <c r="AC41" i="5" a="1"/>
  <c r="AC41" i="5" s="1"/>
  <c r="AE41" i="5" a="1"/>
  <c r="AE41" i="5" s="1"/>
  <c r="AB419" i="5"/>
  <c r="AE136" i="5" a="1"/>
  <c r="AE136" i="5" s="1"/>
  <c r="AD131" i="5"/>
  <c r="AE420" i="5" a="1"/>
  <c r="AE420" i="5" s="1"/>
  <c r="AC420" i="5" a="1"/>
  <c r="AC420" i="5" s="1"/>
  <c r="AB347" i="5"/>
  <c r="AD347" i="5"/>
  <c r="AB406" i="5"/>
  <c r="AB290" i="5"/>
  <c r="AD456" i="5"/>
  <c r="AB456" i="5"/>
  <c r="AD426" i="5"/>
  <c r="AB426" i="5"/>
  <c r="AD390" i="5"/>
  <c r="AB390" i="5"/>
  <c r="AD500" i="5"/>
  <c r="AB500" i="5"/>
  <c r="AB345" i="5"/>
  <c r="AB388" i="5"/>
  <c r="AD388" i="5"/>
  <c r="AB497" i="5"/>
  <c r="AE194" i="5" a="1"/>
  <c r="AE194" i="5" s="1"/>
  <c r="AC194" i="5" a="1"/>
  <c r="AC194" i="5" s="1"/>
  <c r="AB153" i="5"/>
  <c r="AD153" i="5"/>
  <c r="AE387" i="5" a="1"/>
  <c r="AE387" i="5" s="1"/>
  <c r="AD248" i="5"/>
  <c r="AB248" i="5"/>
  <c r="AD473" i="5"/>
  <c r="AB473" i="5"/>
  <c r="AD267" i="5"/>
  <c r="AC289" i="5" a="1"/>
  <c r="AC289" i="5" s="1"/>
  <c r="AD36" i="5"/>
  <c r="AB485" i="5"/>
  <c r="AD238" i="5"/>
  <c r="AB238" i="5"/>
  <c r="AB270" i="5"/>
  <c r="AE127" i="5" a="1"/>
  <c r="AE127" i="5" s="1"/>
  <c r="AC127" i="5" a="1"/>
  <c r="AC127" i="5" s="1"/>
  <c r="AC414" i="5" a="1"/>
  <c r="AC414" i="5" s="1"/>
  <c r="AD324" i="5"/>
  <c r="AD408" i="5"/>
  <c r="AC244" i="5" a="1"/>
  <c r="AC244" i="5" s="1"/>
  <c r="AE159" i="5" a="1"/>
  <c r="AE159" i="5" s="1"/>
  <c r="AE242" i="5" a="1"/>
  <c r="AE242" i="5" s="1"/>
  <c r="AB205" i="5"/>
  <c r="AE286" i="5" a="1"/>
  <c r="AE286" i="5" s="1"/>
  <c r="AC286" i="5" a="1"/>
  <c r="AC286" i="5" s="1"/>
  <c r="AC192" i="5" a="1"/>
  <c r="AC192" i="5" s="1"/>
  <c r="AE386" i="5" a="1"/>
  <c r="AE386" i="5" s="1"/>
  <c r="AC107" i="5" a="1"/>
  <c r="AC107" i="5" s="1"/>
  <c r="AE107" i="5" a="1"/>
  <c r="AE107" i="5" s="1"/>
  <c r="AD251" i="5"/>
  <c r="AB251" i="5"/>
  <c r="AE134" i="5" a="1"/>
  <c r="AE134" i="5" s="1"/>
  <c r="AC134" i="5" a="1"/>
  <c r="AC134" i="5" s="1"/>
  <c r="AB274" i="5"/>
  <c r="AD274" i="5"/>
  <c r="AC405" i="5" a="1"/>
  <c r="AC405" i="5" s="1"/>
  <c r="AC76" i="5" a="1"/>
  <c r="AC76" i="5" s="1"/>
  <c r="AD165" i="5"/>
  <c r="AB165" i="5"/>
  <c r="AE360" i="5" a="1"/>
  <c r="AE360" i="5" s="1"/>
  <c r="AC360" i="5" a="1"/>
  <c r="AC360" i="5" s="1"/>
  <c r="AB34" i="5"/>
  <c r="AD34" i="5"/>
  <c r="AB394" i="5"/>
  <c r="AB161" i="5"/>
  <c r="AC317" i="5" a="1"/>
  <c r="AC317" i="5" s="1"/>
  <c r="AC361" i="5" a="1"/>
  <c r="AC361" i="5" s="1"/>
  <c r="AE106" i="5" a="1"/>
  <c r="AE106" i="5" s="1"/>
  <c r="AC106" i="5" a="1"/>
  <c r="AC106" i="5" s="1"/>
  <c r="AD13" i="5"/>
  <c r="AD33" i="5"/>
  <c r="AB33" i="5"/>
  <c r="AB92" i="5"/>
  <c r="AC409" i="5" a="1"/>
  <c r="AC409" i="5" s="1"/>
  <c r="AE409" i="5" a="1"/>
  <c r="AE409" i="5" s="1"/>
  <c r="AB334" i="5"/>
  <c r="AE13" i="5" a="1"/>
  <c r="AE13" i="5" s="1"/>
  <c r="AB355" i="5"/>
  <c r="AC440" i="5" a="1"/>
  <c r="AC440" i="5" s="1"/>
  <c r="AB117" i="5"/>
  <c r="AB37" i="5"/>
  <c r="AD15" i="5"/>
  <c r="AB15" i="5"/>
  <c r="AB383" i="5"/>
  <c r="AD141" i="5"/>
  <c r="AB141" i="5"/>
  <c r="AB326" i="5"/>
  <c r="AE267" i="5" a="1"/>
  <c r="AE267" i="5" s="1"/>
  <c r="AC267" i="5" a="1"/>
  <c r="AC267" i="5" s="1"/>
  <c r="AC51" i="5" a="1"/>
  <c r="AC51" i="5" s="1"/>
  <c r="AD496" i="5"/>
  <c r="AB496" i="5"/>
  <c r="AB299" i="5"/>
  <c r="AB132" i="5"/>
  <c r="AE410" i="5" a="1"/>
  <c r="AE410" i="5" s="1"/>
  <c r="AC410" i="5" a="1"/>
  <c r="AC410" i="5" s="1"/>
  <c r="AC273" i="5" a="1"/>
  <c r="AC273" i="5" s="1"/>
  <c r="AE273" i="5" a="1"/>
  <c r="AE273" i="5" s="1"/>
  <c r="AC210" i="5" a="1"/>
  <c r="AC210" i="5" s="1"/>
  <c r="AC36" i="5" a="1"/>
  <c r="AC36" i="5" s="1"/>
  <c r="AE36" i="5" a="1"/>
  <c r="AE36" i="5" s="1"/>
  <c r="AB450" i="5"/>
  <c r="AE72" i="5" a="1"/>
  <c r="AE72" i="5" s="1"/>
  <c r="AC72" i="5" a="1"/>
  <c r="AC72" i="5" s="1"/>
  <c r="AE99" i="5" a="1"/>
  <c r="AE99" i="5" s="1"/>
  <c r="AE298" i="5" a="1"/>
  <c r="AE298" i="5" s="1"/>
  <c r="AC298" i="5" a="1"/>
  <c r="AC298" i="5" s="1"/>
  <c r="AB118" i="5"/>
  <c r="AB50" i="5"/>
  <c r="AB90" i="5"/>
  <c r="AB94" i="5"/>
  <c r="AD94" i="5"/>
  <c r="AD250" i="5"/>
  <c r="AB250" i="5"/>
  <c r="AB225" i="5"/>
  <c r="AC275" i="5" a="1"/>
  <c r="AC275" i="5" s="1"/>
  <c r="AB204" i="5"/>
  <c r="AB459" i="5"/>
  <c r="AE464" i="5" a="1"/>
  <c r="AE464" i="5" s="1"/>
  <c r="AC464" i="5" a="1"/>
  <c r="AC464" i="5" s="1"/>
  <c r="AB208" i="5"/>
  <c r="AD208" i="5"/>
  <c r="AE154" i="5" a="1"/>
  <c r="AE154" i="5" s="1"/>
  <c r="AB259" i="5"/>
  <c r="AC324" i="5" a="1"/>
  <c r="AC324" i="5" s="1"/>
  <c r="AE324" i="5" a="1"/>
  <c r="AE324" i="5" s="1"/>
  <c r="AB266" i="5"/>
  <c r="AE114" i="5" a="1"/>
  <c r="AE114" i="5" s="1"/>
  <c r="AC114" i="5" a="1"/>
  <c r="AC114" i="5" s="1"/>
  <c r="AB67" i="5"/>
  <c r="AD256" i="5"/>
  <c r="AB256" i="5"/>
  <c r="AC43" i="5" a="1"/>
  <c r="AC43" i="5" s="1"/>
  <c r="AE43" i="5" a="1"/>
  <c r="AE43" i="5" s="1"/>
  <c r="AB277" i="5"/>
  <c r="AE408" i="5" a="1"/>
  <c r="AE408" i="5" s="1"/>
  <c r="AC408" i="5" a="1"/>
  <c r="AC408" i="5" s="1"/>
  <c r="AB454" i="5"/>
  <c r="AC164" i="5" a="1"/>
  <c r="AC164" i="5" s="1"/>
  <c r="AE164" i="5" a="1"/>
  <c r="AE164" i="5" s="1"/>
  <c r="AD342" i="5"/>
  <c r="AB342" i="5"/>
  <c r="AE150" i="5" a="1"/>
  <c r="AE150" i="5" s="1"/>
  <c r="AD313" i="5"/>
  <c r="AB313" i="5"/>
  <c r="AC312" i="5" a="1"/>
  <c r="AC312" i="5" s="1"/>
  <c r="AE312" i="5" a="1"/>
  <c r="AE312" i="5" s="1"/>
  <c r="AB469" i="5"/>
  <c r="AD30" i="5"/>
  <c r="AB30" i="5"/>
  <c r="AD38" i="5"/>
  <c r="AB38" i="5"/>
  <c r="AB93" i="5"/>
  <c r="AD93" i="5"/>
  <c r="AB71" i="5"/>
  <c r="AE436" i="5" a="1"/>
  <c r="AE436" i="5" s="1"/>
  <c r="AC436" i="5" a="1"/>
  <c r="AC436" i="5" s="1"/>
  <c r="AB23" i="5"/>
  <c r="AC53" i="5" a="1"/>
  <c r="AC53" i="5" s="1"/>
  <c r="AC376" i="5" a="1"/>
  <c r="AC376" i="5" s="1"/>
  <c r="AE207" i="5" a="1"/>
  <c r="AE207" i="5" s="1"/>
  <c r="AB69" i="5"/>
  <c r="AB230" i="5"/>
  <c r="AB81" i="5"/>
  <c r="AD25" i="5"/>
  <c r="AB25" i="5"/>
  <c r="AE375" i="5" a="1"/>
  <c r="AE375" i="5" s="1"/>
  <c r="AC375" i="5" a="1"/>
  <c r="AC375" i="5" s="1"/>
  <c r="AD458" i="5"/>
  <c r="AB458" i="5"/>
  <c r="AE191" i="5" a="1"/>
  <c r="AE191" i="5" s="1"/>
  <c r="AB59" i="5"/>
  <c r="AB311" i="5"/>
  <c r="AD311" i="5"/>
  <c r="AE340" i="5" a="1"/>
  <c r="AE340" i="5" s="1"/>
  <c r="AC340" i="5" a="1"/>
  <c r="AC340" i="5" s="1"/>
  <c r="AE228" i="5" a="1"/>
  <c r="AE228" i="5" s="1"/>
  <c r="AC228" i="5" a="1"/>
  <c r="AC228" i="5" s="1"/>
  <c r="AE457" i="5" a="1"/>
  <c r="AE457" i="5" s="1"/>
  <c r="AC457" i="5" a="1"/>
  <c r="AC457" i="5" s="1"/>
  <c r="AB77" i="5"/>
  <c r="AB10" i="5"/>
  <c r="AD10" i="5"/>
  <c r="AC233" i="5" a="1"/>
  <c r="AC233" i="5" s="1"/>
  <c r="AD455" i="5"/>
  <c r="AC407" i="5" a="1"/>
  <c r="AC407" i="5" s="1"/>
  <c r="AB14" i="5"/>
  <c r="AC295" i="5" a="1"/>
  <c r="AC295" i="5" s="1"/>
  <c r="AB307" i="5"/>
  <c r="AB52" i="5"/>
  <c r="AD164" i="5"/>
  <c r="AD41" i="5"/>
  <c r="AB232" i="5"/>
  <c r="AB42" i="5"/>
  <c r="AD218" i="5"/>
  <c r="AB218" i="5"/>
  <c r="AB480" i="5"/>
  <c r="AC346" i="5" a="1"/>
  <c r="AC346" i="5" s="1"/>
  <c r="AB182" i="5"/>
  <c r="AD182" i="5"/>
  <c r="AD462" i="5"/>
  <c r="AB462" i="5"/>
  <c r="AC413" i="5" a="1"/>
  <c r="AC413" i="5" s="1"/>
  <c r="AB142" i="5"/>
  <c r="AC372" i="5" a="1"/>
  <c r="AC372" i="5" s="1"/>
  <c r="AB63" i="5"/>
  <c r="AB432" i="5"/>
  <c r="AB8" i="5"/>
  <c r="AE133" i="5" a="1"/>
  <c r="AE133" i="5" s="1"/>
  <c r="AB9" i="5"/>
  <c r="AB116" i="5"/>
  <c r="AB222" i="5"/>
  <c r="AD487" i="5"/>
  <c r="AD453" i="5"/>
  <c r="AC424" i="5" a="1"/>
  <c r="AC424" i="5" s="1"/>
  <c r="AD114" i="5"/>
  <c r="AD468" i="5"/>
  <c r="AC170" i="5" a="1"/>
  <c r="AC170" i="5" s="1"/>
  <c r="AE55" i="5" a="1"/>
  <c r="AE55" i="5" s="1"/>
  <c r="AD339" i="5"/>
  <c r="AB339" i="5"/>
  <c r="AB181" i="5"/>
  <c r="AB32" i="5"/>
  <c r="AB110" i="5"/>
  <c r="AB198" i="5"/>
  <c r="AB145" i="5"/>
  <c r="AE4" i="5" a="1"/>
  <c r="AE4" i="5" s="1"/>
  <c r="AC4" i="5" a="1"/>
  <c r="AC4" i="5" s="1"/>
  <c r="AE236" i="5" a="1"/>
  <c r="AE236" i="5" s="1"/>
  <c r="AC236" i="5" a="1"/>
  <c r="AC236" i="5" s="1"/>
  <c r="AB318" i="5"/>
  <c r="AB285" i="5"/>
  <c r="AB431" i="5"/>
  <c r="AE468" i="5" a="1"/>
  <c r="AE468" i="5" s="1"/>
  <c r="AE231" i="5" a="1"/>
  <c r="AE231" i="5" s="1"/>
  <c r="AD409" i="5"/>
  <c r="AB104" i="5"/>
  <c r="AB265" i="5"/>
  <c r="AD115" i="5"/>
  <c r="AB197" i="5"/>
  <c r="AB96" i="5"/>
  <c r="AC237" i="5" a="1"/>
  <c r="AC237" i="5" s="1"/>
  <c r="AE237" i="5" a="1"/>
  <c r="AE237" i="5" s="1"/>
  <c r="AE98" i="5" a="1"/>
  <c r="AE98" i="5" s="1"/>
  <c r="AC98" i="5" a="1"/>
  <c r="AC98" i="5" s="1"/>
  <c r="AB435" i="5"/>
  <c r="AD263" i="5"/>
  <c r="AB263" i="5"/>
  <c r="AB302" i="5"/>
  <c r="AC3" i="5" a="1"/>
  <c r="AC3" i="5" s="1"/>
  <c r="AD332" i="5"/>
  <c r="AB332" i="5"/>
  <c r="AB47" i="5"/>
  <c r="AB214" i="5"/>
  <c r="AD214" i="5"/>
  <c r="AE247" i="5" a="1"/>
  <c r="AE247" i="5" s="1"/>
  <c r="AC247" i="5" a="1"/>
  <c r="AC247" i="5" s="1"/>
  <c r="AB147" i="5"/>
  <c r="AD147" i="5"/>
  <c r="AD278" i="5"/>
  <c r="AB278" i="5"/>
  <c r="AC381" i="5" a="1"/>
  <c r="AC381" i="5" s="1"/>
  <c r="AB227" i="5"/>
  <c r="AB486" i="5"/>
  <c r="AB79" i="5"/>
  <c r="AB209" i="5"/>
  <c r="AC430" i="5" a="1"/>
  <c r="AC430" i="5" s="1"/>
  <c r="AC418" i="5" a="1"/>
  <c r="AC418" i="5" s="1"/>
  <c r="AB365" i="5"/>
  <c r="AC417" i="5" a="1"/>
  <c r="AC417" i="5" s="1"/>
  <c r="AE487" i="5" a="1"/>
  <c r="AE487" i="5" s="1"/>
  <c r="AC487" i="5" a="1"/>
  <c r="AC487" i="5" s="1"/>
  <c r="AC163" i="5" a="1"/>
  <c r="AC163" i="5" s="1"/>
  <c r="AB49" i="5"/>
  <c r="AB495" i="5"/>
  <c r="AD495" i="5"/>
  <c r="AB253" i="5"/>
  <c r="AB385" i="5"/>
  <c r="AD385" i="5"/>
  <c r="AB287" i="5"/>
  <c r="AE455" i="5" a="1"/>
  <c r="AE455" i="5" s="1"/>
  <c r="AB203" i="5"/>
  <c r="AB140" i="5"/>
  <c r="AB371" i="5"/>
  <c r="AB292" i="5"/>
  <c r="AB201" i="5"/>
  <c r="AB358" i="5"/>
  <c r="AC240" i="5" a="1"/>
  <c r="AC240" i="5" s="1"/>
  <c r="AB330" i="5"/>
  <c r="AE449" i="5" a="1"/>
  <c r="AE449" i="5" s="1"/>
  <c r="AC449" i="5" a="1"/>
  <c r="AC449" i="5" s="1"/>
  <c r="AB466" i="5"/>
  <c r="AB351" i="5"/>
  <c r="AB119" i="5"/>
  <c r="AB171" i="5"/>
  <c r="AE389" i="5" a="1"/>
  <c r="AE389" i="5" s="1"/>
  <c r="AC389" i="5" a="1"/>
  <c r="AC389" i="5" s="1"/>
  <c r="AD460" i="5"/>
  <c r="AB460" i="5"/>
  <c r="AB416" i="5"/>
  <c r="AD416" i="5"/>
  <c r="AE453" i="5" a="1"/>
  <c r="AE453" i="5" s="1"/>
  <c r="AB255" i="5"/>
  <c r="AB254" i="5"/>
  <c r="AB399" i="5"/>
  <c r="AB162" i="5"/>
  <c r="AB95" i="5"/>
  <c r="AB143" i="5"/>
  <c r="AB482" i="5"/>
  <c r="AB442" i="5"/>
  <c r="AE239" i="5" a="1"/>
  <c r="AE239" i="5" s="1"/>
  <c r="AD294" i="5"/>
  <c r="AB294" i="5"/>
  <c r="AB279" i="5"/>
  <c r="AD279" i="5"/>
  <c r="AE306" i="5" a="1"/>
  <c r="AE306" i="5" s="1"/>
  <c r="AD186" i="5"/>
  <c r="AB186" i="5"/>
  <c r="AD101" i="5"/>
  <c r="AB101" i="5"/>
  <c r="AE235" i="5" a="1"/>
  <c r="AE235" i="5" s="1"/>
  <c r="AE463" i="5" a="1"/>
  <c r="AE463" i="5" s="1"/>
  <c r="AD148" i="5"/>
  <c r="AB148" i="5"/>
  <c r="AD58" i="5"/>
  <c r="AB58" i="5"/>
  <c r="AE322" i="5" a="1"/>
  <c r="AE322" i="5" s="1"/>
  <c r="AB483" i="5"/>
  <c r="AE115" i="5" a="1"/>
  <c r="AE115" i="5" s="1"/>
  <c r="AD4" i="5"/>
  <c r="AD348" i="5"/>
  <c r="AB348" i="5"/>
  <c r="AD61" i="5"/>
  <c r="AB109" i="5"/>
  <c r="AB437" i="5"/>
  <c r="AD437" i="5"/>
  <c r="AB112" i="5"/>
  <c r="AB184" i="5"/>
  <c r="AB260" i="5"/>
  <c r="AB328" i="5"/>
  <c r="AB217" i="5"/>
  <c r="AD217" i="5"/>
  <c r="AD172" i="5"/>
  <c r="AB172" i="5"/>
  <c r="AB113" i="5"/>
  <c r="AD113" i="5"/>
  <c r="AB149" i="5"/>
  <c r="AD312" i="5"/>
  <c r="AB425" i="5"/>
  <c r="AD344" i="5"/>
  <c r="AB2" i="5"/>
  <c r="AD472" i="5"/>
  <c r="AB490" i="5"/>
  <c r="AD338" i="5"/>
  <c r="AB175" i="5"/>
  <c r="AD488" i="5"/>
  <c r="AB188" i="5"/>
  <c r="AD211" i="5"/>
  <c r="AB196" i="5"/>
  <c r="AC336" i="5" a="1"/>
  <c r="AC336" i="5" s="1"/>
  <c r="AE336" i="5" a="1"/>
  <c r="AE336" i="5" s="1"/>
  <c r="AB57" i="5"/>
  <c r="AC130" i="5" a="1"/>
  <c r="AC130" i="5" s="1"/>
  <c r="AE130" i="5" a="1"/>
  <c r="AE130" i="5" s="1"/>
  <c r="AB22" i="5"/>
  <c r="AD84" i="5"/>
  <c r="AB84" i="5"/>
  <c r="AB24" i="5"/>
  <c r="AB422" i="5"/>
  <c r="AC396" i="5" a="1"/>
  <c r="AC396" i="5" s="1"/>
  <c r="AB87" i="5"/>
  <c r="AB499" i="5"/>
  <c r="AD103" i="5"/>
  <c r="AB352" i="5"/>
  <c r="AE211" i="5" a="1"/>
  <c r="AE211" i="5" s="1"/>
  <c r="AC211" i="5" a="1"/>
  <c r="AC211" i="5" s="1"/>
  <c r="AD310" i="5"/>
  <c r="AB310" i="5"/>
  <c r="AB28" i="5"/>
  <c r="AD491" i="5"/>
  <c r="AB491" i="5"/>
  <c r="AB241" i="5"/>
  <c r="AB11" i="5"/>
  <c r="AB166" i="5"/>
  <c r="AB185" i="5"/>
  <c r="AB83" i="5"/>
  <c r="AE344" i="5" a="1"/>
  <c r="AE344" i="5" s="1"/>
  <c r="AB380" i="5"/>
  <c r="AE472" i="5" a="1"/>
  <c r="AE472" i="5" s="1"/>
  <c r="AE338" i="5" a="1"/>
  <c r="AE338" i="5" s="1"/>
  <c r="AB202" i="5"/>
  <c r="AD202" i="5"/>
  <c r="AE488" i="5" a="1"/>
  <c r="AE488" i="5" s="1"/>
  <c r="AD303" i="5"/>
  <c r="AB303" i="5"/>
  <c r="AE333" i="5" a="1"/>
  <c r="AE333" i="5" s="1"/>
  <c r="AD401" i="5"/>
  <c r="AE102" i="5" a="1"/>
  <c r="AE102" i="5" s="1"/>
  <c r="AC102" i="5" a="1"/>
  <c r="AC102" i="5" s="1"/>
  <c r="AB252" i="5"/>
  <c r="AD363" i="5"/>
  <c r="AB64" i="5"/>
  <c r="AD64" i="5"/>
  <c r="AE103" i="5" a="1"/>
  <c r="AE103" i="5" s="1"/>
  <c r="AB100" i="5"/>
  <c r="AB262" i="5"/>
  <c r="AB367" i="5"/>
  <c r="AD367" i="5"/>
  <c r="AB152" i="5"/>
  <c r="AB304" i="5"/>
  <c r="AB403" i="5"/>
  <c r="AC226" i="5" a="1"/>
  <c r="AC226" i="5" s="1"/>
  <c r="AE226" i="5" a="1"/>
  <c r="AE226" i="5" s="1"/>
  <c r="AB219" i="5"/>
  <c r="AE478" i="5" a="1"/>
  <c r="AE478" i="5" s="1"/>
  <c r="AC478" i="5" a="1"/>
  <c r="AC478" i="5" s="1"/>
  <c r="AB257" i="5"/>
  <c r="AB234" i="5"/>
  <c r="AC501" i="5" a="1"/>
  <c r="AC501" i="5" s="1"/>
  <c r="AB433" i="5"/>
  <c r="AD433" i="5"/>
  <c r="AB146" i="5"/>
  <c r="AD226" i="5"/>
  <c r="AB362" i="5"/>
  <c r="AB404" i="5"/>
  <c r="AC46" i="5" a="1"/>
  <c r="AC46" i="5" s="1"/>
  <c r="AE46" i="5" a="1"/>
  <c r="AE46" i="5" s="1"/>
  <c r="AB221" i="5"/>
  <c r="AD221" i="5"/>
  <c r="AB31" i="5"/>
  <c r="AB187" i="5"/>
  <c r="AO9" i="2"/>
  <c r="AO10" i="2"/>
  <c r="AO11" i="2"/>
  <c r="AO12" i="2"/>
  <c r="AO13" i="2"/>
  <c r="AO8" i="2"/>
  <c r="AE19" i="5" l="1" a="1"/>
  <c r="AE19" i="5" s="1"/>
  <c r="AE269" i="5" a="1"/>
  <c r="AE269" i="5" s="1"/>
  <c r="AC492" i="5" a="1"/>
  <c r="AC492" i="5" s="1"/>
  <c r="AC169" i="5" a="1"/>
  <c r="AC169" i="5" s="1"/>
  <c r="AE276" i="5" a="1"/>
  <c r="AE276" i="5" s="1"/>
  <c r="AC88" i="5" a="1"/>
  <c r="AC88" i="5" s="1"/>
  <c r="AC316" i="5" a="1"/>
  <c r="AC316" i="5" s="1"/>
  <c r="AE126" i="5" a="1"/>
  <c r="AE126" i="5" s="1"/>
  <c r="AC412" i="5" a="1"/>
  <c r="AC412" i="5" s="1"/>
  <c r="AC74" i="5" a="1"/>
  <c r="AC74" i="5" s="1"/>
  <c r="AE296" i="5" a="1"/>
  <c r="AE296" i="5" s="1"/>
  <c r="AC97" i="5" a="1"/>
  <c r="AC97" i="5" s="1"/>
  <c r="AE155" i="5" a="1"/>
  <c r="AE155" i="5" s="1"/>
  <c r="AE137" i="5" a="1"/>
  <c r="AE137" i="5" s="1"/>
  <c r="AC223" i="5" a="1"/>
  <c r="AC223" i="5" s="1"/>
  <c r="AE474" i="5" a="1"/>
  <c r="AE474" i="5" s="1"/>
  <c r="AC86" i="5" a="1"/>
  <c r="AC86" i="5" s="1"/>
  <c r="AE494" i="5" a="1"/>
  <c r="AE494" i="5" s="1"/>
  <c r="AC300" i="5" a="1"/>
  <c r="AC300" i="5" s="1"/>
  <c r="AC66" i="5" a="1"/>
  <c r="AC66" i="5" s="1"/>
  <c r="AC325" i="5" a="1"/>
  <c r="AC325" i="5" s="1"/>
  <c r="AE308" i="5" a="1"/>
  <c r="AE308" i="5" s="1"/>
  <c r="AC220" i="5" a="1"/>
  <c r="AC220" i="5" s="1"/>
  <c r="AC428" i="5" a="1"/>
  <c r="AC428" i="5" s="1"/>
  <c r="AC120" i="5" a="1"/>
  <c r="AC120" i="5" s="1"/>
  <c r="AC17" i="5" a="1"/>
  <c r="AC17" i="5" s="1"/>
  <c r="AC54" i="5" a="1"/>
  <c r="AC54" i="5" s="1"/>
  <c r="AC271" i="5" a="1"/>
  <c r="AC271" i="5" s="1"/>
  <c r="AE498" i="5" a="1"/>
  <c r="AE498" i="5" s="1"/>
  <c r="AC282" i="5" a="1"/>
  <c r="AC282" i="5" s="1"/>
  <c r="AE305" i="5" a="1"/>
  <c r="AE305" i="5" s="1"/>
  <c r="AE193" i="5" a="1"/>
  <c r="AE193" i="5" s="1"/>
  <c r="AE272" i="5" a="1"/>
  <c r="AE272" i="5" s="1"/>
  <c r="AC173" i="5" a="1"/>
  <c r="AC173" i="5" s="1"/>
  <c r="AC80" i="5" a="1"/>
  <c r="AC80" i="5" s="1"/>
  <c r="AE62" i="5" a="1"/>
  <c r="AE62" i="5" s="1"/>
  <c r="AC108" i="5" a="1"/>
  <c r="AC108" i="5" s="1"/>
  <c r="AC243" i="5" a="1"/>
  <c r="AC243" i="5" s="1"/>
  <c r="AE128" i="5" a="1"/>
  <c r="AE128" i="5" s="1"/>
  <c r="AE335" i="5" a="1"/>
  <c r="AE335" i="5" s="1"/>
  <c r="AC26" i="5" a="1"/>
  <c r="AC26" i="5" s="1"/>
  <c r="AE18" i="5" a="1"/>
  <c r="AE18" i="5" s="1"/>
  <c r="AE121" i="5" a="1"/>
  <c r="AE121" i="5" s="1"/>
  <c r="AE323" i="5" a="1"/>
  <c r="AE323" i="5" s="1"/>
  <c r="AE168" i="5" a="1"/>
  <c r="AE168" i="5" s="1"/>
  <c r="AC176" i="5" a="1"/>
  <c r="AC176" i="5" s="1"/>
  <c r="AC423" i="5" a="1"/>
  <c r="AC423" i="5" s="1"/>
  <c r="AC284" i="5" a="1"/>
  <c r="AC284" i="5" s="1"/>
  <c r="AC245" i="5" a="1"/>
  <c r="AC245" i="5" s="1"/>
  <c r="AC45" i="5" a="1"/>
  <c r="AC45" i="5" s="1"/>
  <c r="AC467" i="5" a="1"/>
  <c r="AC467" i="5" s="1"/>
  <c r="AE467" i="5" a="1"/>
  <c r="AE467" i="5" s="1"/>
  <c r="AC421" i="5" a="1"/>
  <c r="AC421" i="5" s="1"/>
  <c r="AC151" i="5" a="1"/>
  <c r="AC151" i="5" s="1"/>
  <c r="AE160" i="5" a="1"/>
  <c r="AE160" i="5" s="1"/>
  <c r="AC7" i="5" a="1"/>
  <c r="AC7" i="5" s="1"/>
  <c r="AC446" i="5" a="1"/>
  <c r="AC446" i="5" s="1"/>
  <c r="AC470" i="5" a="1"/>
  <c r="AC470" i="5" s="1"/>
  <c r="AC65" i="5" a="1"/>
  <c r="AC65" i="5" s="1"/>
  <c r="AC91" i="5" a="1"/>
  <c r="AC91" i="5" s="1"/>
  <c r="AC366" i="5" a="1"/>
  <c r="AC366" i="5" s="1"/>
  <c r="AC177" i="5" a="1"/>
  <c r="AC177" i="5" s="1"/>
  <c r="AE177" i="5" a="1"/>
  <c r="AE177" i="5" s="1"/>
  <c r="AC261" i="5" a="1"/>
  <c r="AC261" i="5" s="1"/>
  <c r="AE261" i="5" a="1"/>
  <c r="AE261" i="5" s="1"/>
  <c r="AE111" i="5" a="1"/>
  <c r="AE111" i="5" s="1"/>
  <c r="AC111" i="5" a="1"/>
  <c r="AC111" i="5" s="1"/>
  <c r="AC314" i="5" a="1"/>
  <c r="AC314" i="5" s="1"/>
  <c r="AE314" i="5" a="1"/>
  <c r="AE314" i="5" s="1"/>
  <c r="AC180" i="5" a="1"/>
  <c r="AC180" i="5" s="1"/>
  <c r="AE180" i="5" a="1"/>
  <c r="AE180" i="5" s="1"/>
  <c r="AE183" i="5" a="1"/>
  <c r="AE183" i="5" s="1"/>
  <c r="AC183" i="5" a="1"/>
  <c r="AC183" i="5" s="1"/>
  <c r="AC477" i="5" a="1"/>
  <c r="AC477" i="5" s="1"/>
  <c r="AC315" i="5" a="1"/>
  <c r="AC315" i="5" s="1"/>
  <c r="AE476" i="5" a="1"/>
  <c r="AE476" i="5" s="1"/>
  <c r="AE246" i="5" a="1"/>
  <c r="AE246" i="5" s="1"/>
  <c r="AC246" i="5" a="1"/>
  <c r="AC246" i="5" s="1"/>
  <c r="AC139" i="5" a="1"/>
  <c r="AC139" i="5" s="1"/>
  <c r="AE139" i="5" a="1"/>
  <c r="AE139" i="5" s="1"/>
  <c r="AE29" i="5" a="1"/>
  <c r="AE29" i="5" s="1"/>
  <c r="AC29" i="5" a="1"/>
  <c r="AC29" i="5" s="1"/>
  <c r="AC465" i="5" a="1"/>
  <c r="AC465" i="5" s="1"/>
  <c r="AE206" i="5" a="1"/>
  <c r="AE206" i="5" s="1"/>
  <c r="AC206" i="5" a="1"/>
  <c r="AC206" i="5" s="1"/>
  <c r="AC156" i="5" a="1"/>
  <c r="AC156" i="5" s="1"/>
  <c r="AE156" i="5" a="1"/>
  <c r="AE156" i="5" s="1"/>
  <c r="AC291" i="5" a="1"/>
  <c r="AC291" i="5" s="1"/>
  <c r="AC481" i="5" a="1"/>
  <c r="AC481" i="5" s="1"/>
  <c r="AC341" i="5" a="1"/>
  <c r="AC341" i="5" s="1"/>
  <c r="AE341" i="5" a="1"/>
  <c r="AE341" i="5" s="1"/>
  <c r="AC105" i="5" a="1"/>
  <c r="AC105" i="5" s="1"/>
  <c r="AE105" i="5" a="1"/>
  <c r="AE105" i="5" s="1"/>
  <c r="AC461" i="5" a="1"/>
  <c r="AC461" i="5" s="1"/>
  <c r="AE461" i="5" a="1"/>
  <c r="AE461" i="5" s="1"/>
  <c r="AC434" i="5" a="1"/>
  <c r="AC434" i="5" s="1"/>
  <c r="AE434" i="5" a="1"/>
  <c r="AE434" i="5" s="1"/>
  <c r="AC369" i="5" a="1"/>
  <c r="AC369" i="5" s="1"/>
  <c r="AE369" i="5" a="1"/>
  <c r="AE369" i="5" s="1"/>
  <c r="AE343" i="5" a="1"/>
  <c r="AE343" i="5" s="1"/>
  <c r="AC343" i="5" a="1"/>
  <c r="AC343" i="5" s="1"/>
  <c r="AC368" i="5" a="1"/>
  <c r="AC368" i="5" s="1"/>
  <c r="AC377" i="5" a="1"/>
  <c r="AC377" i="5" s="1"/>
  <c r="AE377" i="5" a="1"/>
  <c r="AE377" i="5" s="1"/>
  <c r="AE178" i="5" a="1"/>
  <c r="AE178" i="5" s="1"/>
  <c r="AC89" i="5" a="1"/>
  <c r="AC89" i="5" s="1"/>
  <c r="AC320" i="5" a="1"/>
  <c r="AC320" i="5" s="1"/>
  <c r="AC215" i="5" a="1"/>
  <c r="AC215" i="5" s="1"/>
  <c r="AC327" i="5" a="1"/>
  <c r="AC327" i="5" s="1"/>
  <c r="AC288" i="5" a="1"/>
  <c r="AC288" i="5" s="1"/>
  <c r="AE288" i="5" a="1"/>
  <c r="AE288" i="5" s="1"/>
  <c r="AC331" i="5" a="1"/>
  <c r="AC331" i="5" s="1"/>
  <c r="AE331" i="5" a="1"/>
  <c r="AE331" i="5" s="1"/>
  <c r="AC293" i="5" a="1"/>
  <c r="AC293" i="5" s="1"/>
  <c r="AE293" i="5" a="1"/>
  <c r="AE293" i="5" s="1"/>
  <c r="AC138" i="5" a="1"/>
  <c r="AC138" i="5" s="1"/>
  <c r="AE138" i="5" a="1"/>
  <c r="AE138" i="5" s="1"/>
  <c r="AC397" i="5" a="1"/>
  <c r="AC397" i="5" s="1"/>
  <c r="AE397" i="5" a="1"/>
  <c r="AE397" i="5" s="1"/>
  <c r="AC124" i="5" a="1"/>
  <c r="AC124" i="5" s="1"/>
  <c r="AC350" i="5" a="1"/>
  <c r="AC350" i="5" s="1"/>
  <c r="AE350" i="5" a="1"/>
  <c r="AE350" i="5" s="1"/>
  <c r="AE213" i="5" a="1"/>
  <c r="AE213" i="5" s="1"/>
  <c r="AC213" i="5" a="1"/>
  <c r="AC213" i="5" s="1"/>
  <c r="AC378" i="5" a="1"/>
  <c r="AC378" i="5" s="1"/>
  <c r="AE378" i="5" a="1"/>
  <c r="AE378" i="5" s="1"/>
  <c r="AC471" i="5" a="1"/>
  <c r="AC471" i="5" s="1"/>
  <c r="AE471" i="5" a="1"/>
  <c r="AE471" i="5" s="1"/>
  <c r="AC309" i="5" a="1"/>
  <c r="AC309" i="5" s="1"/>
  <c r="AE309" i="5" a="1"/>
  <c r="AE309" i="5" s="1"/>
  <c r="AC447" i="5" a="1"/>
  <c r="AC447" i="5" s="1"/>
  <c r="AC44" i="5" a="1"/>
  <c r="AC44" i="5" s="1"/>
  <c r="AE398" i="5" a="1"/>
  <c r="AE398" i="5" s="1"/>
  <c r="AE374" i="5" a="1"/>
  <c r="AE374" i="5" s="1"/>
  <c r="AE384" i="5" a="1"/>
  <c r="AE384" i="5" s="1"/>
  <c r="AE321" i="5" a="1"/>
  <c r="AE321" i="5" s="1"/>
  <c r="AC353" i="5" a="1"/>
  <c r="AC353" i="5" s="1"/>
  <c r="AE353" i="5" a="1"/>
  <c r="AE353" i="5" s="1"/>
  <c r="AC229" i="5" a="1"/>
  <c r="AC229" i="5" s="1"/>
  <c r="AE229" i="5" a="1"/>
  <c r="AE229" i="5" s="1"/>
  <c r="AE70" i="5" a="1"/>
  <c r="AE70" i="5" s="1"/>
  <c r="AC70" i="5" a="1"/>
  <c r="AC70" i="5" s="1"/>
  <c r="AC264" i="5" a="1"/>
  <c r="AC264" i="5" s="1"/>
  <c r="AC123" i="5" a="1"/>
  <c r="AC123" i="5" s="1"/>
  <c r="AE123" i="5" a="1"/>
  <c r="AE123" i="5" s="1"/>
  <c r="AC337" i="5" a="1"/>
  <c r="AC337" i="5" s="1"/>
  <c r="AE337" i="5" a="1"/>
  <c r="AE337" i="5" s="1"/>
  <c r="AE60" i="5" a="1"/>
  <c r="AE60" i="5" s="1"/>
  <c r="AC60" i="5" a="1"/>
  <c r="AC60" i="5" s="1"/>
  <c r="AE200" i="5" a="1"/>
  <c r="AE200" i="5" s="1"/>
  <c r="AC40" i="5" a="1"/>
  <c r="AC40" i="5" s="1"/>
  <c r="AE441" i="5" a="1"/>
  <c r="AE441" i="5" s="1"/>
  <c r="AC441" i="5" a="1"/>
  <c r="AC441" i="5" s="1"/>
  <c r="AC129" i="5" a="1"/>
  <c r="AC129" i="5" s="1"/>
  <c r="AC39" i="5" a="1"/>
  <c r="AC39" i="5" s="1"/>
  <c r="AE489" i="5" a="1"/>
  <c r="AE489" i="5" s="1"/>
  <c r="AC444" i="5" a="1"/>
  <c r="AC444" i="5" s="1"/>
  <c r="AE429" i="5" a="1"/>
  <c r="AE429" i="5" s="1"/>
  <c r="AC78" i="5" a="1"/>
  <c r="AC78" i="5" s="1"/>
  <c r="AC354" i="5" a="1"/>
  <c r="AC354" i="5" s="1"/>
  <c r="AE354" i="5" a="1"/>
  <c r="AE354" i="5" s="1"/>
  <c r="AC393" i="5" a="1"/>
  <c r="AC393" i="5" s="1"/>
  <c r="AE393" i="5" a="1"/>
  <c r="AE393" i="5" s="1"/>
  <c r="AC493" i="5" a="1"/>
  <c r="AC493" i="5" s="1"/>
  <c r="AE493" i="5" a="1"/>
  <c r="AE493" i="5" s="1"/>
  <c r="AE349" i="5" a="1"/>
  <c r="AE349" i="5" s="1"/>
  <c r="AC349" i="5" a="1"/>
  <c r="AC349" i="5" s="1"/>
  <c r="AE187" i="5" a="1"/>
  <c r="AE187" i="5" s="1"/>
  <c r="AC187" i="5" a="1"/>
  <c r="AC187" i="5" s="1"/>
  <c r="AC310" i="5" a="1"/>
  <c r="AC310" i="5" s="1"/>
  <c r="AE310" i="5" a="1"/>
  <c r="AE310" i="5" s="1"/>
  <c r="AC84" i="5" a="1"/>
  <c r="AC84" i="5" s="1"/>
  <c r="AE84" i="5" a="1"/>
  <c r="AE84" i="5" s="1"/>
  <c r="AE109" i="5" a="1"/>
  <c r="AE109" i="5" s="1"/>
  <c r="AC109" i="5" a="1"/>
  <c r="AC109" i="5" s="1"/>
  <c r="AC58" i="5" a="1"/>
  <c r="AC58" i="5" s="1"/>
  <c r="AE58" i="5" a="1"/>
  <c r="AE58" i="5" s="1"/>
  <c r="AC255" i="5" a="1"/>
  <c r="AC255" i="5" s="1"/>
  <c r="AE255" i="5" a="1"/>
  <c r="AE255" i="5" s="1"/>
  <c r="AE351" i="5" a="1"/>
  <c r="AE351" i="5" s="1"/>
  <c r="AC351" i="5" a="1"/>
  <c r="AC351" i="5" s="1"/>
  <c r="AE203" i="5" a="1"/>
  <c r="AE203" i="5" s="1"/>
  <c r="AC203" i="5" a="1"/>
  <c r="AC203" i="5" s="1"/>
  <c r="AE227" i="5" a="1"/>
  <c r="AE227" i="5" s="1"/>
  <c r="AC227" i="5" a="1"/>
  <c r="AC227" i="5" s="1"/>
  <c r="AE332" i="5" a="1"/>
  <c r="AE332" i="5" s="1"/>
  <c r="AC332" i="5" a="1"/>
  <c r="AC332" i="5" s="1"/>
  <c r="AE431" i="5" a="1"/>
  <c r="AE431" i="5" s="1"/>
  <c r="AC431" i="5" a="1"/>
  <c r="AC431" i="5" s="1"/>
  <c r="AC110" i="5" a="1"/>
  <c r="AC110" i="5" s="1"/>
  <c r="AE110" i="5" a="1"/>
  <c r="AE110" i="5" s="1"/>
  <c r="AE33" i="5" a="1"/>
  <c r="AE33" i="5" s="1"/>
  <c r="AC33" i="5" a="1"/>
  <c r="AC33" i="5" s="1"/>
  <c r="AC205" i="5" a="1"/>
  <c r="AC205" i="5" s="1"/>
  <c r="AE205" i="5" a="1"/>
  <c r="AE205" i="5" s="1"/>
  <c r="AE473" i="5" a="1"/>
  <c r="AE473" i="5" s="1"/>
  <c r="AC473" i="5" a="1"/>
  <c r="AC473" i="5" s="1"/>
  <c r="AE125" i="5" a="1"/>
  <c r="AE125" i="5" s="1"/>
  <c r="AC125" i="5" a="1"/>
  <c r="AC125" i="5" s="1"/>
  <c r="AE31" i="5" a="1"/>
  <c r="AE31" i="5" s="1"/>
  <c r="AC31" i="5" a="1"/>
  <c r="AC31" i="5" s="1"/>
  <c r="AC466" i="5" a="1"/>
  <c r="AC466" i="5" s="1"/>
  <c r="AE466" i="5" a="1"/>
  <c r="AE466" i="5" s="1"/>
  <c r="AE32" i="5" a="1"/>
  <c r="AE32" i="5" s="1"/>
  <c r="AC32" i="5" a="1"/>
  <c r="AC32" i="5" s="1"/>
  <c r="AC116" i="5" a="1"/>
  <c r="AC116" i="5" s="1"/>
  <c r="AE116" i="5" a="1"/>
  <c r="AE116" i="5" s="1"/>
  <c r="AE50" i="5" a="1"/>
  <c r="AE50" i="5" s="1"/>
  <c r="AC50" i="5" a="1"/>
  <c r="AC50" i="5" s="1"/>
  <c r="AE34" i="5" a="1"/>
  <c r="AE34" i="5" s="1"/>
  <c r="AC34" i="5" a="1"/>
  <c r="AC34" i="5" s="1"/>
  <c r="AE497" i="5" a="1"/>
  <c r="AE497" i="5" s="1"/>
  <c r="AC497" i="5" a="1"/>
  <c r="AC497" i="5" s="1"/>
  <c r="AE390" i="5" a="1"/>
  <c r="AE390" i="5" s="1"/>
  <c r="AC390" i="5" a="1"/>
  <c r="AC390" i="5" s="1"/>
  <c r="AE402" i="5" a="1"/>
  <c r="AE402" i="5" s="1"/>
  <c r="AC402" i="5" a="1"/>
  <c r="AC402" i="5" s="1"/>
  <c r="AC22" i="5" a="1"/>
  <c r="AC22" i="5" s="1"/>
  <c r="AE22" i="5" a="1"/>
  <c r="AE22" i="5" s="1"/>
  <c r="AE490" i="5" a="1"/>
  <c r="AE490" i="5" s="1"/>
  <c r="AC490" i="5" a="1"/>
  <c r="AC490" i="5" s="1"/>
  <c r="AC217" i="5" a="1"/>
  <c r="AC217" i="5" s="1"/>
  <c r="AE217" i="5" a="1"/>
  <c r="AE217" i="5" s="1"/>
  <c r="AC148" i="5" a="1"/>
  <c r="AC148" i="5" s="1"/>
  <c r="AE148" i="5" a="1"/>
  <c r="AE148" i="5" s="1"/>
  <c r="AC294" i="5" a="1"/>
  <c r="AC294" i="5" s="1"/>
  <c r="AE294" i="5" a="1"/>
  <c r="AE294" i="5" s="1"/>
  <c r="AE287" i="5" a="1"/>
  <c r="AE287" i="5" s="1"/>
  <c r="AC287" i="5" a="1"/>
  <c r="AC287" i="5" s="1"/>
  <c r="AE278" i="5" a="1"/>
  <c r="AE278" i="5" s="1"/>
  <c r="AC278" i="5" a="1"/>
  <c r="AC278" i="5" s="1"/>
  <c r="AE118" i="5" a="1"/>
  <c r="AE118" i="5" s="1"/>
  <c r="AC118" i="5" a="1"/>
  <c r="AC118" i="5" s="1"/>
  <c r="AE234" i="5" a="1"/>
  <c r="AE234" i="5" s="1"/>
  <c r="AC234" i="5" a="1"/>
  <c r="AC234" i="5" s="1"/>
  <c r="AE328" i="5" a="1"/>
  <c r="AE328" i="5" s="1"/>
  <c r="AC328" i="5" a="1"/>
  <c r="AC328" i="5" s="1"/>
  <c r="AE67" i="5" a="1"/>
  <c r="AE67" i="5" s="1"/>
  <c r="AC67" i="5" a="1"/>
  <c r="AC67" i="5" s="1"/>
  <c r="AE459" i="5" a="1"/>
  <c r="AE459" i="5" s="1"/>
  <c r="AC459" i="5" a="1"/>
  <c r="AC459" i="5" s="1"/>
  <c r="AC238" i="5" a="1"/>
  <c r="AC238" i="5" s="1"/>
  <c r="AE238" i="5" a="1"/>
  <c r="AE238" i="5" s="1"/>
  <c r="AC388" i="5" a="1"/>
  <c r="AC388" i="5" s="1"/>
  <c r="AE388" i="5" a="1"/>
  <c r="AE388" i="5" s="1"/>
  <c r="AE426" i="5" a="1"/>
  <c r="AE426" i="5" s="1"/>
  <c r="AC426" i="5" a="1"/>
  <c r="AC426" i="5" s="1"/>
  <c r="AE260" i="5" a="1"/>
  <c r="AE260" i="5" s="1"/>
  <c r="AC260" i="5" a="1"/>
  <c r="AC260" i="5" s="1"/>
  <c r="AC416" i="5" a="1"/>
  <c r="AC416" i="5" s="1"/>
  <c r="AE416" i="5" a="1"/>
  <c r="AE416" i="5" s="1"/>
  <c r="AE385" i="5" a="1"/>
  <c r="AE385" i="5" s="1"/>
  <c r="AC385" i="5" a="1"/>
  <c r="AC385" i="5" s="1"/>
  <c r="AE318" i="5" a="1"/>
  <c r="AE318" i="5" s="1"/>
  <c r="AC318" i="5" a="1"/>
  <c r="AC318" i="5" s="1"/>
  <c r="AE71" i="5" a="1"/>
  <c r="AE71" i="5" s="1"/>
  <c r="AC71" i="5" a="1"/>
  <c r="AC71" i="5" s="1"/>
  <c r="AC204" i="5" a="1"/>
  <c r="AC204" i="5" s="1"/>
  <c r="AE204" i="5" a="1"/>
  <c r="AE204" i="5" s="1"/>
  <c r="AE383" i="5" a="1"/>
  <c r="AE383" i="5" s="1"/>
  <c r="AC383" i="5" a="1"/>
  <c r="AC383" i="5" s="1"/>
  <c r="AE251" i="5" a="1"/>
  <c r="AE251" i="5" s="1"/>
  <c r="AC251" i="5" a="1"/>
  <c r="AC251" i="5" s="1"/>
  <c r="AE262" i="5" a="1"/>
  <c r="AE262" i="5" s="1"/>
  <c r="AC262" i="5" a="1"/>
  <c r="AC262" i="5" s="1"/>
  <c r="AE442" i="5" a="1"/>
  <c r="AE442" i="5" s="1"/>
  <c r="AC442" i="5" a="1"/>
  <c r="AC442" i="5" s="1"/>
  <c r="AE253" i="5" a="1"/>
  <c r="AE253" i="5" s="1"/>
  <c r="AC253" i="5" a="1"/>
  <c r="AC253" i="5" s="1"/>
  <c r="AC147" i="5" a="1"/>
  <c r="AC147" i="5" s="1"/>
  <c r="AE147" i="5" a="1"/>
  <c r="AE147" i="5" s="1"/>
  <c r="AE432" i="5" a="1"/>
  <c r="AE432" i="5" s="1"/>
  <c r="AC432" i="5" a="1"/>
  <c r="AC432" i="5" s="1"/>
  <c r="AE52" i="5" a="1"/>
  <c r="AE52" i="5" s="1"/>
  <c r="AC52" i="5" a="1"/>
  <c r="AC52" i="5" s="1"/>
  <c r="AC311" i="5" a="1"/>
  <c r="AC311" i="5" s="1"/>
  <c r="AE311" i="5" a="1"/>
  <c r="AE311" i="5" s="1"/>
  <c r="AE15" i="5" a="1"/>
  <c r="AE15" i="5" s="1"/>
  <c r="AC15" i="5" a="1"/>
  <c r="AC15" i="5" s="1"/>
  <c r="AE100" i="5" a="1"/>
  <c r="AE100" i="5" s="1"/>
  <c r="AC100" i="5" a="1"/>
  <c r="AC100" i="5" s="1"/>
  <c r="AC11" i="5" a="1"/>
  <c r="AC11" i="5" s="1"/>
  <c r="AE11" i="5" a="1"/>
  <c r="AE11" i="5" s="1"/>
  <c r="AC425" i="5" a="1"/>
  <c r="AC425" i="5" s="1"/>
  <c r="AE425" i="5" a="1"/>
  <c r="AE425" i="5" s="1"/>
  <c r="AE209" i="5" a="1"/>
  <c r="AE209" i="5" s="1"/>
  <c r="AC209" i="5" a="1"/>
  <c r="AC209" i="5" s="1"/>
  <c r="AC63" i="5" a="1"/>
  <c r="AC63" i="5" s="1"/>
  <c r="AE63" i="5" a="1"/>
  <c r="AE63" i="5" s="1"/>
  <c r="AE480" i="5" a="1"/>
  <c r="AE480" i="5" s="1"/>
  <c r="AC480" i="5" a="1"/>
  <c r="AC480" i="5" s="1"/>
  <c r="AC307" i="5" a="1"/>
  <c r="AC307" i="5" s="1"/>
  <c r="AE307" i="5" a="1"/>
  <c r="AE307" i="5" s="1"/>
  <c r="AE93" i="5" a="1"/>
  <c r="AE93" i="5" s="1"/>
  <c r="AC93" i="5" a="1"/>
  <c r="AC93" i="5" s="1"/>
  <c r="AE266" i="5" a="1"/>
  <c r="AE266" i="5" s="1"/>
  <c r="AC266" i="5" a="1"/>
  <c r="AC266" i="5" s="1"/>
  <c r="AE225" i="5" a="1"/>
  <c r="AE225" i="5" s="1"/>
  <c r="AC225" i="5" a="1"/>
  <c r="AC225" i="5" s="1"/>
  <c r="AC132" i="5" a="1"/>
  <c r="AC132" i="5" s="1"/>
  <c r="AE132" i="5" a="1"/>
  <c r="AE132" i="5" s="1"/>
  <c r="AE362" i="5" a="1"/>
  <c r="AE362" i="5" s="1"/>
  <c r="AC362" i="5" a="1"/>
  <c r="AC362" i="5" s="1"/>
  <c r="AC499" i="5" a="1"/>
  <c r="AC499" i="5" s="1"/>
  <c r="AE499" i="5" a="1"/>
  <c r="AE499" i="5" s="1"/>
  <c r="AE218" i="5" a="1"/>
  <c r="AE218" i="5" s="1"/>
  <c r="AC218" i="5" a="1"/>
  <c r="AC218" i="5" s="1"/>
  <c r="AE59" i="5" a="1"/>
  <c r="AE59" i="5" s="1"/>
  <c r="AC59" i="5" a="1"/>
  <c r="AC59" i="5" s="1"/>
  <c r="AE38" i="5" a="1"/>
  <c r="AE38" i="5" s="1"/>
  <c r="AC38" i="5" a="1"/>
  <c r="AC38" i="5" s="1"/>
  <c r="AE299" i="5" a="1"/>
  <c r="AE299" i="5" s="1"/>
  <c r="AC299" i="5" a="1"/>
  <c r="AC299" i="5" s="1"/>
  <c r="AE37" i="5" a="1"/>
  <c r="AE37" i="5" s="1"/>
  <c r="AC37" i="5" a="1"/>
  <c r="AC37" i="5" s="1"/>
  <c r="AE290" i="5" a="1"/>
  <c r="AE290" i="5" s="1"/>
  <c r="AC290" i="5" a="1"/>
  <c r="AC290" i="5" s="1"/>
  <c r="AE87" i="5" a="1"/>
  <c r="AE87" i="5" s="1"/>
  <c r="AC87" i="5" a="1"/>
  <c r="AC87" i="5" s="1"/>
  <c r="AC149" i="5" a="1"/>
  <c r="AC149" i="5" s="1"/>
  <c r="AE149" i="5" a="1"/>
  <c r="AE149" i="5" s="1"/>
  <c r="AC186" i="5" a="1"/>
  <c r="AC186" i="5" s="1"/>
  <c r="AE186" i="5" a="1"/>
  <c r="AE186" i="5" s="1"/>
  <c r="AE95" i="5" a="1"/>
  <c r="AE95" i="5" s="1"/>
  <c r="AC95" i="5" a="1"/>
  <c r="AC95" i="5" s="1"/>
  <c r="AC292" i="5" a="1"/>
  <c r="AC292" i="5" s="1"/>
  <c r="AE292" i="5" a="1"/>
  <c r="AE292" i="5" s="1"/>
  <c r="AC342" i="5" a="1"/>
  <c r="AC342" i="5" s="1"/>
  <c r="AE342" i="5" a="1"/>
  <c r="AE342" i="5" s="1"/>
  <c r="AC450" i="5" a="1"/>
  <c r="AC450" i="5" s="1"/>
  <c r="AE450" i="5" a="1"/>
  <c r="AE450" i="5" s="1"/>
  <c r="AC483" i="5" a="1"/>
  <c r="AC483" i="5" s="1"/>
  <c r="AE483" i="5" a="1"/>
  <c r="AE483" i="5" s="1"/>
  <c r="AC171" i="5" a="1"/>
  <c r="AC171" i="5" s="1"/>
  <c r="AE171" i="5" a="1"/>
  <c r="AE171" i="5" s="1"/>
  <c r="AE49" i="5" a="1"/>
  <c r="AE49" i="5" s="1"/>
  <c r="AC49" i="5" a="1"/>
  <c r="AC49" i="5" s="1"/>
  <c r="AE30" i="5" a="1"/>
  <c r="AE30" i="5" s="1"/>
  <c r="AC30" i="5" a="1"/>
  <c r="AC30" i="5" s="1"/>
  <c r="AE259" i="5" a="1"/>
  <c r="AE259" i="5" s="1"/>
  <c r="AC259" i="5" a="1"/>
  <c r="AC259" i="5" s="1"/>
  <c r="AE161" i="5" a="1"/>
  <c r="AE161" i="5" s="1"/>
  <c r="AC161" i="5" a="1"/>
  <c r="AC161" i="5" s="1"/>
  <c r="AE500" i="5" a="1"/>
  <c r="AE500" i="5" s="1"/>
  <c r="AC500" i="5" a="1"/>
  <c r="AC500" i="5" s="1"/>
  <c r="AE406" i="5" a="1"/>
  <c r="AE406" i="5" s="1"/>
  <c r="AC406" i="5" a="1"/>
  <c r="AC406" i="5" s="1"/>
  <c r="AE48" i="5" a="1"/>
  <c r="AE48" i="5" s="1"/>
  <c r="AC48" i="5" a="1"/>
  <c r="AC48" i="5" s="1"/>
  <c r="AE113" i="5" a="1"/>
  <c r="AE113" i="5" s="1"/>
  <c r="AC113" i="5" a="1"/>
  <c r="AC113" i="5" s="1"/>
  <c r="AE119" i="5" a="1"/>
  <c r="AE119" i="5" s="1"/>
  <c r="AC119" i="5" a="1"/>
  <c r="AC119" i="5" s="1"/>
  <c r="AC47" i="5" a="1"/>
  <c r="AC47" i="5" s="1"/>
  <c r="AE47" i="5" a="1"/>
  <c r="AE47" i="5" s="1"/>
  <c r="AC145" i="5" a="1"/>
  <c r="AC145" i="5" s="1"/>
  <c r="AE145" i="5" a="1"/>
  <c r="AE145" i="5" s="1"/>
  <c r="AC462" i="5" a="1"/>
  <c r="AC462" i="5" s="1"/>
  <c r="AE462" i="5" a="1"/>
  <c r="AE462" i="5" s="1"/>
  <c r="AE42" i="5" a="1"/>
  <c r="AE42" i="5" s="1"/>
  <c r="AC42" i="5" a="1"/>
  <c r="AC42" i="5" s="1"/>
  <c r="AC458" i="5" a="1"/>
  <c r="AC458" i="5" s="1"/>
  <c r="AE458" i="5" a="1"/>
  <c r="AE458" i="5" s="1"/>
  <c r="AE394" i="5" a="1"/>
  <c r="AE394" i="5" s="1"/>
  <c r="AC394" i="5" a="1"/>
  <c r="AC394" i="5" s="1"/>
  <c r="AE153" i="5" a="1"/>
  <c r="AE153" i="5" s="1"/>
  <c r="AC153" i="5" a="1"/>
  <c r="AC153" i="5" s="1"/>
  <c r="AE280" i="5" a="1"/>
  <c r="AE280" i="5" s="1"/>
  <c r="AC280" i="5" a="1"/>
  <c r="AC280" i="5" s="1"/>
  <c r="AE189" i="5" a="1"/>
  <c r="AE189" i="5" s="1"/>
  <c r="AC189" i="5" a="1"/>
  <c r="AC189" i="5" s="1"/>
  <c r="AC304" i="5" a="1"/>
  <c r="AC304" i="5" s="1"/>
  <c r="AE304" i="5" a="1"/>
  <c r="AE304" i="5" s="1"/>
  <c r="AE380" i="5" a="1"/>
  <c r="AE380" i="5" s="1"/>
  <c r="AC380" i="5" a="1"/>
  <c r="AC380" i="5" s="1"/>
  <c r="AE175" i="5" a="1"/>
  <c r="AE175" i="5" s="1"/>
  <c r="AC175" i="5" a="1"/>
  <c r="AC175" i="5" s="1"/>
  <c r="AC197" i="5" a="1"/>
  <c r="AC197" i="5" s="1"/>
  <c r="AE197" i="5" a="1"/>
  <c r="AE197" i="5" s="1"/>
  <c r="AE222" i="5" a="1"/>
  <c r="AE222" i="5" s="1"/>
  <c r="AC222" i="5" a="1"/>
  <c r="AC222" i="5" s="1"/>
  <c r="AE256" i="5" a="1"/>
  <c r="AE256" i="5" s="1"/>
  <c r="AC256" i="5" a="1"/>
  <c r="AC256" i="5" s="1"/>
  <c r="AE208" i="5" a="1"/>
  <c r="AE208" i="5" s="1"/>
  <c r="AC208" i="5" a="1"/>
  <c r="AC208" i="5" s="1"/>
  <c r="AE90" i="5" a="1"/>
  <c r="AE90" i="5" s="1"/>
  <c r="AC90" i="5" a="1"/>
  <c r="AC90" i="5" s="1"/>
  <c r="AE433" i="5" a="1"/>
  <c r="AE433" i="5" s="1"/>
  <c r="AC433" i="5" a="1"/>
  <c r="AC433" i="5" s="1"/>
  <c r="AC152" i="5" a="1"/>
  <c r="AC152" i="5" s="1"/>
  <c r="AE152" i="5" a="1"/>
  <c r="AE152" i="5" s="1"/>
  <c r="AC279" i="5" a="1"/>
  <c r="AC279" i="5" s="1"/>
  <c r="AE279" i="5" a="1"/>
  <c r="AE279" i="5" s="1"/>
  <c r="AE326" i="5" a="1"/>
  <c r="AE326" i="5" s="1"/>
  <c r="AC326" i="5" a="1"/>
  <c r="AC326" i="5" s="1"/>
  <c r="AE270" i="5" a="1"/>
  <c r="AE270" i="5" s="1"/>
  <c r="AC270" i="5" a="1"/>
  <c r="AC270" i="5" s="1"/>
  <c r="AC83" i="5" a="1"/>
  <c r="AC83" i="5" s="1"/>
  <c r="AE83" i="5" a="1"/>
  <c r="AE83" i="5" s="1"/>
  <c r="AC265" i="5" a="1"/>
  <c r="AC265" i="5" s="1"/>
  <c r="AE265" i="5" a="1"/>
  <c r="AE265" i="5" s="1"/>
  <c r="AC181" i="5" a="1"/>
  <c r="AC181" i="5" s="1"/>
  <c r="AE181" i="5" a="1"/>
  <c r="AE181" i="5" s="1"/>
  <c r="AE9" i="5" a="1"/>
  <c r="AE9" i="5" s="1"/>
  <c r="AC9" i="5" a="1"/>
  <c r="AC9" i="5" s="1"/>
  <c r="AE25" i="5" a="1"/>
  <c r="AE25" i="5" s="1"/>
  <c r="AC25" i="5" a="1"/>
  <c r="AC25" i="5" s="1"/>
  <c r="AE141" i="5" a="1"/>
  <c r="AE141" i="5" s="1"/>
  <c r="AC141" i="5" a="1"/>
  <c r="AC141" i="5" s="1"/>
  <c r="AC221" i="5" a="1"/>
  <c r="AC221" i="5" s="1"/>
  <c r="AE221" i="5" a="1"/>
  <c r="AE221" i="5" s="1"/>
  <c r="AC185" i="5" a="1"/>
  <c r="AC185" i="5" s="1"/>
  <c r="AE185" i="5" a="1"/>
  <c r="AE185" i="5" s="1"/>
  <c r="AE365" i="5" a="1"/>
  <c r="AE365" i="5" s="1"/>
  <c r="AC365" i="5" a="1"/>
  <c r="AC365" i="5" s="1"/>
  <c r="AC302" i="5" a="1"/>
  <c r="AC302" i="5" s="1"/>
  <c r="AE302" i="5" a="1"/>
  <c r="AE302" i="5" s="1"/>
  <c r="AC104" i="5" a="1"/>
  <c r="AC104" i="5" s="1"/>
  <c r="AE104" i="5" a="1"/>
  <c r="AE104" i="5" s="1"/>
  <c r="AC285" i="5" a="1"/>
  <c r="AC285" i="5" s="1"/>
  <c r="AE285" i="5" a="1"/>
  <c r="AE285" i="5" s="1"/>
  <c r="AE339" i="5" a="1"/>
  <c r="AE339" i="5" s="1"/>
  <c r="AC339" i="5" a="1"/>
  <c r="AC339" i="5" s="1"/>
  <c r="AE454" i="5" a="1"/>
  <c r="AE454" i="5" s="1"/>
  <c r="AC454" i="5" a="1"/>
  <c r="AC454" i="5" s="1"/>
  <c r="AE158" i="5" a="1"/>
  <c r="AE158" i="5" s="1"/>
  <c r="AC158" i="5" a="1"/>
  <c r="AC158" i="5" s="1"/>
  <c r="AE257" i="5" a="1"/>
  <c r="AE257" i="5" s="1"/>
  <c r="AC257" i="5" a="1"/>
  <c r="AC257" i="5" s="1"/>
  <c r="AC367" i="5" a="1"/>
  <c r="AC367" i="5" s="1"/>
  <c r="AE367" i="5" a="1"/>
  <c r="AE367" i="5" s="1"/>
  <c r="AC166" i="5" a="1"/>
  <c r="AC166" i="5" s="1"/>
  <c r="AE166" i="5" a="1"/>
  <c r="AE166" i="5" s="1"/>
  <c r="AE352" i="5" a="1"/>
  <c r="AE352" i="5" s="1"/>
  <c r="AC352" i="5" a="1"/>
  <c r="AC352" i="5" s="1"/>
  <c r="AC2" i="5" a="1"/>
  <c r="AC2" i="5" s="1"/>
  <c r="AE2" i="5" a="1"/>
  <c r="AE2" i="5" s="1"/>
  <c r="AC330" i="5" a="1"/>
  <c r="AC330" i="5" s="1"/>
  <c r="AE330" i="5" a="1"/>
  <c r="AE330" i="5" s="1"/>
  <c r="AC263" i="5" a="1"/>
  <c r="AC263" i="5" s="1"/>
  <c r="AE263" i="5" a="1"/>
  <c r="AE263" i="5" s="1"/>
  <c r="AC8" i="5" a="1"/>
  <c r="AC8" i="5" s="1"/>
  <c r="AE8" i="5" a="1"/>
  <c r="AE8" i="5" s="1"/>
  <c r="AC182" i="5" a="1"/>
  <c r="AC182" i="5" s="1"/>
  <c r="AE182" i="5" a="1"/>
  <c r="AE182" i="5" s="1"/>
  <c r="AC10" i="5" a="1"/>
  <c r="AC10" i="5" s="1"/>
  <c r="AE10" i="5" a="1"/>
  <c r="AE10" i="5" s="1"/>
  <c r="AC81" i="5" a="1"/>
  <c r="AC81" i="5" s="1"/>
  <c r="AE81" i="5" a="1"/>
  <c r="AE81" i="5" s="1"/>
  <c r="AE313" i="5" a="1"/>
  <c r="AE313" i="5" s="1"/>
  <c r="AC313" i="5" a="1"/>
  <c r="AC313" i="5" s="1"/>
  <c r="AE165" i="5" a="1"/>
  <c r="AE165" i="5" s="1"/>
  <c r="AC165" i="5" a="1"/>
  <c r="AC165" i="5" s="1"/>
  <c r="AE345" i="5" a="1"/>
  <c r="AE345" i="5" s="1"/>
  <c r="AC345" i="5" a="1"/>
  <c r="AC345" i="5" s="1"/>
  <c r="AC303" i="5" a="1"/>
  <c r="AC303" i="5" s="1"/>
  <c r="AE303" i="5" a="1"/>
  <c r="AE303" i="5" s="1"/>
  <c r="AE57" i="5" a="1"/>
  <c r="AE57" i="5" s="1"/>
  <c r="AC57" i="5" a="1"/>
  <c r="AC57" i="5" s="1"/>
  <c r="AC184" i="5" a="1"/>
  <c r="AC184" i="5" s="1"/>
  <c r="AE184" i="5" a="1"/>
  <c r="AE184" i="5" s="1"/>
  <c r="AC348" i="5" a="1"/>
  <c r="AC348" i="5" s="1"/>
  <c r="AE348" i="5" a="1"/>
  <c r="AE348" i="5" s="1"/>
  <c r="AC460" i="5" a="1"/>
  <c r="AC460" i="5" s="1"/>
  <c r="AE460" i="5" a="1"/>
  <c r="AE460" i="5" s="1"/>
  <c r="AE77" i="5" a="1"/>
  <c r="AE77" i="5" s="1"/>
  <c r="AC77" i="5" a="1"/>
  <c r="AC77" i="5" s="1"/>
  <c r="AE230" i="5" a="1"/>
  <c r="AE230" i="5" s="1"/>
  <c r="AC230" i="5" a="1"/>
  <c r="AC230" i="5" s="1"/>
  <c r="AE485" i="5" a="1"/>
  <c r="AE485" i="5" s="1"/>
  <c r="AC485" i="5" a="1"/>
  <c r="AC485" i="5" s="1"/>
  <c r="AE456" i="5" a="1"/>
  <c r="AE456" i="5" s="1"/>
  <c r="AC456" i="5" a="1"/>
  <c r="AC456" i="5" s="1"/>
  <c r="AE419" i="5" a="1"/>
  <c r="AE419" i="5" s="1"/>
  <c r="AC419" i="5" a="1"/>
  <c r="AC419" i="5" s="1"/>
  <c r="AE404" i="5" a="1"/>
  <c r="AE404" i="5" s="1"/>
  <c r="AC404" i="5" a="1"/>
  <c r="AC404" i="5" s="1"/>
  <c r="AE112" i="5" a="1"/>
  <c r="AE112" i="5" s="1"/>
  <c r="AC112" i="5" a="1"/>
  <c r="AC112" i="5" s="1"/>
  <c r="AC101" i="5" a="1"/>
  <c r="AC101" i="5" s="1"/>
  <c r="AE101" i="5" a="1"/>
  <c r="AE101" i="5" s="1"/>
  <c r="AC482" i="5" a="1"/>
  <c r="AC482" i="5" s="1"/>
  <c r="AE482" i="5" a="1"/>
  <c r="AE482" i="5" s="1"/>
  <c r="AC358" i="5" a="1"/>
  <c r="AC358" i="5" s="1"/>
  <c r="AE358" i="5" a="1"/>
  <c r="AE358" i="5" s="1"/>
  <c r="AE435" i="5" a="1"/>
  <c r="AE435" i="5" s="1"/>
  <c r="AC435" i="5" a="1"/>
  <c r="AC435" i="5" s="1"/>
  <c r="AE69" i="5" a="1"/>
  <c r="AE69" i="5" s="1"/>
  <c r="AC69" i="5" a="1"/>
  <c r="AC69" i="5" s="1"/>
  <c r="AE355" i="5" a="1"/>
  <c r="AE355" i="5" s="1"/>
  <c r="AC355" i="5" a="1"/>
  <c r="AC355" i="5" s="1"/>
  <c r="AE248" i="5" a="1"/>
  <c r="AE248" i="5" s="1"/>
  <c r="AC248" i="5" a="1"/>
  <c r="AC248" i="5" s="1"/>
  <c r="AE219" i="5" a="1"/>
  <c r="AE219" i="5" s="1"/>
  <c r="AC219" i="5" a="1"/>
  <c r="AC219" i="5" s="1"/>
  <c r="AC143" i="5" a="1"/>
  <c r="AC143" i="5" s="1"/>
  <c r="AE143" i="5" a="1"/>
  <c r="AE143" i="5" s="1"/>
  <c r="AC201" i="5" a="1"/>
  <c r="AC201" i="5" s="1"/>
  <c r="AE201" i="5" a="1"/>
  <c r="AE201" i="5" s="1"/>
  <c r="AE79" i="5" a="1"/>
  <c r="AE79" i="5" s="1"/>
  <c r="AC79" i="5" a="1"/>
  <c r="AC79" i="5" s="1"/>
  <c r="AE277" i="5" a="1"/>
  <c r="AE277" i="5" s="1"/>
  <c r="AC277" i="5" a="1"/>
  <c r="AC277" i="5" s="1"/>
  <c r="AE241" i="5" a="1"/>
  <c r="AE241" i="5" s="1"/>
  <c r="AC241" i="5" a="1"/>
  <c r="AC241" i="5" s="1"/>
  <c r="AE196" i="5" a="1"/>
  <c r="AE196" i="5" s="1"/>
  <c r="AC196" i="5" a="1"/>
  <c r="AC196" i="5" s="1"/>
  <c r="AE495" i="5" a="1"/>
  <c r="AE495" i="5" s="1"/>
  <c r="AC495" i="5" a="1"/>
  <c r="AC495" i="5" s="1"/>
  <c r="AE142" i="5" a="1"/>
  <c r="AE142" i="5" s="1"/>
  <c r="AC142" i="5" a="1"/>
  <c r="AC142" i="5" s="1"/>
  <c r="AE250" i="5" a="1"/>
  <c r="AE250" i="5" s="1"/>
  <c r="AC250" i="5" a="1"/>
  <c r="AC250" i="5" s="1"/>
  <c r="AE496" i="5" a="1"/>
  <c r="AE496" i="5" s="1"/>
  <c r="AC496" i="5" a="1"/>
  <c r="AC496" i="5" s="1"/>
  <c r="AC117" i="5" a="1"/>
  <c r="AC117" i="5" s="1"/>
  <c r="AE117" i="5" a="1"/>
  <c r="AE117" i="5" s="1"/>
  <c r="AC334" i="5" a="1"/>
  <c r="AC334" i="5" s="1"/>
  <c r="AE334" i="5" a="1"/>
  <c r="AE334" i="5" s="1"/>
  <c r="AC64" i="5" a="1"/>
  <c r="AC64" i="5" s="1"/>
  <c r="AE64" i="5" a="1"/>
  <c r="AE64" i="5" s="1"/>
  <c r="AC202" i="5" a="1"/>
  <c r="AC202" i="5" s="1"/>
  <c r="AE202" i="5" a="1"/>
  <c r="AE202" i="5" s="1"/>
  <c r="AC491" i="5" a="1"/>
  <c r="AC491" i="5" s="1"/>
  <c r="AE491" i="5" a="1"/>
  <c r="AE491" i="5" s="1"/>
  <c r="AE437" i="5" a="1"/>
  <c r="AE437" i="5" s="1"/>
  <c r="AC437" i="5" a="1"/>
  <c r="AC437" i="5" s="1"/>
  <c r="AC162" i="5" a="1"/>
  <c r="AC162" i="5" s="1"/>
  <c r="AE162" i="5" a="1"/>
  <c r="AE162" i="5" s="1"/>
  <c r="AE371" i="5" a="1"/>
  <c r="AE371" i="5" s="1"/>
  <c r="AC371" i="5" a="1"/>
  <c r="AC371" i="5" s="1"/>
  <c r="AE486" i="5" a="1"/>
  <c r="AE486" i="5" s="1"/>
  <c r="AC486" i="5" a="1"/>
  <c r="AC486" i="5" s="1"/>
  <c r="AE214" i="5" a="1"/>
  <c r="AE214" i="5" s="1"/>
  <c r="AC214" i="5" a="1"/>
  <c r="AC214" i="5" s="1"/>
  <c r="AE14" i="5" a="1"/>
  <c r="AE14" i="5" s="1"/>
  <c r="AC14" i="5" a="1"/>
  <c r="AC14" i="5" s="1"/>
  <c r="AE274" i="5" a="1"/>
  <c r="AE274" i="5" s="1"/>
  <c r="AC274" i="5" a="1"/>
  <c r="AC274" i="5" s="1"/>
  <c r="AC146" i="5" a="1"/>
  <c r="AC146" i="5" s="1"/>
  <c r="AE146" i="5" a="1"/>
  <c r="AE146" i="5" s="1"/>
  <c r="AE403" i="5" a="1"/>
  <c r="AE403" i="5" s="1"/>
  <c r="AC403" i="5" a="1"/>
  <c r="AC403" i="5" s="1"/>
  <c r="AE422" i="5" a="1"/>
  <c r="AE422" i="5" s="1"/>
  <c r="AC422" i="5" a="1"/>
  <c r="AC422" i="5" s="1"/>
  <c r="AC188" i="5" a="1"/>
  <c r="AC188" i="5" s="1"/>
  <c r="AE188" i="5" a="1"/>
  <c r="AE188" i="5" s="1"/>
  <c r="AE399" i="5" a="1"/>
  <c r="AE399" i="5" s="1"/>
  <c r="AC399" i="5" a="1"/>
  <c r="AC399" i="5" s="1"/>
  <c r="AC140" i="5" a="1"/>
  <c r="AC140" i="5" s="1"/>
  <c r="AE140" i="5" a="1"/>
  <c r="AE140" i="5" s="1"/>
  <c r="AE252" i="5" a="1"/>
  <c r="AE252" i="5" s="1"/>
  <c r="AC252" i="5" a="1"/>
  <c r="AC252" i="5" s="1"/>
  <c r="AE28" i="5" a="1"/>
  <c r="AE28" i="5" s="1"/>
  <c r="AC28" i="5" a="1"/>
  <c r="AC28" i="5" s="1"/>
  <c r="AE24" i="5" a="1"/>
  <c r="AE24" i="5" s="1"/>
  <c r="AC24" i="5" a="1"/>
  <c r="AC24" i="5" s="1"/>
  <c r="AC172" i="5" a="1"/>
  <c r="AC172" i="5" s="1"/>
  <c r="AE172" i="5" a="1"/>
  <c r="AE172" i="5" s="1"/>
  <c r="AC254" i="5" a="1"/>
  <c r="AC254" i="5" s="1"/>
  <c r="AE254" i="5" a="1"/>
  <c r="AE254" i="5" s="1"/>
  <c r="AE96" i="5" a="1"/>
  <c r="AE96" i="5" s="1"/>
  <c r="AC96" i="5" a="1"/>
  <c r="AC96" i="5" s="1"/>
  <c r="AC198" i="5" a="1"/>
  <c r="AC198" i="5" s="1"/>
  <c r="AE198" i="5" a="1"/>
  <c r="AE198" i="5" s="1"/>
  <c r="AE232" i="5" a="1"/>
  <c r="AE232" i="5" s="1"/>
  <c r="AC232" i="5" a="1"/>
  <c r="AC232" i="5" s="1"/>
  <c r="AE23" i="5" a="1"/>
  <c r="AE23" i="5" s="1"/>
  <c r="AC23" i="5" a="1"/>
  <c r="AC23" i="5" s="1"/>
  <c r="AC469" i="5" a="1"/>
  <c r="AC469" i="5" s="1"/>
  <c r="AE469" i="5" a="1"/>
  <c r="AE469" i="5" s="1"/>
  <c r="AC94" i="5" a="1"/>
  <c r="AC94" i="5" s="1"/>
  <c r="AE94" i="5" a="1"/>
  <c r="AE94" i="5" s="1"/>
  <c r="AE92" i="5" a="1"/>
  <c r="AE92" i="5" s="1"/>
  <c r="AC92" i="5" a="1"/>
  <c r="AC92" i="5" s="1"/>
  <c r="AC347" i="5" a="1"/>
  <c r="AC347" i="5" s="1"/>
  <c r="AE347" i="5" a="1"/>
  <c r="AE347" i="5" s="1"/>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E45" i="3"/>
  <c r="E53" i="3"/>
  <c r="E34" i="3"/>
  <c r="H41" i="3"/>
  <c r="H33" i="3"/>
  <c r="AD2" i="2" l="1"/>
  <c r="AB2" i="2"/>
  <c r="AB493" i="2"/>
  <c r="AD493" i="2"/>
  <c r="AB481" i="2"/>
  <c r="AD481" i="2"/>
  <c r="AB469" i="2"/>
  <c r="AD469" i="2"/>
  <c r="AB457" i="2"/>
  <c r="AD457" i="2"/>
  <c r="AB445" i="2"/>
  <c r="AD445" i="2"/>
  <c r="AB433" i="2"/>
  <c r="AD433" i="2"/>
  <c r="AB421" i="2"/>
  <c r="AD421" i="2"/>
  <c r="AB409" i="2"/>
  <c r="AD409" i="2"/>
  <c r="AB397" i="2"/>
  <c r="AD397" i="2"/>
  <c r="AB385" i="2"/>
  <c r="AD385" i="2"/>
  <c r="AB373" i="2"/>
  <c r="AD373" i="2"/>
  <c r="AB361" i="2"/>
  <c r="AD361" i="2"/>
  <c r="AB349" i="2"/>
  <c r="AD349" i="2"/>
  <c r="AB337" i="2"/>
  <c r="AD337" i="2"/>
  <c r="AB325" i="2"/>
  <c r="AD325" i="2"/>
  <c r="AB313" i="2"/>
  <c r="AD313" i="2"/>
  <c r="AB301" i="2"/>
  <c r="AD301" i="2"/>
  <c r="AB289" i="2"/>
  <c r="AD289" i="2"/>
  <c r="AB277" i="2"/>
  <c r="AD277" i="2"/>
  <c r="AB265" i="2"/>
  <c r="AD265" i="2"/>
  <c r="AB253" i="2"/>
  <c r="AD253" i="2"/>
  <c r="AB241" i="2"/>
  <c r="AD241" i="2"/>
  <c r="AB229" i="2"/>
  <c r="AD229" i="2"/>
  <c r="AB217" i="2"/>
  <c r="AD217" i="2"/>
  <c r="AB205" i="2"/>
  <c r="AD205" i="2"/>
  <c r="AB193" i="2"/>
  <c r="AD193" i="2"/>
  <c r="AB181" i="2"/>
  <c r="AD181" i="2"/>
  <c r="AB169" i="2"/>
  <c r="AD169" i="2"/>
  <c r="AB157" i="2"/>
  <c r="AD157" i="2"/>
  <c r="AB145" i="2"/>
  <c r="AD145" i="2"/>
  <c r="AB133" i="2"/>
  <c r="AD133" i="2"/>
  <c r="AB121" i="2"/>
  <c r="AD121" i="2"/>
  <c r="AB109" i="2"/>
  <c r="AD109" i="2"/>
  <c r="AB97" i="2"/>
  <c r="AD97" i="2"/>
  <c r="AB85" i="2"/>
  <c r="AD85" i="2"/>
  <c r="AB73" i="2"/>
  <c r="AD73" i="2"/>
  <c r="AB61" i="2"/>
  <c r="AD61" i="2"/>
  <c r="AB49" i="2"/>
  <c r="AD49" i="2"/>
  <c r="AB37" i="2"/>
  <c r="AD37" i="2"/>
  <c r="AB25" i="2"/>
  <c r="AD25" i="2"/>
  <c r="AB13" i="2"/>
  <c r="AD13" i="2"/>
  <c r="AB492" i="2"/>
  <c r="AD492" i="2"/>
  <c r="AB480" i="2"/>
  <c r="AD480" i="2"/>
  <c r="AB468" i="2"/>
  <c r="AD468" i="2"/>
  <c r="AB456" i="2"/>
  <c r="AD456" i="2"/>
  <c r="AB444" i="2"/>
  <c r="AD444" i="2"/>
  <c r="AB432" i="2"/>
  <c r="AD432" i="2"/>
  <c r="AB420" i="2"/>
  <c r="AD420" i="2"/>
  <c r="AB408" i="2"/>
  <c r="AD408" i="2"/>
  <c r="AB396" i="2"/>
  <c r="AD396" i="2"/>
  <c r="AB384" i="2"/>
  <c r="AD384" i="2"/>
  <c r="AB372" i="2"/>
  <c r="AD372" i="2"/>
  <c r="AB360" i="2"/>
  <c r="AD360" i="2"/>
  <c r="AB348" i="2"/>
  <c r="AD348" i="2"/>
  <c r="AB336" i="2"/>
  <c r="AD336" i="2"/>
  <c r="AB324" i="2"/>
  <c r="AD324" i="2"/>
  <c r="AB312" i="2"/>
  <c r="AD312" i="2"/>
  <c r="AB300" i="2"/>
  <c r="AD300" i="2"/>
  <c r="AB288" i="2"/>
  <c r="AD288" i="2"/>
  <c r="AB276" i="2"/>
  <c r="AD276" i="2"/>
  <c r="AB264" i="2"/>
  <c r="AD264" i="2"/>
  <c r="AB252" i="2"/>
  <c r="AD252" i="2"/>
  <c r="AB240" i="2"/>
  <c r="AD240" i="2"/>
  <c r="AB228" i="2"/>
  <c r="AD228" i="2"/>
  <c r="AB216" i="2"/>
  <c r="AD216" i="2"/>
  <c r="AB204" i="2"/>
  <c r="AD204" i="2"/>
  <c r="AB192" i="2"/>
  <c r="AD192" i="2"/>
  <c r="AB180" i="2"/>
  <c r="AD180" i="2"/>
  <c r="AB168" i="2"/>
  <c r="AD168" i="2"/>
  <c r="AB156" i="2"/>
  <c r="AD156" i="2"/>
  <c r="AB144" i="2"/>
  <c r="AD144" i="2"/>
  <c r="AB132" i="2"/>
  <c r="AD132" i="2"/>
  <c r="AB120" i="2"/>
  <c r="AD120" i="2"/>
  <c r="AB108" i="2"/>
  <c r="AD108" i="2"/>
  <c r="AB96" i="2"/>
  <c r="AD96" i="2"/>
  <c r="AB84" i="2"/>
  <c r="AD84" i="2"/>
  <c r="AB72" i="2"/>
  <c r="AD72" i="2"/>
  <c r="AB60" i="2"/>
  <c r="AD60" i="2"/>
  <c r="AB48" i="2"/>
  <c r="AD48" i="2"/>
  <c r="AB36" i="2"/>
  <c r="AD36" i="2"/>
  <c r="AB24" i="2"/>
  <c r="AD24" i="2"/>
  <c r="AB12" i="2"/>
  <c r="AD12" i="2"/>
  <c r="AB491" i="2"/>
  <c r="AD491" i="2"/>
  <c r="AB479" i="2"/>
  <c r="AD479" i="2"/>
  <c r="AB467" i="2"/>
  <c r="AD467" i="2"/>
  <c r="AB455" i="2"/>
  <c r="AD455" i="2"/>
  <c r="AB443" i="2"/>
  <c r="AD443" i="2"/>
  <c r="AB431" i="2"/>
  <c r="AD431" i="2"/>
  <c r="AB419" i="2"/>
  <c r="AD419" i="2"/>
  <c r="AB407" i="2"/>
  <c r="AD407" i="2"/>
  <c r="AB395" i="2"/>
  <c r="AD395" i="2"/>
  <c r="AB383" i="2"/>
  <c r="AD383" i="2"/>
  <c r="AB371" i="2"/>
  <c r="AD371" i="2"/>
  <c r="AB359" i="2"/>
  <c r="AD359" i="2"/>
  <c r="AB347" i="2"/>
  <c r="AD347" i="2"/>
  <c r="AB335" i="2"/>
  <c r="AD335" i="2"/>
  <c r="AB323" i="2"/>
  <c r="AD323" i="2"/>
  <c r="AB311" i="2"/>
  <c r="AD311" i="2"/>
  <c r="AB299" i="2"/>
  <c r="AD299" i="2"/>
  <c r="AB287" i="2"/>
  <c r="AD287" i="2"/>
  <c r="AB275" i="2"/>
  <c r="AD275" i="2"/>
  <c r="AB263" i="2"/>
  <c r="AD263" i="2"/>
  <c r="AB251" i="2"/>
  <c r="AD251" i="2"/>
  <c r="AB239" i="2"/>
  <c r="AD239" i="2"/>
  <c r="AB227" i="2"/>
  <c r="AD227" i="2"/>
  <c r="AB215" i="2"/>
  <c r="AD215" i="2"/>
  <c r="AB203" i="2"/>
  <c r="AD203" i="2"/>
  <c r="AB191" i="2"/>
  <c r="AD191" i="2"/>
  <c r="AB179" i="2"/>
  <c r="AD179" i="2"/>
  <c r="AB167" i="2"/>
  <c r="AD167" i="2"/>
  <c r="AB155" i="2"/>
  <c r="AD155" i="2"/>
  <c r="AB143" i="2"/>
  <c r="AD143" i="2"/>
  <c r="AB131" i="2"/>
  <c r="AD131" i="2"/>
  <c r="AB119" i="2"/>
  <c r="AD119" i="2"/>
  <c r="AB107" i="2"/>
  <c r="AD107" i="2"/>
  <c r="AB95" i="2"/>
  <c r="AD95" i="2"/>
  <c r="AB83" i="2"/>
  <c r="AD83" i="2"/>
  <c r="AB71" i="2"/>
  <c r="AD71" i="2"/>
  <c r="AB59" i="2"/>
  <c r="AD59" i="2"/>
  <c r="AB47" i="2"/>
  <c r="AD47" i="2"/>
  <c r="AB35" i="2"/>
  <c r="AD35" i="2"/>
  <c r="AB23" i="2"/>
  <c r="AD23" i="2"/>
  <c r="AB11" i="2"/>
  <c r="AD11" i="2"/>
  <c r="AB490" i="2"/>
  <c r="AD490" i="2"/>
  <c r="AB478" i="2"/>
  <c r="AD478" i="2"/>
  <c r="AB466" i="2"/>
  <c r="AD466" i="2"/>
  <c r="AB454" i="2"/>
  <c r="AD454" i="2"/>
  <c r="AB442" i="2"/>
  <c r="AD442" i="2"/>
  <c r="AB430" i="2"/>
  <c r="AD430" i="2"/>
  <c r="AB418" i="2"/>
  <c r="AD418" i="2"/>
  <c r="AB406" i="2"/>
  <c r="AD406" i="2"/>
  <c r="AB394" i="2"/>
  <c r="AD394" i="2"/>
  <c r="AB382" i="2"/>
  <c r="AD382" i="2"/>
  <c r="AB370" i="2"/>
  <c r="AD370" i="2"/>
  <c r="AB358" i="2"/>
  <c r="AD358" i="2"/>
  <c r="AB346" i="2"/>
  <c r="AD346" i="2"/>
  <c r="AB334" i="2"/>
  <c r="AD334" i="2"/>
  <c r="AB322" i="2"/>
  <c r="AD322" i="2"/>
  <c r="AB310" i="2"/>
  <c r="AD310" i="2"/>
  <c r="AB298" i="2"/>
  <c r="AD298" i="2"/>
  <c r="AB286" i="2"/>
  <c r="AD286" i="2"/>
  <c r="AB274" i="2"/>
  <c r="AD274" i="2"/>
  <c r="AB262" i="2"/>
  <c r="AD262" i="2"/>
  <c r="AB250" i="2"/>
  <c r="AD250" i="2"/>
  <c r="AB238" i="2"/>
  <c r="AD238" i="2"/>
  <c r="AB226" i="2"/>
  <c r="AD226" i="2"/>
  <c r="AB214" i="2"/>
  <c r="AD214" i="2"/>
  <c r="AB202" i="2"/>
  <c r="AD202" i="2"/>
  <c r="AB190" i="2"/>
  <c r="AD190" i="2"/>
  <c r="AB178" i="2"/>
  <c r="AD178" i="2"/>
  <c r="AB166" i="2"/>
  <c r="AD166" i="2"/>
  <c r="AB154" i="2"/>
  <c r="AD154" i="2"/>
  <c r="AB142" i="2"/>
  <c r="AD142" i="2"/>
  <c r="AB130" i="2"/>
  <c r="AD130" i="2"/>
  <c r="AB118" i="2"/>
  <c r="AD118" i="2"/>
  <c r="AB106" i="2"/>
  <c r="AD106" i="2"/>
  <c r="AB94" i="2"/>
  <c r="AD94" i="2"/>
  <c r="AB82" i="2"/>
  <c r="AD82" i="2"/>
  <c r="AB70" i="2"/>
  <c r="AD70" i="2"/>
  <c r="AB58" i="2"/>
  <c r="AD58" i="2"/>
  <c r="AB46" i="2"/>
  <c r="AD46" i="2"/>
  <c r="AB34" i="2"/>
  <c r="AD34" i="2"/>
  <c r="AB22" i="2"/>
  <c r="AD22" i="2"/>
  <c r="AB10" i="2"/>
  <c r="AD10" i="2"/>
  <c r="AB501" i="2"/>
  <c r="AD501" i="2"/>
  <c r="AB489" i="2"/>
  <c r="AD489" i="2"/>
  <c r="AB477" i="2"/>
  <c r="AD477" i="2"/>
  <c r="AB465" i="2"/>
  <c r="AD465" i="2"/>
  <c r="AB453" i="2"/>
  <c r="AD453" i="2"/>
  <c r="AB441" i="2"/>
  <c r="AD441" i="2"/>
  <c r="AB429" i="2"/>
  <c r="AD429" i="2"/>
  <c r="AB417" i="2"/>
  <c r="AD417" i="2"/>
  <c r="AB405" i="2"/>
  <c r="AD405" i="2"/>
  <c r="AB393" i="2"/>
  <c r="AD393" i="2"/>
  <c r="AB381" i="2"/>
  <c r="AD381" i="2"/>
  <c r="AB369" i="2"/>
  <c r="AD369" i="2"/>
  <c r="AB357" i="2"/>
  <c r="AD357" i="2"/>
  <c r="AB345" i="2"/>
  <c r="AD345" i="2"/>
  <c r="AB333" i="2"/>
  <c r="AD333" i="2"/>
  <c r="AB321" i="2"/>
  <c r="AD321" i="2"/>
  <c r="AB309" i="2"/>
  <c r="AD309" i="2"/>
  <c r="AB297" i="2"/>
  <c r="AD297" i="2"/>
  <c r="AB285" i="2"/>
  <c r="AD285" i="2"/>
  <c r="AB273" i="2"/>
  <c r="AD273" i="2"/>
  <c r="AB261" i="2"/>
  <c r="AD261" i="2"/>
  <c r="AB249" i="2"/>
  <c r="AD249" i="2"/>
  <c r="AB237" i="2"/>
  <c r="AD237" i="2"/>
  <c r="AB225" i="2"/>
  <c r="AD225" i="2"/>
  <c r="AB213" i="2"/>
  <c r="AD213" i="2"/>
  <c r="AB201" i="2"/>
  <c r="AD201" i="2"/>
  <c r="AB189" i="2"/>
  <c r="AD189" i="2"/>
  <c r="AB177" i="2"/>
  <c r="AD177" i="2"/>
  <c r="AB165" i="2"/>
  <c r="AD165" i="2"/>
  <c r="AB153" i="2"/>
  <c r="AD153" i="2"/>
  <c r="AB141" i="2"/>
  <c r="AD141" i="2"/>
  <c r="AB129" i="2"/>
  <c r="AD129" i="2"/>
  <c r="AB117" i="2"/>
  <c r="AD117" i="2"/>
  <c r="AB105" i="2"/>
  <c r="AD105" i="2"/>
  <c r="AB93" i="2"/>
  <c r="AD93" i="2"/>
  <c r="AB81" i="2"/>
  <c r="AD81" i="2"/>
  <c r="AB69" i="2"/>
  <c r="AD69" i="2"/>
  <c r="AB57" i="2"/>
  <c r="AD57" i="2"/>
  <c r="AB45" i="2"/>
  <c r="AD45" i="2"/>
  <c r="AB33" i="2"/>
  <c r="AD33" i="2"/>
  <c r="AB21" i="2"/>
  <c r="AD21" i="2"/>
  <c r="AB9" i="2"/>
  <c r="AD9" i="2"/>
  <c r="AB500" i="2"/>
  <c r="AD500" i="2"/>
  <c r="AB488" i="2"/>
  <c r="AD488" i="2"/>
  <c r="AB476" i="2"/>
  <c r="AD476" i="2"/>
  <c r="AB464" i="2"/>
  <c r="AD464" i="2"/>
  <c r="AB452" i="2"/>
  <c r="AD452" i="2"/>
  <c r="AB440" i="2"/>
  <c r="AD440" i="2"/>
  <c r="AB428" i="2"/>
  <c r="AD428" i="2"/>
  <c r="AB416" i="2"/>
  <c r="AD416" i="2"/>
  <c r="AB404" i="2"/>
  <c r="AD404" i="2"/>
  <c r="AB392" i="2"/>
  <c r="AD392" i="2"/>
  <c r="AB380" i="2"/>
  <c r="AD380" i="2"/>
  <c r="AB368" i="2"/>
  <c r="AD368" i="2"/>
  <c r="AB356" i="2"/>
  <c r="AD356" i="2"/>
  <c r="AB344" i="2"/>
  <c r="AD344" i="2"/>
  <c r="AB332" i="2"/>
  <c r="AD332" i="2"/>
  <c r="AB320" i="2"/>
  <c r="AD320" i="2"/>
  <c r="AB308" i="2"/>
  <c r="AD308" i="2"/>
  <c r="AB296" i="2"/>
  <c r="AD296" i="2"/>
  <c r="AB284" i="2"/>
  <c r="AD284" i="2"/>
  <c r="AB272" i="2"/>
  <c r="AD272" i="2"/>
  <c r="AB260" i="2"/>
  <c r="AD260" i="2"/>
  <c r="AB248" i="2"/>
  <c r="AD248" i="2"/>
  <c r="AB236" i="2"/>
  <c r="AD236" i="2"/>
  <c r="AB224" i="2"/>
  <c r="AD224" i="2"/>
  <c r="AB212" i="2"/>
  <c r="AD212" i="2"/>
  <c r="AB200" i="2"/>
  <c r="AD200" i="2"/>
  <c r="AB188" i="2"/>
  <c r="AD188" i="2"/>
  <c r="AB176" i="2"/>
  <c r="AD176" i="2"/>
  <c r="AB164" i="2"/>
  <c r="AD164" i="2"/>
  <c r="AB152" i="2"/>
  <c r="AD152" i="2"/>
  <c r="AB140" i="2"/>
  <c r="AD140" i="2"/>
  <c r="AB128" i="2"/>
  <c r="AD128" i="2"/>
  <c r="AB116" i="2"/>
  <c r="AD116" i="2"/>
  <c r="AB104" i="2"/>
  <c r="AD104" i="2"/>
  <c r="AB92" i="2"/>
  <c r="AD92" i="2"/>
  <c r="AB80" i="2"/>
  <c r="AD80" i="2"/>
  <c r="AB68" i="2"/>
  <c r="AD68" i="2"/>
  <c r="AB56" i="2"/>
  <c r="AD56" i="2"/>
  <c r="AB44" i="2"/>
  <c r="AD44" i="2"/>
  <c r="AB32" i="2"/>
  <c r="AD32" i="2"/>
  <c r="AB20" i="2"/>
  <c r="AD20" i="2"/>
  <c r="AB8" i="2"/>
  <c r="AD8" i="2"/>
  <c r="AB499" i="2"/>
  <c r="AD499" i="2"/>
  <c r="AB487" i="2"/>
  <c r="AD487" i="2"/>
  <c r="AB475" i="2"/>
  <c r="AD475" i="2"/>
  <c r="AB463" i="2"/>
  <c r="AD463" i="2"/>
  <c r="AB451" i="2"/>
  <c r="AD451" i="2"/>
  <c r="AB439" i="2"/>
  <c r="AD439" i="2"/>
  <c r="AB427" i="2"/>
  <c r="AD427" i="2"/>
  <c r="AB415" i="2"/>
  <c r="AD415" i="2"/>
  <c r="AB403" i="2"/>
  <c r="AD403" i="2"/>
  <c r="AB391" i="2"/>
  <c r="AD391" i="2"/>
  <c r="AB379" i="2"/>
  <c r="AD379" i="2"/>
  <c r="AB367" i="2"/>
  <c r="AD367" i="2"/>
  <c r="AB355" i="2"/>
  <c r="AD355" i="2"/>
  <c r="AB343" i="2"/>
  <c r="AD343" i="2"/>
  <c r="AB331" i="2"/>
  <c r="AD331" i="2"/>
  <c r="AB319" i="2"/>
  <c r="AD319" i="2"/>
  <c r="AB307" i="2"/>
  <c r="AD307" i="2"/>
  <c r="AB295" i="2"/>
  <c r="AD295" i="2"/>
  <c r="AB283" i="2"/>
  <c r="AD283" i="2"/>
  <c r="AB271" i="2"/>
  <c r="AD271" i="2"/>
  <c r="AB259" i="2"/>
  <c r="AD259" i="2"/>
  <c r="AB247" i="2"/>
  <c r="AD247" i="2"/>
  <c r="AB235" i="2"/>
  <c r="AD235" i="2"/>
  <c r="AB223" i="2"/>
  <c r="AD223" i="2"/>
  <c r="AB211" i="2"/>
  <c r="AD211" i="2"/>
  <c r="AB199" i="2"/>
  <c r="AD199" i="2"/>
  <c r="AB187" i="2"/>
  <c r="AD187" i="2"/>
  <c r="AB175" i="2"/>
  <c r="AD175" i="2"/>
  <c r="AB163" i="2"/>
  <c r="AD163" i="2"/>
  <c r="AB151" i="2"/>
  <c r="AD151" i="2"/>
  <c r="AB139" i="2"/>
  <c r="AD139" i="2"/>
  <c r="AB127" i="2"/>
  <c r="AD127" i="2"/>
  <c r="AB115" i="2"/>
  <c r="AD115" i="2"/>
  <c r="AB103" i="2"/>
  <c r="AD103" i="2"/>
  <c r="AB91" i="2"/>
  <c r="AD91" i="2"/>
  <c r="AB79" i="2"/>
  <c r="AD79" i="2"/>
  <c r="AB67" i="2"/>
  <c r="AD67" i="2"/>
  <c r="AB55" i="2"/>
  <c r="AD55" i="2"/>
  <c r="AB43" i="2"/>
  <c r="AD43" i="2"/>
  <c r="AB31" i="2"/>
  <c r="AD31" i="2"/>
  <c r="AB19" i="2"/>
  <c r="AD19" i="2"/>
  <c r="AB7" i="2"/>
  <c r="AD7" i="2"/>
  <c r="AB498" i="2"/>
  <c r="AD498" i="2"/>
  <c r="AB486" i="2"/>
  <c r="AD486" i="2"/>
  <c r="AB474" i="2"/>
  <c r="AD474" i="2"/>
  <c r="AB462" i="2"/>
  <c r="AD462" i="2"/>
  <c r="AB450" i="2"/>
  <c r="AD450" i="2"/>
  <c r="AB438" i="2"/>
  <c r="AD438" i="2"/>
  <c r="AB426" i="2"/>
  <c r="AD426" i="2"/>
  <c r="AB414" i="2"/>
  <c r="AD414" i="2"/>
  <c r="AB402" i="2"/>
  <c r="AD402" i="2"/>
  <c r="AB390" i="2"/>
  <c r="AD390" i="2"/>
  <c r="AB378" i="2"/>
  <c r="AD378" i="2"/>
  <c r="AB366" i="2"/>
  <c r="AD366" i="2"/>
  <c r="AB354" i="2"/>
  <c r="AD354" i="2"/>
  <c r="AB342" i="2"/>
  <c r="AD342" i="2"/>
  <c r="AB330" i="2"/>
  <c r="AD330" i="2"/>
  <c r="AB318" i="2"/>
  <c r="AD318" i="2"/>
  <c r="AB306" i="2"/>
  <c r="AD306" i="2"/>
  <c r="AB294" i="2"/>
  <c r="AD294" i="2"/>
  <c r="AB282" i="2"/>
  <c r="AD282" i="2"/>
  <c r="AB270" i="2"/>
  <c r="AD270" i="2"/>
  <c r="AB258" i="2"/>
  <c r="AD258" i="2"/>
  <c r="AB246" i="2"/>
  <c r="AD246" i="2"/>
  <c r="AB234" i="2"/>
  <c r="AD234" i="2"/>
  <c r="AB222" i="2"/>
  <c r="AD222" i="2"/>
  <c r="AB210" i="2"/>
  <c r="AD210" i="2"/>
  <c r="AB198" i="2"/>
  <c r="AD198" i="2"/>
  <c r="AB186" i="2"/>
  <c r="AD186" i="2"/>
  <c r="AB174" i="2"/>
  <c r="AD174" i="2"/>
  <c r="AB162" i="2"/>
  <c r="AD162" i="2"/>
  <c r="AB150" i="2"/>
  <c r="AD150" i="2"/>
  <c r="AB138" i="2"/>
  <c r="AD138" i="2"/>
  <c r="AB126" i="2"/>
  <c r="AD126" i="2"/>
  <c r="AB114" i="2"/>
  <c r="AD114" i="2"/>
  <c r="AB102" i="2"/>
  <c r="AD102" i="2"/>
  <c r="AB90" i="2"/>
  <c r="AD90" i="2"/>
  <c r="AB78" i="2"/>
  <c r="AD78" i="2"/>
  <c r="AB66" i="2"/>
  <c r="AD66" i="2"/>
  <c r="AB54" i="2"/>
  <c r="AD54" i="2"/>
  <c r="AB42" i="2"/>
  <c r="AD42" i="2"/>
  <c r="AB30" i="2"/>
  <c r="AD30" i="2"/>
  <c r="AB18" i="2"/>
  <c r="AD18" i="2"/>
  <c r="AB6" i="2"/>
  <c r="AD6" i="2"/>
  <c r="AB497" i="2"/>
  <c r="AD497" i="2"/>
  <c r="AB485" i="2"/>
  <c r="AD485" i="2"/>
  <c r="AB473" i="2"/>
  <c r="AD473" i="2"/>
  <c r="AB461" i="2"/>
  <c r="AD461" i="2"/>
  <c r="AB449" i="2"/>
  <c r="AD449" i="2"/>
  <c r="AB437" i="2"/>
  <c r="AD437" i="2"/>
  <c r="AB425" i="2"/>
  <c r="AD425" i="2"/>
  <c r="AB413" i="2"/>
  <c r="AD413" i="2"/>
  <c r="AB401" i="2"/>
  <c r="AD401" i="2"/>
  <c r="AB389" i="2"/>
  <c r="AD389" i="2"/>
  <c r="AB377" i="2"/>
  <c r="AD377" i="2"/>
  <c r="AB365" i="2"/>
  <c r="AD365" i="2"/>
  <c r="AB353" i="2"/>
  <c r="AD353" i="2"/>
  <c r="AB341" i="2"/>
  <c r="AD341" i="2"/>
  <c r="AB329" i="2"/>
  <c r="AD329" i="2"/>
  <c r="AB317" i="2"/>
  <c r="AD317" i="2"/>
  <c r="AB305" i="2"/>
  <c r="AD305" i="2"/>
  <c r="AB293" i="2"/>
  <c r="AD293" i="2"/>
  <c r="AB281" i="2"/>
  <c r="AD281" i="2"/>
  <c r="AB269" i="2"/>
  <c r="AD269" i="2"/>
  <c r="AB257" i="2"/>
  <c r="AD257" i="2"/>
  <c r="AB245" i="2"/>
  <c r="AD245" i="2"/>
  <c r="AB233" i="2"/>
  <c r="AD233" i="2"/>
  <c r="AB221" i="2"/>
  <c r="AD221" i="2"/>
  <c r="AB209" i="2"/>
  <c r="AD209" i="2"/>
  <c r="AB197" i="2"/>
  <c r="AD197" i="2"/>
  <c r="AB185" i="2"/>
  <c r="AD185" i="2"/>
  <c r="AB173" i="2"/>
  <c r="AD173" i="2"/>
  <c r="AB161" i="2"/>
  <c r="AD161" i="2"/>
  <c r="AB149" i="2"/>
  <c r="AD149" i="2"/>
  <c r="AB137" i="2"/>
  <c r="AD137" i="2"/>
  <c r="AB125" i="2"/>
  <c r="AD125" i="2"/>
  <c r="AB113" i="2"/>
  <c r="AD113" i="2"/>
  <c r="AB101" i="2"/>
  <c r="AD101" i="2"/>
  <c r="AB89" i="2"/>
  <c r="AD89" i="2"/>
  <c r="AB77" i="2"/>
  <c r="AD77" i="2"/>
  <c r="AB65" i="2"/>
  <c r="AD65" i="2"/>
  <c r="AB53" i="2"/>
  <c r="AD53" i="2"/>
  <c r="AB41" i="2"/>
  <c r="AD41" i="2"/>
  <c r="AB29" i="2"/>
  <c r="AD29" i="2"/>
  <c r="AB17" i="2"/>
  <c r="AD17" i="2"/>
  <c r="AB5" i="2"/>
  <c r="AD5" i="2"/>
  <c r="AB496" i="2"/>
  <c r="AD496" i="2"/>
  <c r="AB484" i="2"/>
  <c r="AD484" i="2"/>
  <c r="AB472" i="2"/>
  <c r="AD472" i="2"/>
  <c r="AB460" i="2"/>
  <c r="AD460" i="2"/>
  <c r="AB448" i="2"/>
  <c r="AD448" i="2"/>
  <c r="AB436" i="2"/>
  <c r="AD436" i="2"/>
  <c r="AB424" i="2"/>
  <c r="AD424" i="2"/>
  <c r="AB412" i="2"/>
  <c r="AD412" i="2"/>
  <c r="AB400" i="2"/>
  <c r="AD400" i="2"/>
  <c r="AB388" i="2"/>
  <c r="AD388" i="2"/>
  <c r="AB376" i="2"/>
  <c r="AD376" i="2"/>
  <c r="AB364" i="2"/>
  <c r="AD364" i="2"/>
  <c r="AB352" i="2"/>
  <c r="AD352" i="2"/>
  <c r="AB340" i="2"/>
  <c r="AD340" i="2"/>
  <c r="AB328" i="2"/>
  <c r="AD328" i="2"/>
  <c r="AB316" i="2"/>
  <c r="AD316" i="2"/>
  <c r="AB304" i="2"/>
  <c r="AD304" i="2"/>
  <c r="AB292" i="2"/>
  <c r="AD292" i="2"/>
  <c r="AB280" i="2"/>
  <c r="AD280" i="2"/>
  <c r="AB268" i="2"/>
  <c r="AD268" i="2"/>
  <c r="AB256" i="2"/>
  <c r="AD256" i="2"/>
  <c r="AB244" i="2"/>
  <c r="AD244" i="2"/>
  <c r="AB232" i="2"/>
  <c r="AD232" i="2"/>
  <c r="AB220" i="2"/>
  <c r="AD220" i="2"/>
  <c r="AB208" i="2"/>
  <c r="AD208" i="2"/>
  <c r="AB196" i="2"/>
  <c r="AD196" i="2"/>
  <c r="AB184" i="2"/>
  <c r="AD184" i="2"/>
  <c r="AB172" i="2"/>
  <c r="AD172" i="2"/>
  <c r="AB160" i="2"/>
  <c r="AD160" i="2"/>
  <c r="AB148" i="2"/>
  <c r="AD148" i="2"/>
  <c r="AB136" i="2"/>
  <c r="AD136" i="2"/>
  <c r="AB124" i="2"/>
  <c r="AD124" i="2"/>
  <c r="AB112" i="2"/>
  <c r="AD112" i="2"/>
  <c r="AB100" i="2"/>
  <c r="AD100" i="2"/>
  <c r="AB88" i="2"/>
  <c r="AD88" i="2"/>
  <c r="AB76" i="2"/>
  <c r="AD76" i="2"/>
  <c r="AB64" i="2"/>
  <c r="AD64" i="2"/>
  <c r="AB52" i="2"/>
  <c r="AD52" i="2"/>
  <c r="AB40" i="2"/>
  <c r="AD40" i="2"/>
  <c r="AB28" i="2"/>
  <c r="AD28" i="2"/>
  <c r="AB16" i="2"/>
  <c r="AD16" i="2"/>
  <c r="AB4" i="2"/>
  <c r="AD4" i="2"/>
  <c r="AB495" i="2"/>
  <c r="AD495" i="2"/>
  <c r="AB483" i="2"/>
  <c r="AD483" i="2"/>
  <c r="AB471" i="2"/>
  <c r="AD471" i="2"/>
  <c r="AB459" i="2"/>
  <c r="AD459" i="2"/>
  <c r="AB447" i="2"/>
  <c r="AD447" i="2"/>
  <c r="AB435" i="2"/>
  <c r="AD435" i="2"/>
  <c r="AB423" i="2"/>
  <c r="AD423" i="2"/>
  <c r="AB411" i="2"/>
  <c r="AD411" i="2"/>
  <c r="AB399" i="2"/>
  <c r="AD399" i="2"/>
  <c r="AB387" i="2"/>
  <c r="AD387" i="2"/>
  <c r="AB375" i="2"/>
  <c r="AD375" i="2"/>
  <c r="AB363" i="2"/>
  <c r="AD363" i="2"/>
  <c r="AB351" i="2"/>
  <c r="AD351" i="2"/>
  <c r="AB339" i="2"/>
  <c r="AD339" i="2"/>
  <c r="AB327" i="2"/>
  <c r="AD327" i="2"/>
  <c r="AB315" i="2"/>
  <c r="AD315" i="2"/>
  <c r="AB303" i="2"/>
  <c r="AD303" i="2"/>
  <c r="AB291" i="2"/>
  <c r="AD291" i="2"/>
  <c r="AB279" i="2"/>
  <c r="AD279" i="2"/>
  <c r="AB267" i="2"/>
  <c r="AD267" i="2"/>
  <c r="AB255" i="2"/>
  <c r="AD255" i="2"/>
  <c r="AB243" i="2"/>
  <c r="AD243" i="2"/>
  <c r="AB231" i="2"/>
  <c r="AD231" i="2"/>
  <c r="AB219" i="2"/>
  <c r="AD219" i="2"/>
  <c r="AB207" i="2"/>
  <c r="AD207" i="2"/>
  <c r="AB195" i="2"/>
  <c r="AD195" i="2"/>
  <c r="AB183" i="2"/>
  <c r="AD183" i="2"/>
  <c r="AB171" i="2"/>
  <c r="AD171" i="2"/>
  <c r="AB159" i="2"/>
  <c r="AD159" i="2"/>
  <c r="AB147" i="2"/>
  <c r="AD147" i="2"/>
  <c r="AB135" i="2"/>
  <c r="AD135" i="2"/>
  <c r="AB123" i="2"/>
  <c r="AD123" i="2"/>
  <c r="AB111" i="2"/>
  <c r="AD111" i="2"/>
  <c r="AB99" i="2"/>
  <c r="AD99" i="2"/>
  <c r="AB87" i="2"/>
  <c r="AD87" i="2"/>
  <c r="AB75" i="2"/>
  <c r="AD75" i="2"/>
  <c r="AB63" i="2"/>
  <c r="AD63" i="2"/>
  <c r="AB51" i="2"/>
  <c r="AD51" i="2"/>
  <c r="AB39" i="2"/>
  <c r="AD39" i="2"/>
  <c r="AB27" i="2"/>
  <c r="AD27" i="2"/>
  <c r="AB15" i="2"/>
  <c r="AD15" i="2"/>
  <c r="AB3" i="2"/>
  <c r="AD3" i="2"/>
  <c r="AB494" i="2"/>
  <c r="AD494" i="2"/>
  <c r="AB482" i="2"/>
  <c r="AD482" i="2"/>
  <c r="AB470" i="2"/>
  <c r="AD470" i="2"/>
  <c r="AB458" i="2"/>
  <c r="AD458" i="2"/>
  <c r="AB446" i="2"/>
  <c r="AD446" i="2"/>
  <c r="AB434" i="2"/>
  <c r="AD434" i="2"/>
  <c r="AB422" i="2"/>
  <c r="AD422" i="2"/>
  <c r="AB410" i="2"/>
  <c r="AD410" i="2"/>
  <c r="AB398" i="2"/>
  <c r="AD398" i="2"/>
  <c r="AB386" i="2"/>
  <c r="AD386" i="2"/>
  <c r="AB374" i="2"/>
  <c r="AD374" i="2"/>
  <c r="AB362" i="2"/>
  <c r="AD362" i="2"/>
  <c r="AB350" i="2"/>
  <c r="AD350" i="2"/>
  <c r="AB338" i="2"/>
  <c r="AD338" i="2"/>
  <c r="AB326" i="2"/>
  <c r="AD326" i="2"/>
  <c r="AB314" i="2"/>
  <c r="AD314" i="2"/>
  <c r="AB302" i="2"/>
  <c r="AD302" i="2"/>
  <c r="AB290" i="2"/>
  <c r="AD290" i="2"/>
  <c r="AB278" i="2"/>
  <c r="AD278" i="2"/>
  <c r="AB266" i="2"/>
  <c r="AD266" i="2"/>
  <c r="AB254" i="2"/>
  <c r="AD254" i="2"/>
  <c r="AB242" i="2"/>
  <c r="AD242" i="2"/>
  <c r="AB230" i="2"/>
  <c r="AD230" i="2"/>
  <c r="AB218" i="2"/>
  <c r="AD218" i="2"/>
  <c r="AB206" i="2"/>
  <c r="AD206" i="2"/>
  <c r="AB194" i="2"/>
  <c r="AD194" i="2"/>
  <c r="AB182" i="2"/>
  <c r="AD182" i="2"/>
  <c r="AB170" i="2"/>
  <c r="AD170" i="2"/>
  <c r="AB158" i="2"/>
  <c r="AD158" i="2"/>
  <c r="AB146" i="2"/>
  <c r="AD146" i="2"/>
  <c r="AB134" i="2"/>
  <c r="AD134" i="2"/>
  <c r="AB122" i="2"/>
  <c r="AD122" i="2"/>
  <c r="AB110" i="2"/>
  <c r="AD110" i="2"/>
  <c r="AB98" i="2"/>
  <c r="AD98" i="2"/>
  <c r="AB86" i="2"/>
  <c r="AD86" i="2"/>
  <c r="AB74" i="2"/>
  <c r="AD74" i="2"/>
  <c r="AB62" i="2"/>
  <c r="AD62" i="2"/>
  <c r="AB50" i="2"/>
  <c r="AD50" i="2"/>
  <c r="AB38" i="2"/>
  <c r="AD38" i="2"/>
  <c r="AB26" i="2"/>
  <c r="AD26" i="2"/>
  <c r="AB14" i="2"/>
  <c r="AD14" i="2"/>
  <c r="AJ29" i="2"/>
  <c r="AJ28" i="2"/>
  <c r="AJ27" i="2"/>
  <c r="AJ26" i="2"/>
  <c r="AJ25" i="2"/>
  <c r="AJ24" i="2"/>
  <c r="AJ23" i="2"/>
  <c r="AJ22" i="2"/>
  <c r="AJ21" i="2"/>
  <c r="AJ20" i="2"/>
  <c r="AJ19" i="2"/>
  <c r="AJ18" i="2"/>
  <c r="AJ17" i="2"/>
  <c r="AJ16" i="2"/>
  <c r="AJ15" i="2"/>
  <c r="AJ14" i="2"/>
  <c r="AJ13" i="2"/>
  <c r="AJ12" i="2"/>
  <c r="AJ11" i="2"/>
  <c r="AJ10" i="2"/>
  <c r="AJ9" i="2"/>
  <c r="AJ8" i="2"/>
  <c r="AJ7" i="2"/>
  <c r="AJ6" i="2"/>
  <c r="AJ5" i="2"/>
  <c r="AJ4" i="2"/>
  <c r="AC98" i="2" l="1" a="1"/>
  <c r="AC98" i="2" s="1"/>
  <c r="AE98" i="2" a="1"/>
  <c r="AE98" i="2" s="1"/>
  <c r="AC242" i="2" a="1"/>
  <c r="AC242" i="2" s="1"/>
  <c r="AE242" i="2" a="1"/>
  <c r="AE242" i="2" s="1"/>
  <c r="AC386" i="2" a="1"/>
  <c r="AC386" i="2" s="1"/>
  <c r="AE386" i="2" a="1"/>
  <c r="AE386" i="2" s="1"/>
  <c r="AC27" i="2" a="1"/>
  <c r="AC27" i="2" s="1"/>
  <c r="AE27" i="2" a="1"/>
  <c r="AE27" i="2" s="1"/>
  <c r="AC171" i="2" a="1"/>
  <c r="AC171" i="2" s="1"/>
  <c r="AE171" i="2" a="1"/>
  <c r="AE171" i="2" s="1"/>
  <c r="AE315" i="2" a="1"/>
  <c r="AE315" i="2" s="1"/>
  <c r="AC315" i="2" a="1"/>
  <c r="AC315" i="2" s="1"/>
  <c r="AC459" i="2" a="1"/>
  <c r="AC459" i="2" s="1"/>
  <c r="AE459" i="2" a="1"/>
  <c r="AE459" i="2" s="1"/>
  <c r="AC100" i="2" a="1"/>
  <c r="AC100" i="2" s="1"/>
  <c r="AE100" i="2" a="1"/>
  <c r="AE100" i="2" s="1"/>
  <c r="AC244" i="2" a="1"/>
  <c r="AC244" i="2" s="1"/>
  <c r="AE244" i="2" a="1"/>
  <c r="AE244" i="2" s="1"/>
  <c r="AC388" i="2" a="1"/>
  <c r="AC388" i="2" s="1"/>
  <c r="AE388" i="2" a="1"/>
  <c r="AE388" i="2" s="1"/>
  <c r="AC460" i="2" a="1"/>
  <c r="AC460" i="2" s="1"/>
  <c r="AE460" i="2" a="1"/>
  <c r="AE460" i="2" s="1"/>
  <c r="AC101" i="2" a="1"/>
  <c r="AC101" i="2" s="1"/>
  <c r="AE101" i="2" a="1"/>
  <c r="AE101" i="2" s="1"/>
  <c r="AE245" i="2" a="1"/>
  <c r="AE245" i="2" s="1"/>
  <c r="AC245" i="2" a="1"/>
  <c r="AC245" i="2" s="1"/>
  <c r="AE389" i="2" a="1"/>
  <c r="AE389" i="2" s="1"/>
  <c r="AC389" i="2" a="1"/>
  <c r="AC389" i="2" s="1"/>
  <c r="AC30" i="2" a="1"/>
  <c r="AC30" i="2" s="1"/>
  <c r="AE30" i="2" a="1"/>
  <c r="AE30" i="2" s="1"/>
  <c r="AC174" i="2" a="1"/>
  <c r="AC174" i="2" s="1"/>
  <c r="AE174" i="2" a="1"/>
  <c r="AE174" i="2" s="1"/>
  <c r="AE318" i="2" a="1"/>
  <c r="AE318" i="2" s="1"/>
  <c r="AC318" i="2" a="1"/>
  <c r="AC318" i="2" s="1"/>
  <c r="AC462" i="2" a="1"/>
  <c r="AC462" i="2" s="1"/>
  <c r="AE462" i="2" a="1"/>
  <c r="AE462" i="2" s="1"/>
  <c r="AC103" i="2" a="1"/>
  <c r="AC103" i="2" s="1"/>
  <c r="AE103" i="2" a="1"/>
  <c r="AE103" i="2" s="1"/>
  <c r="AC247" i="2" a="1"/>
  <c r="AC247" i="2" s="1"/>
  <c r="AE247" i="2" a="1"/>
  <c r="AE247" i="2" s="1"/>
  <c r="AC391" i="2" a="1"/>
  <c r="AC391" i="2" s="1"/>
  <c r="AE391" i="2" a="1"/>
  <c r="AE391" i="2" s="1"/>
  <c r="AE32" i="2" a="1"/>
  <c r="AE32" i="2" s="1"/>
  <c r="AC32" i="2" a="1"/>
  <c r="AC32" i="2" s="1"/>
  <c r="AE104" i="2" a="1"/>
  <c r="AE104" i="2" s="1"/>
  <c r="AC104" i="2" a="1"/>
  <c r="AC104" i="2" s="1"/>
  <c r="AC248" i="2" a="1"/>
  <c r="AC248" i="2" s="1"/>
  <c r="AE248" i="2" a="1"/>
  <c r="AE248" i="2" s="1"/>
  <c r="AE392" i="2" a="1"/>
  <c r="AE392" i="2" s="1"/>
  <c r="AC392" i="2" a="1"/>
  <c r="AC392" i="2" s="1"/>
  <c r="AC33" i="2" a="1"/>
  <c r="AC33" i="2" s="1"/>
  <c r="AE33" i="2" a="1"/>
  <c r="AE33" i="2" s="1"/>
  <c r="AC105" i="2" a="1"/>
  <c r="AC105" i="2" s="1"/>
  <c r="AE105" i="2" a="1"/>
  <c r="AE105" i="2" s="1"/>
  <c r="AC249" i="2" a="1"/>
  <c r="AC249" i="2" s="1"/>
  <c r="AE249" i="2" a="1"/>
  <c r="AE249" i="2" s="1"/>
  <c r="AE321" i="2" a="1"/>
  <c r="AE321" i="2" s="1"/>
  <c r="AC321" i="2" a="1"/>
  <c r="AC321" i="2" s="1"/>
  <c r="AC465" i="2" a="1"/>
  <c r="AC465" i="2" s="1"/>
  <c r="AE465" i="2" a="1"/>
  <c r="AE465" i="2" s="1"/>
  <c r="AE34" i="2" a="1"/>
  <c r="AE34" i="2" s="1"/>
  <c r="AC34" i="2" a="1"/>
  <c r="AC34" i="2" s="1"/>
  <c r="AE178" i="2" a="1"/>
  <c r="AE178" i="2" s="1"/>
  <c r="AC178" i="2" a="1"/>
  <c r="AC178" i="2" s="1"/>
  <c r="AC250" i="2" a="1"/>
  <c r="AC250" i="2" s="1"/>
  <c r="AE250" i="2" a="1"/>
  <c r="AE250" i="2" s="1"/>
  <c r="AE394" i="2" a="1"/>
  <c r="AE394" i="2" s="1"/>
  <c r="AC394" i="2" a="1"/>
  <c r="AC394" i="2" s="1"/>
  <c r="AE47" i="2" a="1"/>
  <c r="AE47" i="2" s="1"/>
  <c r="AC47" i="2" a="1"/>
  <c r="AC47" i="2" s="1"/>
  <c r="AC191" i="2" a="1"/>
  <c r="AC191" i="2" s="1"/>
  <c r="AE191" i="2" a="1"/>
  <c r="AE191" i="2" s="1"/>
  <c r="AC263" i="2" a="1"/>
  <c r="AC263" i="2" s="1"/>
  <c r="AE263" i="2" a="1"/>
  <c r="AE263" i="2" s="1"/>
  <c r="AE407" i="2" a="1"/>
  <c r="AE407" i="2" s="1"/>
  <c r="AC407" i="2" a="1"/>
  <c r="AC407" i="2" s="1"/>
  <c r="AE60" i="2" a="1"/>
  <c r="AE60" i="2" s="1"/>
  <c r="AC60" i="2" a="1"/>
  <c r="AC60" i="2" s="1"/>
  <c r="AC204" i="2" a="1"/>
  <c r="AC204" i="2" s="1"/>
  <c r="AE204" i="2" a="1"/>
  <c r="AE204" i="2" s="1"/>
  <c r="AC276" i="2" a="1"/>
  <c r="AC276" i="2" s="1"/>
  <c r="AE276" i="2" a="1"/>
  <c r="AE276" i="2" s="1"/>
  <c r="AC420" i="2" a="1"/>
  <c r="AC420" i="2" s="1"/>
  <c r="AE420" i="2" a="1"/>
  <c r="AE420" i="2" s="1"/>
  <c r="AC73" i="2" a="1"/>
  <c r="AC73" i="2" s="1"/>
  <c r="AE73" i="2" a="1"/>
  <c r="AE73" i="2" s="1"/>
  <c r="AE145" i="2" a="1"/>
  <c r="AE145" i="2" s="1"/>
  <c r="AC145" i="2" a="1"/>
  <c r="AC145" i="2" s="1"/>
  <c r="AC217" i="2" a="1"/>
  <c r="AC217" i="2" s="1"/>
  <c r="AE217" i="2" a="1"/>
  <c r="AE217" i="2" s="1"/>
  <c r="AC289" i="2" a="1"/>
  <c r="AC289" i="2" s="1"/>
  <c r="AE289" i="2" a="1"/>
  <c r="AE289" i="2" s="1"/>
  <c r="AC433" i="2" a="1"/>
  <c r="AC433" i="2" s="1"/>
  <c r="AE433" i="2" a="1"/>
  <c r="AE433" i="2" s="1"/>
  <c r="AC38" i="2" a="1"/>
  <c r="AC38" i="2" s="1"/>
  <c r="AE38" i="2" a="1"/>
  <c r="AE38" i="2" s="1"/>
  <c r="AC182" i="2" a="1"/>
  <c r="AC182" i="2" s="1"/>
  <c r="AE182" i="2" a="1"/>
  <c r="AE182" i="2" s="1"/>
  <c r="AE326" i="2" a="1"/>
  <c r="AE326" i="2" s="1"/>
  <c r="AC326" i="2" a="1"/>
  <c r="AC326" i="2" s="1"/>
  <c r="AE470" i="2" a="1"/>
  <c r="AE470" i="2" s="1"/>
  <c r="AC470" i="2" a="1"/>
  <c r="AC470" i="2" s="1"/>
  <c r="AC111" i="2" a="1"/>
  <c r="AC111" i="2" s="1"/>
  <c r="AE111" i="2" a="1"/>
  <c r="AE111" i="2" s="1"/>
  <c r="AE255" i="2" a="1"/>
  <c r="AE255" i="2" s="1"/>
  <c r="AC255" i="2" a="1"/>
  <c r="AC255" i="2" s="1"/>
  <c r="AC327" i="2" a="1"/>
  <c r="AC327" i="2" s="1"/>
  <c r="AE327" i="2" a="1"/>
  <c r="AE327" i="2" s="1"/>
  <c r="AC471" i="2" a="1"/>
  <c r="AC471" i="2" s="1"/>
  <c r="AE471" i="2" a="1"/>
  <c r="AE471" i="2" s="1"/>
  <c r="AC112" i="2" a="1"/>
  <c r="AC112" i="2" s="1"/>
  <c r="AE112" i="2" a="1"/>
  <c r="AE112" i="2" s="1"/>
  <c r="AC256" i="2" a="1"/>
  <c r="AC256" i="2" s="1"/>
  <c r="AE256" i="2" a="1"/>
  <c r="AE256" i="2" s="1"/>
  <c r="AC400" i="2" a="1"/>
  <c r="AC400" i="2" s="1"/>
  <c r="AE400" i="2" a="1"/>
  <c r="AE400" i="2" s="1"/>
  <c r="AC41" i="2" a="1"/>
  <c r="AC41" i="2" s="1"/>
  <c r="AE41" i="2" a="1"/>
  <c r="AE41" i="2" s="1"/>
  <c r="AE185" i="2" a="1"/>
  <c r="AE185" i="2" s="1"/>
  <c r="AC185" i="2" a="1"/>
  <c r="AC185" i="2" s="1"/>
  <c r="AE257" i="2" a="1"/>
  <c r="AE257" i="2" s="1"/>
  <c r="AC257" i="2" a="1"/>
  <c r="AC257" i="2" s="1"/>
  <c r="AC401" i="2" a="1"/>
  <c r="AC401" i="2" s="1"/>
  <c r="AE401" i="2" a="1"/>
  <c r="AE401" i="2" s="1"/>
  <c r="AE42" i="2" a="1"/>
  <c r="AE42" i="2" s="1"/>
  <c r="AC42" i="2" a="1"/>
  <c r="AC42" i="2" s="1"/>
  <c r="AE186" i="2" a="1"/>
  <c r="AE186" i="2" s="1"/>
  <c r="AC186" i="2" a="1"/>
  <c r="AC186" i="2" s="1"/>
  <c r="AC258" i="2" a="1"/>
  <c r="AC258" i="2" s="1"/>
  <c r="AE258" i="2" a="1"/>
  <c r="AE258" i="2" s="1"/>
  <c r="AC402" i="2" a="1"/>
  <c r="AC402" i="2" s="1"/>
  <c r="AE402" i="2" a="1"/>
  <c r="AE402" i="2" s="1"/>
  <c r="AE43" i="2" a="1"/>
  <c r="AE43" i="2" s="1"/>
  <c r="AC43" i="2" a="1"/>
  <c r="AC43" i="2" s="1"/>
  <c r="AC115" i="2" a="1"/>
  <c r="AC115" i="2" s="1"/>
  <c r="AE115" i="2" a="1"/>
  <c r="AE115" i="2" s="1"/>
  <c r="AC259" i="2" a="1"/>
  <c r="AC259" i="2" s="1"/>
  <c r="AE259" i="2" a="1"/>
  <c r="AE259" i="2" s="1"/>
  <c r="AE403" i="2" a="1"/>
  <c r="AE403" i="2" s="1"/>
  <c r="AC403" i="2" a="1"/>
  <c r="AC403" i="2" s="1"/>
  <c r="AC44" i="2" a="1"/>
  <c r="AC44" i="2" s="1"/>
  <c r="AE44" i="2" a="1"/>
  <c r="AE44" i="2" s="1"/>
  <c r="AC188" i="2" a="1"/>
  <c r="AC188" i="2" s="1"/>
  <c r="AE188" i="2" a="1"/>
  <c r="AE188" i="2" s="1"/>
  <c r="AC332" i="2" a="1"/>
  <c r="AC332" i="2" s="1"/>
  <c r="AE332" i="2" a="1"/>
  <c r="AE332" i="2" s="1"/>
  <c r="AC476" i="2" a="1"/>
  <c r="AC476" i="2" s="1"/>
  <c r="AE476" i="2" a="1"/>
  <c r="AE476" i="2" s="1"/>
  <c r="AC117" i="2" a="1"/>
  <c r="AC117" i="2" s="1"/>
  <c r="AE117" i="2" a="1"/>
  <c r="AE117" i="2" s="1"/>
  <c r="AC189" i="2" a="1"/>
  <c r="AC189" i="2" s="1"/>
  <c r="AE189" i="2" a="1"/>
  <c r="AE189" i="2" s="1"/>
  <c r="AE333" i="2" a="1"/>
  <c r="AE333" i="2" s="1"/>
  <c r="AC333" i="2" a="1"/>
  <c r="AC333" i="2" s="1"/>
  <c r="AC477" i="2" a="1"/>
  <c r="AC477" i="2" s="1"/>
  <c r="AE477" i="2" a="1"/>
  <c r="AE477" i="2" s="1"/>
  <c r="AC118" i="2" a="1"/>
  <c r="AC118" i="2" s="1"/>
  <c r="AE118" i="2" a="1"/>
  <c r="AE118" i="2" s="1"/>
  <c r="AE262" i="2" a="1"/>
  <c r="AE262" i="2" s="1"/>
  <c r="AC262" i="2" a="1"/>
  <c r="AC262" i="2" s="1"/>
  <c r="AC334" i="2" a="1"/>
  <c r="AC334" i="2" s="1"/>
  <c r="AE334" i="2" a="1"/>
  <c r="AE334" i="2" s="1"/>
  <c r="AC478" i="2" a="1"/>
  <c r="AC478" i="2" s="1"/>
  <c r="AE478" i="2" a="1"/>
  <c r="AE478" i="2" s="1"/>
  <c r="AC131" i="2" a="1"/>
  <c r="AC131" i="2" s="1"/>
  <c r="AE131" i="2" a="1"/>
  <c r="AE131" i="2" s="1"/>
  <c r="AC275" i="2" a="1"/>
  <c r="AC275" i="2" s="1"/>
  <c r="AE275" i="2" a="1"/>
  <c r="AE275" i="2" s="1"/>
  <c r="AE419" i="2" a="1"/>
  <c r="AE419" i="2" s="1"/>
  <c r="AC419" i="2" a="1"/>
  <c r="AC419" i="2" s="1"/>
  <c r="AC72" i="2" a="1"/>
  <c r="AC72" i="2" s="1"/>
  <c r="AE72" i="2" a="1"/>
  <c r="AE72" i="2" s="1"/>
  <c r="AC144" i="2" a="1"/>
  <c r="AC144" i="2" s="1"/>
  <c r="AE144" i="2" a="1"/>
  <c r="AE144" i="2" s="1"/>
  <c r="AC288" i="2" a="1"/>
  <c r="AC288" i="2" s="1"/>
  <c r="AE288" i="2" a="1"/>
  <c r="AE288" i="2" s="1"/>
  <c r="AC360" i="2" a="1"/>
  <c r="AC360" i="2" s="1"/>
  <c r="AE360" i="2" a="1"/>
  <c r="AE360" i="2" s="1"/>
  <c r="AC13" i="2" a="1"/>
  <c r="AC13" i="2" s="1"/>
  <c r="AE13" i="2" a="1"/>
  <c r="AE13" i="2" s="1"/>
  <c r="AC85" i="2" a="1"/>
  <c r="AC85" i="2" s="1"/>
  <c r="AE85" i="2" a="1"/>
  <c r="AE85" i="2" s="1"/>
  <c r="AC157" i="2" a="1"/>
  <c r="AC157" i="2" s="1"/>
  <c r="AE157" i="2" a="1"/>
  <c r="AE157" i="2" s="1"/>
  <c r="AE229" i="2" a="1"/>
  <c r="AE229" i="2" s="1"/>
  <c r="AC229" i="2" a="1"/>
  <c r="AC229" i="2" s="1"/>
  <c r="AC301" i="2" a="1"/>
  <c r="AC301" i="2" s="1"/>
  <c r="AE301" i="2" a="1"/>
  <c r="AE301" i="2" s="1"/>
  <c r="AC445" i="2" a="1"/>
  <c r="AC445" i="2" s="1"/>
  <c r="AE445" i="2" a="1"/>
  <c r="AE445" i="2" s="1"/>
  <c r="AE50" i="2" a="1"/>
  <c r="AE50" i="2" s="1"/>
  <c r="AC50" i="2" a="1"/>
  <c r="AC50" i="2" s="1"/>
  <c r="AE122" i="2" a="1"/>
  <c r="AE122" i="2" s="1"/>
  <c r="AC122" i="2" a="1"/>
  <c r="AC122" i="2" s="1"/>
  <c r="AC266" i="2" a="1"/>
  <c r="AC266" i="2" s="1"/>
  <c r="AE266" i="2" a="1"/>
  <c r="AE266" i="2" s="1"/>
  <c r="AC410" i="2" a="1"/>
  <c r="AC410" i="2" s="1"/>
  <c r="AE410" i="2" a="1"/>
  <c r="AE410" i="2" s="1"/>
  <c r="AC51" i="2" a="1"/>
  <c r="AC51" i="2" s="1"/>
  <c r="AE51" i="2" a="1"/>
  <c r="AE51" i="2" s="1"/>
  <c r="AC195" i="2" a="1"/>
  <c r="AC195" i="2" s="1"/>
  <c r="AE195" i="2" a="1"/>
  <c r="AE195" i="2" s="1"/>
  <c r="AC339" i="2" a="1"/>
  <c r="AC339" i="2" s="1"/>
  <c r="AE339" i="2" a="1"/>
  <c r="AE339" i="2" s="1"/>
  <c r="AE411" i="2" a="1"/>
  <c r="AE411" i="2" s="1"/>
  <c r="AC411" i="2" a="1"/>
  <c r="AC411" i="2" s="1"/>
  <c r="AE52" i="2" a="1"/>
  <c r="AE52" i="2" s="1"/>
  <c r="AC52" i="2" a="1"/>
  <c r="AC52" i="2" s="1"/>
  <c r="AE124" i="2" a="1"/>
  <c r="AE124" i="2" s="1"/>
  <c r="AC124" i="2" a="1"/>
  <c r="AC124" i="2" s="1"/>
  <c r="AC268" i="2" a="1"/>
  <c r="AC268" i="2" s="1"/>
  <c r="AE268" i="2" a="1"/>
  <c r="AE268" i="2" s="1"/>
  <c r="AE412" i="2" a="1"/>
  <c r="AE412" i="2" s="1"/>
  <c r="AC412" i="2" a="1"/>
  <c r="AC412" i="2" s="1"/>
  <c r="AE53" i="2" a="1"/>
  <c r="AE53" i="2" s="1"/>
  <c r="AC53" i="2" a="1"/>
  <c r="AC53" i="2" s="1"/>
  <c r="AC197" i="2" a="1"/>
  <c r="AC197" i="2" s="1"/>
  <c r="AE197" i="2" a="1"/>
  <c r="AE197" i="2" s="1"/>
  <c r="AC341" i="2" a="1"/>
  <c r="AC341" i="2" s="1"/>
  <c r="AE341" i="2" a="1"/>
  <c r="AE341" i="2" s="1"/>
  <c r="AE485" i="2" a="1"/>
  <c r="AE485" i="2" s="1"/>
  <c r="AC485" i="2" a="1"/>
  <c r="AC485" i="2" s="1"/>
  <c r="AE126" i="2" a="1"/>
  <c r="AE126" i="2" s="1"/>
  <c r="AC126" i="2" a="1"/>
  <c r="AC126" i="2" s="1"/>
  <c r="AE270" i="2" a="1"/>
  <c r="AE270" i="2" s="1"/>
  <c r="AC270" i="2" a="1"/>
  <c r="AC270" i="2" s="1"/>
  <c r="AC414" i="2" a="1"/>
  <c r="AC414" i="2" s="1"/>
  <c r="AE414" i="2" a="1"/>
  <c r="AE414" i="2" s="1"/>
  <c r="AC486" i="2" a="1"/>
  <c r="AC486" i="2" s="1"/>
  <c r="AE486" i="2" a="1"/>
  <c r="AE486" i="2" s="1"/>
  <c r="AC127" i="2" a="1"/>
  <c r="AC127" i="2" s="1"/>
  <c r="AE127" i="2" a="1"/>
  <c r="AE127" i="2" s="1"/>
  <c r="AE271" i="2" a="1"/>
  <c r="AE271" i="2" s="1"/>
  <c r="AC271" i="2" a="1"/>
  <c r="AC271" i="2" s="1"/>
  <c r="AE415" i="2" a="1"/>
  <c r="AE415" i="2" s="1"/>
  <c r="AC415" i="2" a="1"/>
  <c r="AC415" i="2" s="1"/>
  <c r="AE487" i="2" a="1"/>
  <c r="AE487" i="2" s="1"/>
  <c r="AC487" i="2" a="1"/>
  <c r="AC487" i="2" s="1"/>
  <c r="AC128" i="2" a="1"/>
  <c r="AC128" i="2" s="1"/>
  <c r="AE128" i="2" a="1"/>
  <c r="AE128" i="2" s="1"/>
  <c r="AE200" i="2" a="1"/>
  <c r="AE200" i="2" s="1"/>
  <c r="AC200" i="2" a="1"/>
  <c r="AC200" i="2" s="1"/>
  <c r="AC344" i="2" a="1"/>
  <c r="AC344" i="2" s="1"/>
  <c r="AE344" i="2" a="1"/>
  <c r="AE344" i="2" s="1"/>
  <c r="AC416" i="2" a="1"/>
  <c r="AC416" i="2" s="1"/>
  <c r="AE416" i="2" a="1"/>
  <c r="AE416" i="2" s="1"/>
  <c r="AC57" i="2" a="1"/>
  <c r="AC57" i="2" s="1"/>
  <c r="AE57" i="2" a="1"/>
  <c r="AE57" i="2" s="1"/>
  <c r="AC129" i="2" a="1"/>
  <c r="AC129" i="2" s="1"/>
  <c r="AE129" i="2" a="1"/>
  <c r="AE129" i="2" s="1"/>
  <c r="AC273" i="2" a="1"/>
  <c r="AC273" i="2" s="1"/>
  <c r="AE273" i="2" a="1"/>
  <c r="AE273" i="2" s="1"/>
  <c r="AC345" i="2" a="1"/>
  <c r="AC345" i="2" s="1"/>
  <c r="AE345" i="2" a="1"/>
  <c r="AE345" i="2" s="1"/>
  <c r="AC489" i="2" a="1"/>
  <c r="AC489" i="2" s="1"/>
  <c r="AE489" i="2" a="1"/>
  <c r="AE489" i="2" s="1"/>
  <c r="AC58" i="2" a="1"/>
  <c r="AC58" i="2" s="1"/>
  <c r="AE58" i="2" a="1"/>
  <c r="AE58" i="2" s="1"/>
  <c r="AC202" i="2" a="1"/>
  <c r="AC202" i="2" s="1"/>
  <c r="AE202" i="2" a="1"/>
  <c r="AE202" i="2" s="1"/>
  <c r="AC274" i="2" a="1"/>
  <c r="AC274" i="2" s="1"/>
  <c r="AE274" i="2" a="1"/>
  <c r="AE274" i="2" s="1"/>
  <c r="AE418" i="2" a="1"/>
  <c r="AE418" i="2" s="1"/>
  <c r="AC418" i="2" a="1"/>
  <c r="AC418" i="2" s="1"/>
  <c r="AC71" i="2" a="1"/>
  <c r="AC71" i="2" s="1"/>
  <c r="AE71" i="2" a="1"/>
  <c r="AE71" i="2" s="1"/>
  <c r="AE215" i="2" a="1"/>
  <c r="AE215" i="2" s="1"/>
  <c r="AC215" i="2" a="1"/>
  <c r="AC215" i="2" s="1"/>
  <c r="AC359" i="2" a="1"/>
  <c r="AC359" i="2" s="1"/>
  <c r="AE359" i="2" a="1"/>
  <c r="AE359" i="2" s="1"/>
  <c r="AC431" i="2" a="1"/>
  <c r="AC431" i="2" s="1"/>
  <c r="AE431" i="2" a="1"/>
  <c r="AE431" i="2" s="1"/>
  <c r="AC84" i="2" a="1"/>
  <c r="AC84" i="2" s="1"/>
  <c r="AE84" i="2" a="1"/>
  <c r="AE84" i="2" s="1"/>
  <c r="AE156" i="2" a="1"/>
  <c r="AE156" i="2" s="1"/>
  <c r="AC156" i="2" a="1"/>
  <c r="AC156" i="2" s="1"/>
  <c r="AE300" i="2" a="1"/>
  <c r="AE300" i="2" s="1"/>
  <c r="AC300" i="2" a="1"/>
  <c r="AC300" i="2" s="1"/>
  <c r="AE372" i="2" a="1"/>
  <c r="AE372" i="2" s="1"/>
  <c r="AC372" i="2" a="1"/>
  <c r="AC372" i="2" s="1"/>
  <c r="AC25" i="2" a="1"/>
  <c r="AC25" i="2" s="1"/>
  <c r="AE25" i="2" a="1"/>
  <c r="AE25" i="2" s="1"/>
  <c r="AE97" i="2" a="1"/>
  <c r="AE97" i="2" s="1"/>
  <c r="AC97" i="2" a="1"/>
  <c r="AC97" i="2" s="1"/>
  <c r="AC169" i="2" a="1"/>
  <c r="AC169" i="2" s="1"/>
  <c r="AE169" i="2" a="1"/>
  <c r="AE169" i="2" s="1"/>
  <c r="AC241" i="2" a="1"/>
  <c r="AC241" i="2" s="1"/>
  <c r="AE241" i="2" a="1"/>
  <c r="AE241" i="2" s="1"/>
  <c r="AE313" i="2" a="1"/>
  <c r="AE313" i="2" s="1"/>
  <c r="AC313" i="2" a="1"/>
  <c r="AC313" i="2" s="1"/>
  <c r="AC457" i="2" a="1"/>
  <c r="AC457" i="2" s="1"/>
  <c r="AE457" i="2" a="1"/>
  <c r="AE457" i="2" s="1"/>
  <c r="AE62" i="2" a="1"/>
  <c r="AE62" i="2" s="1"/>
  <c r="AC62" i="2" a="1"/>
  <c r="AC62" i="2" s="1"/>
  <c r="AE134" i="2" a="1"/>
  <c r="AE134" i="2" s="1"/>
  <c r="AC134" i="2" a="1"/>
  <c r="AC134" i="2" s="1"/>
  <c r="AE278" i="2" a="1"/>
  <c r="AE278" i="2" s="1"/>
  <c r="AC278" i="2" a="1"/>
  <c r="AC278" i="2" s="1"/>
  <c r="AC422" i="2" a="1"/>
  <c r="AC422" i="2" s="1"/>
  <c r="AE422" i="2" a="1"/>
  <c r="AE422" i="2" s="1"/>
  <c r="AC63" i="2" a="1"/>
  <c r="AC63" i="2" s="1"/>
  <c r="AE63" i="2" a="1"/>
  <c r="AE63" i="2" s="1"/>
  <c r="AC207" i="2" a="1"/>
  <c r="AC207" i="2" s="1"/>
  <c r="AE207" i="2" a="1"/>
  <c r="AE207" i="2" s="1"/>
  <c r="AC351" i="2" a="1"/>
  <c r="AC351" i="2" s="1"/>
  <c r="AE351" i="2" a="1"/>
  <c r="AE351" i="2" s="1"/>
  <c r="AC423" i="2" a="1"/>
  <c r="AC423" i="2" s="1"/>
  <c r="AE423" i="2" a="1"/>
  <c r="AE423" i="2" s="1"/>
  <c r="AE64" i="2" a="1"/>
  <c r="AE64" i="2" s="1"/>
  <c r="AC64" i="2" a="1"/>
  <c r="AC64" i="2" s="1"/>
  <c r="AC208" i="2" a="1"/>
  <c r="AC208" i="2" s="1"/>
  <c r="AE208" i="2" a="1"/>
  <c r="AE208" i="2" s="1"/>
  <c r="AC280" i="2" a="1"/>
  <c r="AC280" i="2" s="1"/>
  <c r="AE280" i="2" a="1"/>
  <c r="AE280" i="2" s="1"/>
  <c r="AC352" i="2" a="1"/>
  <c r="AC352" i="2" s="1"/>
  <c r="AE352" i="2" a="1"/>
  <c r="AE352" i="2" s="1"/>
  <c r="AC496" i="2" a="1"/>
  <c r="AC496" i="2" s="1"/>
  <c r="AE496" i="2" a="1"/>
  <c r="AE496" i="2" s="1"/>
  <c r="AC65" i="2" a="1"/>
  <c r="AC65" i="2" s="1"/>
  <c r="AE65" i="2" a="1"/>
  <c r="AE65" i="2" s="1"/>
  <c r="AC209" i="2" a="1"/>
  <c r="AC209" i="2" s="1"/>
  <c r="AE209" i="2" a="1"/>
  <c r="AE209" i="2" s="1"/>
  <c r="AC281" i="2" a="1"/>
  <c r="AC281" i="2" s="1"/>
  <c r="AE281" i="2" a="1"/>
  <c r="AE281" i="2" s="1"/>
  <c r="AE425" i="2" a="1"/>
  <c r="AE425" i="2" s="1"/>
  <c r="AC425" i="2" a="1"/>
  <c r="AC425" i="2" s="1"/>
  <c r="AE497" i="2" a="1"/>
  <c r="AE497" i="2" s="1"/>
  <c r="AC497" i="2" a="1"/>
  <c r="AC497" i="2" s="1"/>
  <c r="AC66" i="2" a="1"/>
  <c r="AC66" i="2" s="1"/>
  <c r="AE66" i="2" a="1"/>
  <c r="AE66" i="2" s="1"/>
  <c r="AE210" i="2" a="1"/>
  <c r="AE210" i="2" s="1"/>
  <c r="AC210" i="2" a="1"/>
  <c r="AC210" i="2" s="1"/>
  <c r="AE282" i="2" a="1"/>
  <c r="AE282" i="2" s="1"/>
  <c r="AC282" i="2" a="1"/>
  <c r="AC282" i="2" s="1"/>
  <c r="AE426" i="2" a="1"/>
  <c r="AE426" i="2" s="1"/>
  <c r="AC426" i="2" a="1"/>
  <c r="AC426" i="2" s="1"/>
  <c r="AE498" i="2" a="1"/>
  <c r="AE498" i="2" s="1"/>
  <c r="AC498" i="2" a="1"/>
  <c r="AC498" i="2" s="1"/>
  <c r="AE139" i="2" a="1"/>
  <c r="AE139" i="2" s="1"/>
  <c r="AC139" i="2" a="1"/>
  <c r="AC139" i="2" s="1"/>
  <c r="AC211" i="2" a="1"/>
  <c r="AC211" i="2" s="1"/>
  <c r="AE211" i="2" a="1"/>
  <c r="AE211" i="2" s="1"/>
  <c r="AE355" i="2" a="1"/>
  <c r="AE355" i="2" s="1"/>
  <c r="AC355" i="2" a="1"/>
  <c r="AC355" i="2" s="1"/>
  <c r="AC499" i="2" a="1"/>
  <c r="AC499" i="2" s="1"/>
  <c r="AE499" i="2" a="1"/>
  <c r="AE499" i="2" s="1"/>
  <c r="AE68" i="2" a="1"/>
  <c r="AE68" i="2" s="1"/>
  <c r="AC68" i="2" a="1"/>
  <c r="AC68" i="2" s="1"/>
  <c r="AC212" i="2" a="1"/>
  <c r="AC212" i="2" s="1"/>
  <c r="AE212" i="2" a="1"/>
  <c r="AE212" i="2" s="1"/>
  <c r="AC284" i="2" a="1"/>
  <c r="AC284" i="2" s="1"/>
  <c r="AE284" i="2" a="1"/>
  <c r="AE284" i="2" s="1"/>
  <c r="AE428" i="2" a="1"/>
  <c r="AE428" i="2" s="1"/>
  <c r="AC428" i="2" a="1"/>
  <c r="AC428" i="2" s="1"/>
  <c r="AC69" i="2" a="1"/>
  <c r="AC69" i="2" s="1"/>
  <c r="AE69" i="2" a="1"/>
  <c r="AE69" i="2" s="1"/>
  <c r="AC141" i="2" a="1"/>
  <c r="AC141" i="2" s="1"/>
  <c r="AE141" i="2" a="1"/>
  <c r="AE141" i="2" s="1"/>
  <c r="AC285" i="2" a="1"/>
  <c r="AC285" i="2" s="1"/>
  <c r="AE285" i="2" a="1"/>
  <c r="AE285" i="2" s="1"/>
  <c r="AE357" i="2" a="1"/>
  <c r="AE357" i="2" s="1"/>
  <c r="AC357" i="2" a="1"/>
  <c r="AC357" i="2" s="1"/>
  <c r="AC501" i="2" a="1"/>
  <c r="AC501" i="2" s="1"/>
  <c r="AE501" i="2" a="1"/>
  <c r="AE501" i="2" s="1"/>
  <c r="AC70" i="2" a="1"/>
  <c r="AC70" i="2" s="1"/>
  <c r="AE70" i="2" a="1"/>
  <c r="AE70" i="2" s="1"/>
  <c r="AC214" i="2" a="1"/>
  <c r="AC214" i="2" s="1"/>
  <c r="AE214" i="2" a="1"/>
  <c r="AE214" i="2" s="1"/>
  <c r="AE286" i="2" a="1"/>
  <c r="AE286" i="2" s="1"/>
  <c r="AC286" i="2" a="1"/>
  <c r="AC286" i="2" s="1"/>
  <c r="AC430" i="2" a="1"/>
  <c r="AC430" i="2" s="1"/>
  <c r="AE430" i="2" a="1"/>
  <c r="AE430" i="2" s="1"/>
  <c r="AE11" i="2" a="1"/>
  <c r="AE11" i="2" s="1"/>
  <c r="AC11" i="2" a="1"/>
  <c r="AC11" i="2" s="1"/>
  <c r="AC155" i="2" a="1"/>
  <c r="AC155" i="2" s="1"/>
  <c r="AE155" i="2" a="1"/>
  <c r="AE155" i="2" s="1"/>
  <c r="AC371" i="2" a="1"/>
  <c r="AC371" i="2" s="1"/>
  <c r="AE371" i="2" a="1"/>
  <c r="AE371" i="2" s="1"/>
  <c r="AC397" i="2" a="1"/>
  <c r="AC397" i="2" s="1"/>
  <c r="AE397" i="2" a="1"/>
  <c r="AE397" i="2" s="1"/>
  <c r="AE74" i="2" a="1"/>
  <c r="AE74" i="2" s="1"/>
  <c r="AC74" i="2" a="1"/>
  <c r="AC74" i="2" s="1"/>
  <c r="AE218" i="2" a="1"/>
  <c r="AE218" i="2" s="1"/>
  <c r="AC218" i="2" a="1"/>
  <c r="AC218" i="2" s="1"/>
  <c r="AE290" i="2" a="1"/>
  <c r="AE290" i="2" s="1"/>
  <c r="AC290" i="2" a="1"/>
  <c r="AC290" i="2" s="1"/>
  <c r="AE434" i="2" a="1"/>
  <c r="AE434" i="2" s="1"/>
  <c r="AC434" i="2" a="1"/>
  <c r="AC434" i="2" s="1"/>
  <c r="AC75" i="2" a="1"/>
  <c r="AC75" i="2" s="1"/>
  <c r="AE75" i="2" a="1"/>
  <c r="AE75" i="2" s="1"/>
  <c r="AE219" i="2" a="1"/>
  <c r="AE219" i="2" s="1"/>
  <c r="AC219" i="2" a="1"/>
  <c r="AC219" i="2" s="1"/>
  <c r="AE363" i="2" a="1"/>
  <c r="AE363" i="2" s="1"/>
  <c r="AC363" i="2" a="1"/>
  <c r="AC363" i="2" s="1"/>
  <c r="AC4" i="2" a="1"/>
  <c r="AC4" i="2" s="1"/>
  <c r="AE4" i="2" a="1"/>
  <c r="AE4" i="2" s="1"/>
  <c r="AC148" i="2" a="1"/>
  <c r="AC148" i="2" s="1"/>
  <c r="AE148" i="2" a="1"/>
  <c r="AE148" i="2" s="1"/>
  <c r="AC220" i="2" a="1"/>
  <c r="AC220" i="2" s="1"/>
  <c r="AE220" i="2" a="1"/>
  <c r="AE220" i="2" s="1"/>
  <c r="AE364" i="2" a="1"/>
  <c r="AE364" i="2" s="1"/>
  <c r="AC364" i="2" a="1"/>
  <c r="AC364" i="2" s="1"/>
  <c r="AE5" i="2" a="1"/>
  <c r="AE5" i="2" s="1"/>
  <c r="AC5" i="2" a="1"/>
  <c r="AC5" i="2" s="1"/>
  <c r="AE149" i="2" a="1"/>
  <c r="AE149" i="2" s="1"/>
  <c r="AC149" i="2" a="1"/>
  <c r="AC149" i="2" s="1"/>
  <c r="AC293" i="2" a="1"/>
  <c r="AC293" i="2" s="1"/>
  <c r="AE293" i="2" a="1"/>
  <c r="AE293" i="2" s="1"/>
  <c r="AC437" i="2" a="1"/>
  <c r="AC437" i="2" s="1"/>
  <c r="AE437" i="2" a="1"/>
  <c r="AE437" i="2" s="1"/>
  <c r="AC6" i="2" a="1"/>
  <c r="AC6" i="2" s="1"/>
  <c r="AE6" i="2" a="1"/>
  <c r="AE6" i="2" s="1"/>
  <c r="AE150" i="2" a="1"/>
  <c r="AE150" i="2" s="1"/>
  <c r="AC150" i="2" a="1"/>
  <c r="AC150" i="2" s="1"/>
  <c r="AC222" i="2" a="1"/>
  <c r="AC222" i="2" s="1"/>
  <c r="AE222" i="2" a="1"/>
  <c r="AE222" i="2" s="1"/>
  <c r="AC366" i="2" a="1"/>
  <c r="AC366" i="2" s="1"/>
  <c r="AE366" i="2" a="1"/>
  <c r="AE366" i="2" s="1"/>
  <c r="AC7" i="2" a="1"/>
  <c r="AC7" i="2" s="1"/>
  <c r="AE7" i="2" a="1"/>
  <c r="AE7" i="2" s="1"/>
  <c r="AE79" i="2" a="1"/>
  <c r="AE79" i="2" s="1"/>
  <c r="AC79" i="2" a="1"/>
  <c r="AC79" i="2" s="1"/>
  <c r="AC223" i="2" a="1"/>
  <c r="AC223" i="2" s="1"/>
  <c r="AE223" i="2" a="1"/>
  <c r="AE223" i="2" s="1"/>
  <c r="AC367" i="2" a="1"/>
  <c r="AC367" i="2" s="1"/>
  <c r="AE367" i="2" a="1"/>
  <c r="AE367" i="2" s="1"/>
  <c r="AE8" i="2" a="1"/>
  <c r="AE8" i="2" s="1"/>
  <c r="AC8" i="2" a="1"/>
  <c r="AC8" i="2" s="1"/>
  <c r="AE80" i="2" a="1"/>
  <c r="AE80" i="2" s="1"/>
  <c r="AC80" i="2" a="1"/>
  <c r="AC80" i="2" s="1"/>
  <c r="AC224" i="2" a="1"/>
  <c r="AC224" i="2" s="1"/>
  <c r="AE224" i="2" a="1"/>
  <c r="AE224" i="2" s="1"/>
  <c r="AC368" i="2" a="1"/>
  <c r="AC368" i="2" s="1"/>
  <c r="AE368" i="2" a="1"/>
  <c r="AE368" i="2" s="1"/>
  <c r="AC440" i="2" a="1"/>
  <c r="AC440" i="2" s="1"/>
  <c r="AE440" i="2" a="1"/>
  <c r="AE440" i="2" s="1"/>
  <c r="AC81" i="2" a="1"/>
  <c r="AC81" i="2" s="1"/>
  <c r="AE81" i="2" a="1"/>
  <c r="AE81" i="2" s="1"/>
  <c r="AC153" i="2" a="1"/>
  <c r="AC153" i="2" s="1"/>
  <c r="AE153" i="2" a="1"/>
  <c r="AE153" i="2" s="1"/>
  <c r="AE297" i="2" a="1"/>
  <c r="AE297" i="2" s="1"/>
  <c r="AC297" i="2" a="1"/>
  <c r="AC297" i="2" s="1"/>
  <c r="AE441" i="2" a="1"/>
  <c r="AE441" i="2" s="1"/>
  <c r="AC441" i="2" a="1"/>
  <c r="AC441" i="2" s="1"/>
  <c r="AE10" i="2" a="1"/>
  <c r="AE10" i="2" s="1"/>
  <c r="AC10" i="2" a="1"/>
  <c r="AC10" i="2" s="1"/>
  <c r="AC154" i="2" a="1"/>
  <c r="AC154" i="2" s="1"/>
  <c r="AE154" i="2" a="1"/>
  <c r="AE154" i="2" s="1"/>
  <c r="AE226" i="2" a="1"/>
  <c r="AE226" i="2" s="1"/>
  <c r="AC226" i="2" a="1"/>
  <c r="AC226" i="2" s="1"/>
  <c r="AC370" i="2" a="1"/>
  <c r="AC370" i="2" s="1"/>
  <c r="AE370" i="2" a="1"/>
  <c r="AE370" i="2" s="1"/>
  <c r="AC442" i="2" a="1"/>
  <c r="AC442" i="2" s="1"/>
  <c r="AE442" i="2" a="1"/>
  <c r="AE442" i="2" s="1"/>
  <c r="AE95" i="2" a="1"/>
  <c r="AE95" i="2" s="1"/>
  <c r="AC95" i="2" a="1"/>
  <c r="AC95" i="2" s="1"/>
  <c r="AE167" i="2" a="1"/>
  <c r="AE167" i="2" s="1"/>
  <c r="AC167" i="2" a="1"/>
  <c r="AC167" i="2" s="1"/>
  <c r="AC311" i="2" a="1"/>
  <c r="AC311" i="2" s="1"/>
  <c r="AE311" i="2" a="1"/>
  <c r="AE311" i="2" s="1"/>
  <c r="AC455" i="2" a="1"/>
  <c r="AC455" i="2" s="1"/>
  <c r="AE455" i="2" a="1"/>
  <c r="AE455" i="2" s="1"/>
  <c r="AE108" i="2" a="1"/>
  <c r="AE108" i="2" s="1"/>
  <c r="AC108" i="2" a="1"/>
  <c r="AC108" i="2" s="1"/>
  <c r="AC324" i="2" a="1"/>
  <c r="AC324" i="2" s="1"/>
  <c r="AE324" i="2" a="1"/>
  <c r="AE324" i="2" s="1"/>
  <c r="AC409" i="2" a="1"/>
  <c r="AC409" i="2" s="1"/>
  <c r="AE409" i="2" a="1"/>
  <c r="AE409" i="2" s="1"/>
  <c r="AN18" i="2"/>
  <c r="AE26" i="2" a="1"/>
  <c r="AE26" i="2" s="1"/>
  <c r="AC26" i="2" a="1"/>
  <c r="AC26" i="2" s="1"/>
  <c r="AC170" i="2" a="1"/>
  <c r="AC170" i="2" s="1"/>
  <c r="AE170" i="2" a="1"/>
  <c r="AE170" i="2" s="1"/>
  <c r="AE314" i="2" a="1"/>
  <c r="AE314" i="2" s="1"/>
  <c r="AC314" i="2" a="1"/>
  <c r="AC314" i="2" s="1"/>
  <c r="AE458" i="2" a="1"/>
  <c r="AE458" i="2" s="1"/>
  <c r="AC458" i="2" a="1"/>
  <c r="AC458" i="2" s="1"/>
  <c r="AC99" i="2" a="1"/>
  <c r="AC99" i="2" s="1"/>
  <c r="AE99" i="2" a="1"/>
  <c r="AE99" i="2" s="1"/>
  <c r="AC243" i="2" a="1"/>
  <c r="AC243" i="2" s="1"/>
  <c r="AE243" i="2" a="1"/>
  <c r="AE243" i="2" s="1"/>
  <c r="AC387" i="2" a="1"/>
  <c r="AC387" i="2" s="1"/>
  <c r="AE387" i="2" a="1"/>
  <c r="AE387" i="2" s="1"/>
  <c r="AC28" i="2" a="1"/>
  <c r="AC28" i="2" s="1"/>
  <c r="AE28" i="2" a="1"/>
  <c r="AE28" i="2" s="1"/>
  <c r="AE172" i="2" a="1"/>
  <c r="AE172" i="2" s="1"/>
  <c r="AC172" i="2" a="1"/>
  <c r="AC172" i="2" s="1"/>
  <c r="AC316" i="2" a="1"/>
  <c r="AC316" i="2" s="1"/>
  <c r="AE316" i="2" a="1"/>
  <c r="AE316" i="2" s="1"/>
  <c r="AC29" i="2" a="1"/>
  <c r="AC29" i="2" s="1"/>
  <c r="AE29" i="2" a="1"/>
  <c r="AE29" i="2" s="1"/>
  <c r="AC173" i="2" a="1"/>
  <c r="AC173" i="2" s="1"/>
  <c r="AE173" i="2" a="1"/>
  <c r="AE173" i="2" s="1"/>
  <c r="AC317" i="2" a="1"/>
  <c r="AC317" i="2" s="1"/>
  <c r="AE317" i="2" a="1"/>
  <c r="AE317" i="2" s="1"/>
  <c r="AE461" i="2" a="1"/>
  <c r="AE461" i="2" s="1"/>
  <c r="AC461" i="2" a="1"/>
  <c r="AC461" i="2" s="1"/>
  <c r="AC102" i="2" a="1"/>
  <c r="AC102" i="2" s="1"/>
  <c r="AE102" i="2" a="1"/>
  <c r="AE102" i="2" s="1"/>
  <c r="AE246" i="2" a="1"/>
  <c r="AE246" i="2" s="1"/>
  <c r="AC246" i="2" a="1"/>
  <c r="AC246" i="2" s="1"/>
  <c r="AE390" i="2" a="1"/>
  <c r="AE390" i="2" s="1"/>
  <c r="AC390" i="2" a="1"/>
  <c r="AC390" i="2" s="1"/>
  <c r="AC31" i="2" a="1"/>
  <c r="AC31" i="2" s="1"/>
  <c r="AE31" i="2" a="1"/>
  <c r="AE31" i="2" s="1"/>
  <c r="AC175" i="2" a="1"/>
  <c r="AC175" i="2" s="1"/>
  <c r="AE175" i="2" a="1"/>
  <c r="AE175" i="2" s="1"/>
  <c r="AC319" i="2" a="1"/>
  <c r="AC319" i="2" s="1"/>
  <c r="AE319" i="2" a="1"/>
  <c r="AE319" i="2" s="1"/>
  <c r="AC463" i="2" a="1"/>
  <c r="AC463" i="2" s="1"/>
  <c r="AE463" i="2" a="1"/>
  <c r="AE463" i="2" s="1"/>
  <c r="AE176" i="2" a="1"/>
  <c r="AE176" i="2" s="1"/>
  <c r="AC176" i="2" a="1"/>
  <c r="AC176" i="2" s="1"/>
  <c r="AC320" i="2" a="1"/>
  <c r="AC320" i="2" s="1"/>
  <c r="AE320" i="2" a="1"/>
  <c r="AE320" i="2" s="1"/>
  <c r="AC464" i="2" a="1"/>
  <c r="AC464" i="2" s="1"/>
  <c r="AE464" i="2" a="1"/>
  <c r="AE464" i="2" s="1"/>
  <c r="AE177" i="2" a="1"/>
  <c r="AE177" i="2" s="1"/>
  <c r="AC177" i="2" a="1"/>
  <c r="AC177" i="2" s="1"/>
  <c r="AC393" i="2" a="1"/>
  <c r="AC393" i="2" s="1"/>
  <c r="AE393" i="2" a="1"/>
  <c r="AE393" i="2" s="1"/>
  <c r="AC106" i="2" a="1"/>
  <c r="AC106" i="2" s="1"/>
  <c r="AE106" i="2" a="1"/>
  <c r="AE106" i="2" s="1"/>
  <c r="AC322" i="2" a="1"/>
  <c r="AC322" i="2" s="1"/>
  <c r="AE322" i="2" a="1"/>
  <c r="AE322" i="2" s="1"/>
  <c r="AC466" i="2" a="1"/>
  <c r="AC466" i="2" s="1"/>
  <c r="AE466" i="2" a="1"/>
  <c r="AE466" i="2" s="1"/>
  <c r="AE119" i="2" a="1"/>
  <c r="AE119" i="2" s="1"/>
  <c r="AC119" i="2" a="1"/>
  <c r="AC119" i="2" s="1"/>
  <c r="AC335" i="2" a="1"/>
  <c r="AC335" i="2" s="1"/>
  <c r="AE335" i="2" a="1"/>
  <c r="AE335" i="2" s="1"/>
  <c r="AE479" i="2" a="1"/>
  <c r="AE479" i="2" s="1"/>
  <c r="AC479" i="2" a="1"/>
  <c r="AC479" i="2" s="1"/>
  <c r="AC132" i="2" a="1"/>
  <c r="AC132" i="2" s="1"/>
  <c r="AE132" i="2" a="1"/>
  <c r="AE132" i="2" s="1"/>
  <c r="AE348" i="2" a="1"/>
  <c r="AE348" i="2" s="1"/>
  <c r="AC348" i="2" a="1"/>
  <c r="AC348" i="2" s="1"/>
  <c r="AC492" i="2" a="1"/>
  <c r="AC492" i="2" s="1"/>
  <c r="AE492" i="2" a="1"/>
  <c r="AE492" i="2" s="1"/>
  <c r="AE361" i="2" a="1"/>
  <c r="AE361" i="2" s="1"/>
  <c r="AC361" i="2" a="1"/>
  <c r="AC361" i="2" s="1"/>
  <c r="AE110" i="2" a="1"/>
  <c r="AE110" i="2" s="1"/>
  <c r="AC110" i="2" a="1"/>
  <c r="AC110" i="2" s="1"/>
  <c r="AE254" i="2" a="1"/>
  <c r="AE254" i="2" s="1"/>
  <c r="AC254" i="2" a="1"/>
  <c r="AC254" i="2" s="1"/>
  <c r="AC398" i="2" a="1"/>
  <c r="AC398" i="2" s="1"/>
  <c r="AE398" i="2" a="1"/>
  <c r="AE398" i="2" s="1"/>
  <c r="AC39" i="2" a="1"/>
  <c r="AC39" i="2" s="1"/>
  <c r="AE39" i="2" a="1"/>
  <c r="AE39" i="2" s="1"/>
  <c r="AC183" i="2" a="1"/>
  <c r="AC183" i="2" s="1"/>
  <c r="AE183" i="2" a="1"/>
  <c r="AE183" i="2" s="1"/>
  <c r="AC399" i="2" a="1"/>
  <c r="AC399" i="2" s="1"/>
  <c r="AE399" i="2" a="1"/>
  <c r="AE399" i="2" s="1"/>
  <c r="AC40" i="2" a="1"/>
  <c r="AC40" i="2" s="1"/>
  <c r="AE40" i="2" a="1"/>
  <c r="AE40" i="2" s="1"/>
  <c r="AC184" i="2" a="1"/>
  <c r="AC184" i="2" s="1"/>
  <c r="AE184" i="2" a="1"/>
  <c r="AE184" i="2" s="1"/>
  <c r="AC328" i="2" a="1"/>
  <c r="AC328" i="2" s="1"/>
  <c r="AE328" i="2" a="1"/>
  <c r="AE328" i="2" s="1"/>
  <c r="AC472" i="2" a="1"/>
  <c r="AC472" i="2" s="1"/>
  <c r="AE472" i="2" a="1"/>
  <c r="AE472" i="2" s="1"/>
  <c r="AC113" i="2" a="1"/>
  <c r="AC113" i="2" s="1"/>
  <c r="AE113" i="2" a="1"/>
  <c r="AE113" i="2" s="1"/>
  <c r="AC329" i="2" a="1"/>
  <c r="AC329" i="2" s="1"/>
  <c r="AE329" i="2" a="1"/>
  <c r="AE329" i="2" s="1"/>
  <c r="AC473" i="2" a="1"/>
  <c r="AC473" i="2" s="1"/>
  <c r="AE473" i="2" a="1"/>
  <c r="AE473" i="2" s="1"/>
  <c r="AE114" i="2" a="1"/>
  <c r="AE114" i="2" s="1"/>
  <c r="AC114" i="2" a="1"/>
  <c r="AC114" i="2" s="1"/>
  <c r="AE330" i="2" a="1"/>
  <c r="AE330" i="2" s="1"/>
  <c r="AC330" i="2" a="1"/>
  <c r="AC330" i="2" s="1"/>
  <c r="AC474" i="2" a="1"/>
  <c r="AC474" i="2" s="1"/>
  <c r="AE474" i="2" a="1"/>
  <c r="AE474" i="2" s="1"/>
  <c r="AC187" i="2" a="1"/>
  <c r="AC187" i="2" s="1"/>
  <c r="AE187" i="2" a="1"/>
  <c r="AE187" i="2" s="1"/>
  <c r="AC331" i="2" a="1"/>
  <c r="AC331" i="2" s="1"/>
  <c r="AE331" i="2" a="1"/>
  <c r="AE331" i="2" s="1"/>
  <c r="AE475" i="2" a="1"/>
  <c r="AE475" i="2" s="1"/>
  <c r="AC475" i="2" a="1"/>
  <c r="AC475" i="2" s="1"/>
  <c r="AE116" i="2" a="1"/>
  <c r="AE116" i="2" s="1"/>
  <c r="AC116" i="2" a="1"/>
  <c r="AC116" i="2" s="1"/>
  <c r="AC260" i="2" a="1"/>
  <c r="AC260" i="2" s="1"/>
  <c r="AE260" i="2" a="1"/>
  <c r="AE260" i="2" s="1"/>
  <c r="AC404" i="2" a="1"/>
  <c r="AC404" i="2" s="1"/>
  <c r="AE404" i="2" a="1"/>
  <c r="AE404" i="2" s="1"/>
  <c r="AC45" i="2" a="1"/>
  <c r="AC45" i="2" s="1"/>
  <c r="AE45" i="2" a="1"/>
  <c r="AE45" i="2" s="1"/>
  <c r="AC261" i="2" a="1"/>
  <c r="AC261" i="2" s="1"/>
  <c r="AE261" i="2" a="1"/>
  <c r="AE261" i="2" s="1"/>
  <c r="AC405" i="2" a="1"/>
  <c r="AC405" i="2" s="1"/>
  <c r="AE405" i="2" a="1"/>
  <c r="AE405" i="2" s="1"/>
  <c r="AC46" i="2" a="1"/>
  <c r="AC46" i="2" s="1"/>
  <c r="AE46" i="2" a="1"/>
  <c r="AE46" i="2" s="1"/>
  <c r="AC190" i="2" a="1"/>
  <c r="AC190" i="2" s="1"/>
  <c r="AE190" i="2" a="1"/>
  <c r="AE190" i="2" s="1"/>
  <c r="AC406" i="2" a="1"/>
  <c r="AC406" i="2" s="1"/>
  <c r="AE406" i="2" a="1"/>
  <c r="AE406" i="2" s="1"/>
  <c r="AE59" i="2" a="1"/>
  <c r="AE59" i="2" s="1"/>
  <c r="AC59" i="2" a="1"/>
  <c r="AC59" i="2" s="1"/>
  <c r="AC203" i="2" a="1"/>
  <c r="AC203" i="2" s="1"/>
  <c r="AE203" i="2" a="1"/>
  <c r="AE203" i="2" s="1"/>
  <c r="AC347" i="2" a="1"/>
  <c r="AC347" i="2" s="1"/>
  <c r="AE347" i="2" a="1"/>
  <c r="AE347" i="2" s="1"/>
  <c r="AC491" i="2" a="1"/>
  <c r="AC491" i="2" s="1"/>
  <c r="AE491" i="2" a="1"/>
  <c r="AE491" i="2" s="1"/>
  <c r="AE216" i="2" a="1"/>
  <c r="AE216" i="2" s="1"/>
  <c r="AC216" i="2" a="1"/>
  <c r="AC216" i="2" s="1"/>
  <c r="AC432" i="2" a="1"/>
  <c r="AC432" i="2" s="1"/>
  <c r="AE432" i="2" a="1"/>
  <c r="AE432" i="2" s="1"/>
  <c r="AE373" i="2" a="1"/>
  <c r="AE373" i="2" s="1"/>
  <c r="AC373" i="2" a="1"/>
  <c r="AC373" i="2" s="1"/>
  <c r="AE194" i="2" a="1"/>
  <c r="AE194" i="2" s="1"/>
  <c r="AC194" i="2" a="1"/>
  <c r="AC194" i="2" s="1"/>
  <c r="AC338" i="2" a="1"/>
  <c r="AC338" i="2" s="1"/>
  <c r="AE338" i="2" a="1"/>
  <c r="AE338" i="2" s="1"/>
  <c r="AC482" i="2" a="1"/>
  <c r="AC482" i="2" s="1"/>
  <c r="AE482" i="2" a="1"/>
  <c r="AE482" i="2" s="1"/>
  <c r="AC123" i="2" a="1"/>
  <c r="AC123" i="2" s="1"/>
  <c r="AE123" i="2" a="1"/>
  <c r="AE123" i="2" s="1"/>
  <c r="AC267" i="2" a="1"/>
  <c r="AC267" i="2" s="1"/>
  <c r="AE267" i="2" a="1"/>
  <c r="AE267" i="2" s="1"/>
  <c r="AC483" i="2" a="1"/>
  <c r="AC483" i="2" s="1"/>
  <c r="AE483" i="2" a="1"/>
  <c r="AE483" i="2" s="1"/>
  <c r="AE196" i="2" a="1"/>
  <c r="AE196" i="2" s="1"/>
  <c r="AC196" i="2" a="1"/>
  <c r="AC196" i="2" s="1"/>
  <c r="AE340" i="2" a="1"/>
  <c r="AE340" i="2" s="1"/>
  <c r="AC340" i="2" a="1"/>
  <c r="AC340" i="2" s="1"/>
  <c r="AC484" i="2" a="1"/>
  <c r="AC484" i="2" s="1"/>
  <c r="AE484" i="2" a="1"/>
  <c r="AE484" i="2" s="1"/>
  <c r="AE125" i="2" a="1"/>
  <c r="AE125" i="2" s="1"/>
  <c r="AC125" i="2" a="1"/>
  <c r="AC125" i="2" s="1"/>
  <c r="AC269" i="2" a="1"/>
  <c r="AC269" i="2" s="1"/>
  <c r="AE269" i="2" a="1"/>
  <c r="AE269" i="2" s="1"/>
  <c r="AC413" i="2" a="1"/>
  <c r="AC413" i="2" s="1"/>
  <c r="AE413" i="2" a="1"/>
  <c r="AE413" i="2" s="1"/>
  <c r="AC54" i="2" a="1"/>
  <c r="AC54" i="2" s="1"/>
  <c r="AE54" i="2" a="1"/>
  <c r="AE54" i="2" s="1"/>
  <c r="AC198" i="2" a="1"/>
  <c r="AC198" i="2" s="1"/>
  <c r="AE198" i="2" a="1"/>
  <c r="AE198" i="2" s="1"/>
  <c r="AE342" i="2" a="1"/>
  <c r="AE342" i="2" s="1"/>
  <c r="AC342" i="2" a="1"/>
  <c r="AC342" i="2" s="1"/>
  <c r="AC55" i="2" a="1"/>
  <c r="AC55" i="2" s="1"/>
  <c r="AE55" i="2" a="1"/>
  <c r="AE55" i="2" s="1"/>
  <c r="AE199" i="2" a="1"/>
  <c r="AE199" i="2" s="1"/>
  <c r="AC199" i="2" a="1"/>
  <c r="AC199" i="2" s="1"/>
  <c r="AE343" i="2" a="1"/>
  <c r="AE343" i="2" s="1"/>
  <c r="AC343" i="2" a="1"/>
  <c r="AC343" i="2" s="1"/>
  <c r="AC56" i="2" a="1"/>
  <c r="AC56" i="2" s="1"/>
  <c r="AE56" i="2" a="1"/>
  <c r="AE56" i="2" s="1"/>
  <c r="AC272" i="2" a="1"/>
  <c r="AC272" i="2" s="1"/>
  <c r="AE272" i="2" a="1"/>
  <c r="AE272" i="2" s="1"/>
  <c r="AC488" i="2" a="1"/>
  <c r="AC488" i="2" s="1"/>
  <c r="AE488" i="2" a="1"/>
  <c r="AE488" i="2" s="1"/>
  <c r="AC201" i="2" a="1"/>
  <c r="AC201" i="2" s="1"/>
  <c r="AE201" i="2" a="1"/>
  <c r="AE201" i="2" s="1"/>
  <c r="AC417" i="2" a="1"/>
  <c r="AC417" i="2" s="1"/>
  <c r="AE417" i="2" a="1"/>
  <c r="AE417" i="2" s="1"/>
  <c r="AC130" i="2" a="1"/>
  <c r="AC130" i="2" s="1"/>
  <c r="AE130" i="2" a="1"/>
  <c r="AE130" i="2" s="1"/>
  <c r="AC346" i="2" a="1"/>
  <c r="AC346" i="2" s="1"/>
  <c r="AE346" i="2" a="1"/>
  <c r="AE346" i="2" s="1"/>
  <c r="AE490" i="2" a="1"/>
  <c r="AE490" i="2" s="1"/>
  <c r="AC490" i="2" a="1"/>
  <c r="AC490" i="2" s="1"/>
  <c r="AE143" i="2" a="1"/>
  <c r="AE143" i="2" s="1"/>
  <c r="AC143" i="2" a="1"/>
  <c r="AC143" i="2" s="1"/>
  <c r="AC287" i="2" a="1"/>
  <c r="AC287" i="2" s="1"/>
  <c r="AE287" i="2" a="1"/>
  <c r="AE287" i="2" s="1"/>
  <c r="AC12" i="2" a="1"/>
  <c r="AC12" i="2" s="1"/>
  <c r="AE12" i="2" a="1"/>
  <c r="AE12" i="2" s="1"/>
  <c r="AC228" i="2" a="1"/>
  <c r="AC228" i="2" s="1"/>
  <c r="AE228" i="2" a="1"/>
  <c r="AE228" i="2" s="1"/>
  <c r="AC444" i="2" a="1"/>
  <c r="AC444" i="2" s="1"/>
  <c r="AE444" i="2" a="1"/>
  <c r="AE444" i="2" s="1"/>
  <c r="AC385" i="2" a="1"/>
  <c r="AC385" i="2" s="1"/>
  <c r="AE385" i="2" a="1"/>
  <c r="AE385" i="2" s="1"/>
  <c r="AE206" i="2" a="1"/>
  <c r="AE206" i="2" s="1"/>
  <c r="AC206" i="2" a="1"/>
  <c r="AC206" i="2" s="1"/>
  <c r="AC350" i="2" a="1"/>
  <c r="AC350" i="2" s="1"/>
  <c r="AE350" i="2" a="1"/>
  <c r="AE350" i="2" s="1"/>
  <c r="AC494" i="2" a="1"/>
  <c r="AC494" i="2" s="1"/>
  <c r="AE494" i="2" a="1"/>
  <c r="AE494" i="2" s="1"/>
  <c r="AC135" i="2" a="1"/>
  <c r="AC135" i="2" s="1"/>
  <c r="AE135" i="2" a="1"/>
  <c r="AE135" i="2" s="1"/>
  <c r="AE279" i="2" a="1"/>
  <c r="AE279" i="2" s="1"/>
  <c r="AC279" i="2" a="1"/>
  <c r="AC279" i="2" s="1"/>
  <c r="AC495" i="2" a="1"/>
  <c r="AC495" i="2" s="1"/>
  <c r="AE495" i="2" a="1"/>
  <c r="AE495" i="2" s="1"/>
  <c r="AE136" i="2" a="1"/>
  <c r="AE136" i="2" s="1"/>
  <c r="AC136" i="2" a="1"/>
  <c r="AC136" i="2" s="1"/>
  <c r="AC424" i="2" a="1"/>
  <c r="AC424" i="2" s="1"/>
  <c r="AE424" i="2" a="1"/>
  <c r="AE424" i="2" s="1"/>
  <c r="AE137" i="2" a="1"/>
  <c r="AE137" i="2" s="1"/>
  <c r="AC137" i="2" a="1"/>
  <c r="AC137" i="2" s="1"/>
  <c r="AC353" i="2" a="1"/>
  <c r="AC353" i="2" s="1"/>
  <c r="AE353" i="2" a="1"/>
  <c r="AE353" i="2" s="1"/>
  <c r="AC138" i="2" a="1"/>
  <c r="AC138" i="2" s="1"/>
  <c r="AE138" i="2" a="1"/>
  <c r="AE138" i="2" s="1"/>
  <c r="AC354" i="2" a="1"/>
  <c r="AC354" i="2" s="1"/>
  <c r="AE354" i="2" a="1"/>
  <c r="AE354" i="2" s="1"/>
  <c r="AE67" i="2" a="1"/>
  <c r="AE67" i="2" s="1"/>
  <c r="AC67" i="2" a="1"/>
  <c r="AC67" i="2" s="1"/>
  <c r="AC283" i="2" a="1"/>
  <c r="AC283" i="2" s="1"/>
  <c r="AE283" i="2" a="1"/>
  <c r="AE283" i="2" s="1"/>
  <c r="AE427" i="2" a="1"/>
  <c r="AE427" i="2" s="1"/>
  <c r="AC427" i="2" a="1"/>
  <c r="AC427" i="2" s="1"/>
  <c r="AE140" i="2" a="1"/>
  <c r="AE140" i="2" s="1"/>
  <c r="AC140" i="2" a="1"/>
  <c r="AC140" i="2" s="1"/>
  <c r="AE356" i="2" a="1"/>
  <c r="AE356" i="2" s="1"/>
  <c r="AC356" i="2" a="1"/>
  <c r="AC356" i="2" s="1"/>
  <c r="AE500" i="2" a="1"/>
  <c r="AE500" i="2" s="1"/>
  <c r="AC500" i="2" a="1"/>
  <c r="AC500" i="2" s="1"/>
  <c r="AC213" i="2" a="1"/>
  <c r="AC213" i="2" s="1"/>
  <c r="AE213" i="2" a="1"/>
  <c r="AE213" i="2" s="1"/>
  <c r="AC429" i="2" a="1"/>
  <c r="AC429" i="2" s="1"/>
  <c r="AE429" i="2" a="1"/>
  <c r="AE429" i="2" s="1"/>
  <c r="AC142" i="2" a="1"/>
  <c r="AC142" i="2" s="1"/>
  <c r="AE142" i="2" a="1"/>
  <c r="AE142" i="2" s="1"/>
  <c r="AE358" i="2" a="1"/>
  <c r="AE358" i="2" s="1"/>
  <c r="AC358" i="2" a="1"/>
  <c r="AC358" i="2" s="1"/>
  <c r="AC83" i="2" a="1"/>
  <c r="AC83" i="2" s="1"/>
  <c r="AE83" i="2" a="1"/>
  <c r="AE83" i="2" s="1"/>
  <c r="AC227" i="2" a="1"/>
  <c r="AC227" i="2" s="1"/>
  <c r="AE227" i="2" a="1"/>
  <c r="AE227" i="2" s="1"/>
  <c r="AE299" i="2" a="1"/>
  <c r="AE299" i="2" s="1"/>
  <c r="AC299" i="2" a="1"/>
  <c r="AC299" i="2" s="1"/>
  <c r="AE443" i="2" a="1"/>
  <c r="AE443" i="2" s="1"/>
  <c r="AC443" i="2" a="1"/>
  <c r="AC443" i="2" s="1"/>
  <c r="AC24" i="2" a="1"/>
  <c r="AC24" i="2" s="1"/>
  <c r="AE24" i="2" a="1"/>
  <c r="AE24" i="2" s="1"/>
  <c r="AE96" i="2" a="1"/>
  <c r="AE96" i="2" s="1"/>
  <c r="AC96" i="2" a="1"/>
  <c r="AC96" i="2" s="1"/>
  <c r="AE168" i="2" a="1"/>
  <c r="AE168" i="2" s="1"/>
  <c r="AC168" i="2" a="1"/>
  <c r="AC168" i="2" s="1"/>
  <c r="AC240" i="2" a="1"/>
  <c r="AC240" i="2" s="1"/>
  <c r="AE240" i="2" a="1"/>
  <c r="AE240" i="2" s="1"/>
  <c r="AE312" i="2" a="1"/>
  <c r="AE312" i="2" s="1"/>
  <c r="AC312" i="2" a="1"/>
  <c r="AC312" i="2" s="1"/>
  <c r="AE384" i="2" a="1"/>
  <c r="AE384" i="2" s="1"/>
  <c r="AC384" i="2" a="1"/>
  <c r="AC384" i="2" s="1"/>
  <c r="AC456" i="2" a="1"/>
  <c r="AC456" i="2" s="1"/>
  <c r="AE456" i="2" a="1"/>
  <c r="AE456" i="2" s="1"/>
  <c r="AC37" i="2" a="1"/>
  <c r="AC37" i="2" s="1"/>
  <c r="AE37" i="2" a="1"/>
  <c r="AE37" i="2" s="1"/>
  <c r="AC109" i="2" a="1"/>
  <c r="AC109" i="2" s="1"/>
  <c r="AE109" i="2" a="1"/>
  <c r="AE109" i="2" s="1"/>
  <c r="AE181" i="2" a="1"/>
  <c r="AE181" i="2" s="1"/>
  <c r="AC181" i="2" a="1"/>
  <c r="AC181" i="2" s="1"/>
  <c r="AE253" i="2" a="1"/>
  <c r="AE253" i="2" s="1"/>
  <c r="AC253" i="2" a="1"/>
  <c r="AC253" i="2" s="1"/>
  <c r="AE325" i="2" a="1"/>
  <c r="AE325" i="2" s="1"/>
  <c r="AC325" i="2" a="1"/>
  <c r="AC325" i="2" s="1"/>
  <c r="AE469" i="2" a="1"/>
  <c r="AE469" i="2" s="1"/>
  <c r="AC469" i="2" a="1"/>
  <c r="AC469" i="2" s="1"/>
  <c r="AC2" i="2" a="1"/>
  <c r="AC2" i="2" s="1"/>
  <c r="AE2" i="2" a="1"/>
  <c r="AE2" i="2" s="1"/>
  <c r="AC146" i="2" a="1"/>
  <c r="AC146" i="2" s="1"/>
  <c r="AE146" i="2" a="1"/>
  <c r="AE146" i="2" s="1"/>
  <c r="AE362" i="2" a="1"/>
  <c r="AE362" i="2" s="1"/>
  <c r="AC362" i="2" a="1"/>
  <c r="AC362" i="2" s="1"/>
  <c r="AE3" i="2" a="1"/>
  <c r="AE3" i="2" s="1"/>
  <c r="AC3" i="2" a="1"/>
  <c r="AC3" i="2" s="1"/>
  <c r="AC147" i="2" a="1"/>
  <c r="AC147" i="2" s="1"/>
  <c r="AE147" i="2" a="1"/>
  <c r="AE147" i="2" s="1"/>
  <c r="AE291" i="2" a="1"/>
  <c r="AE291" i="2" s="1"/>
  <c r="AC291" i="2" a="1"/>
  <c r="AC291" i="2" s="1"/>
  <c r="AE435" i="2" a="1"/>
  <c r="AE435" i="2" s="1"/>
  <c r="AC435" i="2" a="1"/>
  <c r="AC435" i="2" s="1"/>
  <c r="AC76" i="2" a="1"/>
  <c r="AC76" i="2" s="1"/>
  <c r="AE76" i="2" a="1"/>
  <c r="AE76" i="2" s="1"/>
  <c r="AE292" i="2" a="1"/>
  <c r="AE292" i="2" s="1"/>
  <c r="AC292" i="2" a="1"/>
  <c r="AC292" i="2" s="1"/>
  <c r="AE436" i="2" a="1"/>
  <c r="AE436" i="2" s="1"/>
  <c r="AC436" i="2" a="1"/>
  <c r="AC436" i="2" s="1"/>
  <c r="AE77" i="2" a="1"/>
  <c r="AE77" i="2" s="1"/>
  <c r="AC77" i="2" a="1"/>
  <c r="AC77" i="2" s="1"/>
  <c r="AC221" i="2" a="1"/>
  <c r="AC221" i="2" s="1"/>
  <c r="AE221" i="2" a="1"/>
  <c r="AE221" i="2" s="1"/>
  <c r="AC365" i="2" a="1"/>
  <c r="AC365" i="2" s="1"/>
  <c r="AE365" i="2" a="1"/>
  <c r="AE365" i="2" s="1"/>
  <c r="AC78" i="2" a="1"/>
  <c r="AC78" i="2" s="1"/>
  <c r="AE78" i="2" a="1"/>
  <c r="AE78" i="2" s="1"/>
  <c r="AC294" i="2" a="1"/>
  <c r="AC294" i="2" s="1"/>
  <c r="AE294" i="2" a="1"/>
  <c r="AE294" i="2" s="1"/>
  <c r="AC438" i="2" a="1"/>
  <c r="AC438" i="2" s="1"/>
  <c r="AE438" i="2" a="1"/>
  <c r="AE438" i="2" s="1"/>
  <c r="AE151" i="2" a="1"/>
  <c r="AE151" i="2" s="1"/>
  <c r="AC151" i="2" a="1"/>
  <c r="AC151" i="2" s="1"/>
  <c r="AC295" i="2" a="1"/>
  <c r="AC295" i="2" s="1"/>
  <c r="AE295" i="2" a="1"/>
  <c r="AE295" i="2" s="1"/>
  <c r="AC439" i="2" a="1"/>
  <c r="AC439" i="2" s="1"/>
  <c r="AE439" i="2" a="1"/>
  <c r="AE439" i="2" s="1"/>
  <c r="AC152" i="2" a="1"/>
  <c r="AC152" i="2" s="1"/>
  <c r="AE152" i="2" a="1"/>
  <c r="AE152" i="2" s="1"/>
  <c r="AC296" i="2" a="1"/>
  <c r="AC296" i="2" s="1"/>
  <c r="AE296" i="2" a="1"/>
  <c r="AE296" i="2" s="1"/>
  <c r="AC9" i="2" a="1"/>
  <c r="AC9" i="2" s="1"/>
  <c r="AE9" i="2" a="1"/>
  <c r="AE9" i="2" s="1"/>
  <c r="AE225" i="2" a="1"/>
  <c r="AE225" i="2" s="1"/>
  <c r="AC225" i="2" a="1"/>
  <c r="AC225" i="2" s="1"/>
  <c r="AE369" i="2" a="1"/>
  <c r="AE369" i="2" s="1"/>
  <c r="AC369" i="2" a="1"/>
  <c r="AC369" i="2" s="1"/>
  <c r="AE82" i="2" a="1"/>
  <c r="AE82" i="2" s="1"/>
  <c r="AC82" i="2" a="1"/>
  <c r="AC82" i="2" s="1"/>
  <c r="AC298" i="2" a="1"/>
  <c r="AC298" i="2" s="1"/>
  <c r="AE298" i="2" a="1"/>
  <c r="AE298" i="2" s="1"/>
  <c r="AE23" i="2" a="1"/>
  <c r="AE23" i="2" s="1"/>
  <c r="AC23" i="2" a="1"/>
  <c r="AC23" i="2" s="1"/>
  <c r="AE239" i="2" a="1"/>
  <c r="AE239" i="2" s="1"/>
  <c r="AC239" i="2" a="1"/>
  <c r="AC239" i="2" s="1"/>
  <c r="AC383" i="2" a="1"/>
  <c r="AC383" i="2" s="1"/>
  <c r="AE383" i="2" a="1"/>
  <c r="AE383" i="2" s="1"/>
  <c r="AE36" i="2" a="1"/>
  <c r="AE36" i="2" s="1"/>
  <c r="AC36" i="2" a="1"/>
  <c r="AC36" i="2" s="1"/>
  <c r="AC180" i="2" a="1"/>
  <c r="AC180" i="2" s="1"/>
  <c r="AE180" i="2" a="1"/>
  <c r="AE180" i="2" s="1"/>
  <c r="AE252" i="2" a="1"/>
  <c r="AE252" i="2" s="1"/>
  <c r="AC252" i="2" a="1"/>
  <c r="AC252" i="2" s="1"/>
  <c r="AC396" i="2" a="1"/>
  <c r="AC396" i="2" s="1"/>
  <c r="AE396" i="2" a="1"/>
  <c r="AE396" i="2" s="1"/>
  <c r="AC468" i="2" a="1"/>
  <c r="AC468" i="2" s="1"/>
  <c r="AE468" i="2" a="1"/>
  <c r="AE468" i="2" s="1"/>
  <c r="AE49" i="2" a="1"/>
  <c r="AE49" i="2" s="1"/>
  <c r="AC49" i="2" a="1"/>
  <c r="AC49" i="2" s="1"/>
  <c r="AC121" i="2" a="1"/>
  <c r="AC121" i="2" s="1"/>
  <c r="AE121" i="2" a="1"/>
  <c r="AE121" i="2" s="1"/>
  <c r="AE193" i="2" a="1"/>
  <c r="AE193" i="2" s="1"/>
  <c r="AC193" i="2" a="1"/>
  <c r="AC193" i="2" s="1"/>
  <c r="AC265" i="2" a="1"/>
  <c r="AC265" i="2" s="1"/>
  <c r="AE265" i="2" a="1"/>
  <c r="AE265" i="2" s="1"/>
  <c r="AC337" i="2" a="1"/>
  <c r="AC337" i="2" s="1"/>
  <c r="AE337" i="2" a="1"/>
  <c r="AE337" i="2" s="1"/>
  <c r="AC481" i="2" a="1"/>
  <c r="AC481" i="2" s="1"/>
  <c r="AE481" i="2" a="1"/>
  <c r="AE481" i="2" s="1"/>
  <c r="AC14" i="2" a="1"/>
  <c r="AC14" i="2" s="1"/>
  <c r="AE14" i="2" a="1"/>
  <c r="AE14" i="2" s="1"/>
  <c r="AE86" i="2" a="1"/>
  <c r="AE86" i="2" s="1"/>
  <c r="AC86" i="2" a="1"/>
  <c r="AC86" i="2" s="1"/>
  <c r="AC158" i="2" a="1"/>
  <c r="AC158" i="2" s="1"/>
  <c r="AE158" i="2" a="1"/>
  <c r="AE158" i="2" s="1"/>
  <c r="AC230" i="2" a="1"/>
  <c r="AC230" i="2" s="1"/>
  <c r="AE230" i="2" a="1"/>
  <c r="AE230" i="2" s="1"/>
  <c r="AC302" i="2" a="1"/>
  <c r="AC302" i="2" s="1"/>
  <c r="AE302" i="2" a="1"/>
  <c r="AE302" i="2" s="1"/>
  <c r="AC374" i="2" a="1"/>
  <c r="AC374" i="2" s="1"/>
  <c r="AE374" i="2" a="1"/>
  <c r="AE374" i="2" s="1"/>
  <c r="AE446" i="2" a="1"/>
  <c r="AE446" i="2" s="1"/>
  <c r="AC446" i="2" a="1"/>
  <c r="AC446" i="2" s="1"/>
  <c r="AC15" i="2" a="1"/>
  <c r="AC15" i="2" s="1"/>
  <c r="AE15" i="2" a="1"/>
  <c r="AE15" i="2" s="1"/>
  <c r="AC87" i="2" a="1"/>
  <c r="AC87" i="2" s="1"/>
  <c r="AE87" i="2" a="1"/>
  <c r="AE87" i="2" s="1"/>
  <c r="AC159" i="2" a="1"/>
  <c r="AC159" i="2" s="1"/>
  <c r="AE159" i="2" a="1"/>
  <c r="AE159" i="2" s="1"/>
  <c r="AC231" i="2" a="1"/>
  <c r="AC231" i="2" s="1"/>
  <c r="AE231" i="2" a="1"/>
  <c r="AE231" i="2" s="1"/>
  <c r="AC303" i="2" a="1"/>
  <c r="AC303" i="2" s="1"/>
  <c r="AE303" i="2" a="1"/>
  <c r="AE303" i="2" s="1"/>
  <c r="AC375" i="2" a="1"/>
  <c r="AC375" i="2" s="1"/>
  <c r="AE375" i="2" a="1"/>
  <c r="AE375" i="2" s="1"/>
  <c r="AC447" i="2" a="1"/>
  <c r="AC447" i="2" s="1"/>
  <c r="AE447" i="2" a="1"/>
  <c r="AE447" i="2" s="1"/>
  <c r="AE16" i="2" a="1"/>
  <c r="AE16" i="2" s="1"/>
  <c r="AC16" i="2" a="1"/>
  <c r="AC16" i="2" s="1"/>
  <c r="AC88" i="2" a="1"/>
  <c r="AC88" i="2" s="1"/>
  <c r="AE88" i="2" a="1"/>
  <c r="AE88" i="2" s="1"/>
  <c r="AC160" i="2" a="1"/>
  <c r="AC160" i="2" s="1"/>
  <c r="AE160" i="2" a="1"/>
  <c r="AE160" i="2" s="1"/>
  <c r="AC232" i="2" a="1"/>
  <c r="AC232" i="2" s="1"/>
  <c r="AE232" i="2" a="1"/>
  <c r="AE232" i="2" s="1"/>
  <c r="AE304" i="2" a="1"/>
  <c r="AE304" i="2" s="1"/>
  <c r="AC304" i="2" a="1"/>
  <c r="AC304" i="2" s="1"/>
  <c r="AE376" i="2" a="1"/>
  <c r="AE376" i="2" s="1"/>
  <c r="AC376" i="2" a="1"/>
  <c r="AC376" i="2" s="1"/>
  <c r="AC448" i="2" a="1"/>
  <c r="AC448" i="2" s="1"/>
  <c r="AE448" i="2" a="1"/>
  <c r="AE448" i="2" s="1"/>
  <c r="AC17" i="2" a="1"/>
  <c r="AC17" i="2" s="1"/>
  <c r="AE17" i="2" a="1"/>
  <c r="AE17" i="2" s="1"/>
  <c r="AE89" i="2" a="1"/>
  <c r="AE89" i="2" s="1"/>
  <c r="AC89" i="2" a="1"/>
  <c r="AC89" i="2" s="1"/>
  <c r="AE161" i="2" a="1"/>
  <c r="AE161" i="2" s="1"/>
  <c r="AC161" i="2" a="1"/>
  <c r="AC161" i="2" s="1"/>
  <c r="AE233" i="2" a="1"/>
  <c r="AE233" i="2" s="1"/>
  <c r="AC233" i="2" a="1"/>
  <c r="AC233" i="2" s="1"/>
  <c r="AC305" i="2" a="1"/>
  <c r="AC305" i="2" s="1"/>
  <c r="AE305" i="2" a="1"/>
  <c r="AE305" i="2" s="1"/>
  <c r="AE377" i="2" a="1"/>
  <c r="AE377" i="2" s="1"/>
  <c r="AC377" i="2" a="1"/>
  <c r="AC377" i="2" s="1"/>
  <c r="AC449" i="2" a="1"/>
  <c r="AC449" i="2" s="1"/>
  <c r="AE449" i="2" a="1"/>
  <c r="AE449" i="2" s="1"/>
  <c r="AE18" i="2" a="1"/>
  <c r="AE18" i="2" s="1"/>
  <c r="AC18" i="2" a="1"/>
  <c r="AC18" i="2" s="1"/>
  <c r="AC90" i="2" a="1"/>
  <c r="AC90" i="2" s="1"/>
  <c r="AE90" i="2" a="1"/>
  <c r="AE90" i="2" s="1"/>
  <c r="AC162" i="2" a="1"/>
  <c r="AC162" i="2" s="1"/>
  <c r="AE162" i="2" a="1"/>
  <c r="AE162" i="2" s="1"/>
  <c r="AC234" i="2" a="1"/>
  <c r="AC234" i="2" s="1"/>
  <c r="AE234" i="2" a="1"/>
  <c r="AE234" i="2" s="1"/>
  <c r="AC306" i="2" a="1"/>
  <c r="AC306" i="2" s="1"/>
  <c r="AE306" i="2" a="1"/>
  <c r="AE306" i="2" s="1"/>
  <c r="AC378" i="2" a="1"/>
  <c r="AC378" i="2" s="1"/>
  <c r="AE378" i="2" a="1"/>
  <c r="AE378" i="2" s="1"/>
  <c r="AC450" i="2" a="1"/>
  <c r="AC450" i="2" s="1"/>
  <c r="AE450" i="2" a="1"/>
  <c r="AE450" i="2" s="1"/>
  <c r="AC19" i="2" a="1"/>
  <c r="AC19" i="2" s="1"/>
  <c r="AE19" i="2" a="1"/>
  <c r="AE19" i="2" s="1"/>
  <c r="AC91" i="2" a="1"/>
  <c r="AC91" i="2" s="1"/>
  <c r="AE91" i="2" a="1"/>
  <c r="AE91" i="2" s="1"/>
  <c r="AC163" i="2" a="1"/>
  <c r="AC163" i="2" s="1"/>
  <c r="AE163" i="2" a="1"/>
  <c r="AE163" i="2" s="1"/>
  <c r="AC235" i="2" a="1"/>
  <c r="AC235" i="2" s="1"/>
  <c r="AE235" i="2" a="1"/>
  <c r="AE235" i="2" s="1"/>
  <c r="AC307" i="2" a="1"/>
  <c r="AC307" i="2" s="1"/>
  <c r="AE307" i="2" a="1"/>
  <c r="AE307" i="2" s="1"/>
  <c r="AC379" i="2" a="1"/>
  <c r="AC379" i="2" s="1"/>
  <c r="AE379" i="2" a="1"/>
  <c r="AE379" i="2" s="1"/>
  <c r="AE451" i="2" a="1"/>
  <c r="AE451" i="2" s="1"/>
  <c r="AC451" i="2" a="1"/>
  <c r="AC451" i="2" s="1"/>
  <c r="AE20" i="2" a="1"/>
  <c r="AE20" i="2" s="1"/>
  <c r="AC20" i="2" a="1"/>
  <c r="AC20" i="2" s="1"/>
  <c r="AC92" i="2" a="1"/>
  <c r="AC92" i="2" s="1"/>
  <c r="AE92" i="2" a="1"/>
  <c r="AE92" i="2" s="1"/>
  <c r="AE164" i="2" a="1"/>
  <c r="AE164" i="2" s="1"/>
  <c r="AC164" i="2" a="1"/>
  <c r="AC164" i="2" s="1"/>
  <c r="AE236" i="2" a="1"/>
  <c r="AE236" i="2" s="1"/>
  <c r="AC236" i="2" a="1"/>
  <c r="AC236" i="2" s="1"/>
  <c r="AE308" i="2" a="1"/>
  <c r="AE308" i="2" s="1"/>
  <c r="AC308" i="2" a="1"/>
  <c r="AC308" i="2" s="1"/>
  <c r="AE380" i="2" a="1"/>
  <c r="AE380" i="2" s="1"/>
  <c r="AC380" i="2" a="1"/>
  <c r="AC380" i="2" s="1"/>
  <c r="AC452" i="2" a="1"/>
  <c r="AC452" i="2" s="1"/>
  <c r="AE452" i="2" a="1"/>
  <c r="AE452" i="2" s="1"/>
  <c r="AC21" i="2" a="1"/>
  <c r="AC21" i="2" s="1"/>
  <c r="AE21" i="2" a="1"/>
  <c r="AE21" i="2" s="1"/>
  <c r="AC93" i="2" a="1"/>
  <c r="AC93" i="2" s="1"/>
  <c r="AE93" i="2" a="1"/>
  <c r="AE93" i="2" s="1"/>
  <c r="AC165" i="2" a="1"/>
  <c r="AC165" i="2" s="1"/>
  <c r="AE165" i="2" a="1"/>
  <c r="AE165" i="2" s="1"/>
  <c r="AE237" i="2" a="1"/>
  <c r="AE237" i="2" s="1"/>
  <c r="AC237" i="2" a="1"/>
  <c r="AC237" i="2" s="1"/>
  <c r="AC309" i="2" a="1"/>
  <c r="AC309" i="2" s="1"/>
  <c r="AE309" i="2" a="1"/>
  <c r="AE309" i="2" s="1"/>
  <c r="AC381" i="2" a="1"/>
  <c r="AC381" i="2" s="1"/>
  <c r="AE381" i="2" a="1"/>
  <c r="AE381" i="2" s="1"/>
  <c r="AC453" i="2" a="1"/>
  <c r="AC453" i="2" s="1"/>
  <c r="AE453" i="2" a="1"/>
  <c r="AE453" i="2" s="1"/>
  <c r="AC22" i="2" a="1"/>
  <c r="AC22" i="2" s="1"/>
  <c r="AE22" i="2" a="1"/>
  <c r="AE22" i="2" s="1"/>
  <c r="AC94" i="2" a="1"/>
  <c r="AC94" i="2" s="1"/>
  <c r="AE94" i="2" a="1"/>
  <c r="AE94" i="2" s="1"/>
  <c r="AC166" i="2" a="1"/>
  <c r="AC166" i="2" s="1"/>
  <c r="AE166" i="2" a="1"/>
  <c r="AE166" i="2" s="1"/>
  <c r="AE238" i="2" a="1"/>
  <c r="AE238" i="2" s="1"/>
  <c r="AC238" i="2" a="1"/>
  <c r="AC238" i="2" s="1"/>
  <c r="AC310" i="2" a="1"/>
  <c r="AC310" i="2" s="1"/>
  <c r="AE310" i="2" a="1"/>
  <c r="AE310" i="2" s="1"/>
  <c r="AE382" i="2" a="1"/>
  <c r="AE382" i="2" s="1"/>
  <c r="AC382" i="2" a="1"/>
  <c r="AC382" i="2" s="1"/>
  <c r="AE454" i="2" a="1"/>
  <c r="AE454" i="2" s="1"/>
  <c r="AC454" i="2" a="1"/>
  <c r="AC454" i="2" s="1"/>
  <c r="AC35" i="2" a="1"/>
  <c r="AC35" i="2" s="1"/>
  <c r="AE35" i="2" a="1"/>
  <c r="AE35" i="2" s="1"/>
  <c r="AC107" i="2" a="1"/>
  <c r="AC107" i="2" s="1"/>
  <c r="AE107" i="2" a="1"/>
  <c r="AE107" i="2" s="1"/>
  <c r="AE179" i="2" a="1"/>
  <c r="AE179" i="2" s="1"/>
  <c r="AC179" i="2" a="1"/>
  <c r="AC179" i="2" s="1"/>
  <c r="AC251" i="2" a="1"/>
  <c r="AC251" i="2" s="1"/>
  <c r="AE251" i="2" a="1"/>
  <c r="AE251" i="2" s="1"/>
  <c r="AE323" i="2" a="1"/>
  <c r="AE323" i="2" s="1"/>
  <c r="AC323" i="2" a="1"/>
  <c r="AC323" i="2" s="1"/>
  <c r="AC395" i="2" a="1"/>
  <c r="AC395" i="2" s="1"/>
  <c r="AE395" i="2" a="1"/>
  <c r="AE395" i="2" s="1"/>
  <c r="AC467" i="2" a="1"/>
  <c r="AC467" i="2" s="1"/>
  <c r="AE467" i="2" a="1"/>
  <c r="AE467" i="2" s="1"/>
  <c r="AE48" i="2" a="1"/>
  <c r="AE48" i="2" s="1"/>
  <c r="AC48" i="2" a="1"/>
  <c r="AC48" i="2" s="1"/>
  <c r="AC120" i="2" a="1"/>
  <c r="AC120" i="2" s="1"/>
  <c r="AE120" i="2" a="1"/>
  <c r="AE120" i="2" s="1"/>
  <c r="AC192" i="2" a="1"/>
  <c r="AC192" i="2" s="1"/>
  <c r="AE192" i="2" a="1"/>
  <c r="AE192" i="2" s="1"/>
  <c r="AE264" i="2" a="1"/>
  <c r="AE264" i="2" s="1"/>
  <c r="AC264" i="2" a="1"/>
  <c r="AC264" i="2" s="1"/>
  <c r="AE336" i="2" a="1"/>
  <c r="AE336" i="2" s="1"/>
  <c r="AC336" i="2" a="1"/>
  <c r="AC336" i="2" s="1"/>
  <c r="AE408" i="2" a="1"/>
  <c r="AE408" i="2" s="1"/>
  <c r="AC408" i="2" a="1"/>
  <c r="AC408" i="2" s="1"/>
  <c r="AE480" i="2" a="1"/>
  <c r="AE480" i="2" s="1"/>
  <c r="AC480" i="2" a="1"/>
  <c r="AC480" i="2" s="1"/>
  <c r="AC61" i="2" a="1"/>
  <c r="AC61" i="2" s="1"/>
  <c r="AE61" i="2" a="1"/>
  <c r="AE61" i="2" s="1"/>
  <c r="AC133" i="2" a="1"/>
  <c r="AC133" i="2" s="1"/>
  <c r="AE133" i="2" a="1"/>
  <c r="AE133" i="2" s="1"/>
  <c r="AE205" i="2" a="1"/>
  <c r="AE205" i="2" s="1"/>
  <c r="AC205" i="2" a="1"/>
  <c r="AC205" i="2" s="1"/>
  <c r="AE277" i="2" a="1"/>
  <c r="AE277" i="2" s="1"/>
  <c r="AC277" i="2" a="1"/>
  <c r="AC277" i="2" s="1"/>
  <c r="AE349" i="2" a="1"/>
  <c r="AE349" i="2" s="1"/>
  <c r="AC349" i="2" a="1"/>
  <c r="AC349" i="2" s="1"/>
  <c r="AC421" i="2" a="1"/>
  <c r="AC421" i="2" s="1"/>
  <c r="AE421" i="2" a="1"/>
  <c r="AE421" i="2" s="1"/>
  <c r="AE493" i="2" a="1"/>
  <c r="AE493" i="2" s="1"/>
  <c r="AC493" i="2" a="1"/>
  <c r="AC493" i="2" s="1"/>
  <c r="AN8" i="2"/>
  <c r="AN19" i="2"/>
  <c r="AN13" i="2"/>
  <c r="AN11" i="2"/>
  <c r="AN12" i="2"/>
  <c r="AN17" i="2"/>
  <c r="AN9" i="2"/>
  <c r="AN10"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<sst xmlns="http://schemas.openxmlformats.org/spreadsheetml/2006/main" count="24565" uniqueCount="1071">
  <si>
    <t>Transaction_ID</t>
  </si>
  <si>
    <t>Customer_Name</t>
  </si>
  <si>
    <t>Gender</t>
  </si>
  <si>
    <t>Age</t>
  </si>
  <si>
    <t>Property_Type</t>
  </si>
  <si>
    <t>Land_Size_SQM</t>
  </si>
  <si>
    <t>Price_per_SQM</t>
  </si>
  <si>
    <t>Total_Price</t>
  </si>
  <si>
    <t>State</t>
  </si>
  <si>
    <t>Region</t>
  </si>
  <si>
    <t>City</t>
  </si>
  <si>
    <t>Area_Type</t>
  </si>
  <si>
    <t>Real_Estate_Company</t>
  </si>
  <si>
    <t>Sales_Agent</t>
  </si>
  <si>
    <t>Payment_Type</t>
  </si>
  <si>
    <t>Initial_Deposit</t>
  </si>
  <si>
    <t>Installment_Duration</t>
  </si>
  <si>
    <t>Discount_%</t>
  </si>
  <si>
    <t>Transaction_Date</t>
  </si>
  <si>
    <t>Month</t>
  </si>
  <si>
    <t>Year</t>
  </si>
  <si>
    <t>Marketing_Channel</t>
  </si>
  <si>
    <t>Customer_Type</t>
  </si>
  <si>
    <t>Sales_Status</t>
  </si>
  <si>
    <t>Satisfaction_Rating</t>
  </si>
  <si>
    <t>Distance_to_City_Center</t>
  </si>
  <si>
    <t>TRX-0001</t>
  </si>
  <si>
    <t>TRX-0002</t>
  </si>
  <si>
    <t>TRX-0003</t>
  </si>
  <si>
    <t>TRX-0004</t>
  </si>
  <si>
    <t>TRX-0005</t>
  </si>
  <si>
    <t>TRX-0006</t>
  </si>
  <si>
    <t>TRX-0007</t>
  </si>
  <si>
    <t>TRX-0008</t>
  </si>
  <si>
    <t>TRX-0009</t>
  </si>
  <si>
    <t>TRX-0010</t>
  </si>
  <si>
    <t>TRX-0011</t>
  </si>
  <si>
    <t>TRX-0012</t>
  </si>
  <si>
    <t>TRX-0013</t>
  </si>
  <si>
    <t>TRX-0014</t>
  </si>
  <si>
    <t>TRX-0015</t>
  </si>
  <si>
    <t>TRX-0016</t>
  </si>
  <si>
    <t>TRX-0017</t>
  </si>
  <si>
    <t>TRX-0018</t>
  </si>
  <si>
    <t>TRX-0019</t>
  </si>
  <si>
    <t>TRX-0020</t>
  </si>
  <si>
    <t>TRX-0021</t>
  </si>
  <si>
    <t>TRX-0022</t>
  </si>
  <si>
    <t>TRX-0023</t>
  </si>
  <si>
    <t>TRX-0024</t>
  </si>
  <si>
    <t>TRX-0025</t>
  </si>
  <si>
    <t>TRX-0026</t>
  </si>
  <si>
    <t>TRX-0027</t>
  </si>
  <si>
    <t>TRX-0028</t>
  </si>
  <si>
    <t>TRX-0029</t>
  </si>
  <si>
    <t>TRX-0030</t>
  </si>
  <si>
    <t>TRX-0031</t>
  </si>
  <si>
    <t>TRX-0032</t>
  </si>
  <si>
    <t>TRX-0033</t>
  </si>
  <si>
    <t>TRX-0034</t>
  </si>
  <si>
    <t>TRX-0035</t>
  </si>
  <si>
    <t>TRX-0036</t>
  </si>
  <si>
    <t>TRX-0037</t>
  </si>
  <si>
    <t>TRX-0038</t>
  </si>
  <si>
    <t>TRX-0039</t>
  </si>
  <si>
    <t>TRX-0040</t>
  </si>
  <si>
    <t>TRX-0041</t>
  </si>
  <si>
    <t>TRX-0042</t>
  </si>
  <si>
    <t>TRX-0043</t>
  </si>
  <si>
    <t>TRX-0044</t>
  </si>
  <si>
    <t>TRX-0045</t>
  </si>
  <si>
    <t>TRX-0046</t>
  </si>
  <si>
    <t>TRX-0047</t>
  </si>
  <si>
    <t>TRX-0048</t>
  </si>
  <si>
    <t>TRX-0049</t>
  </si>
  <si>
    <t>TRX-0050</t>
  </si>
  <si>
    <t>TRX-0051</t>
  </si>
  <si>
    <t>TRX-0052</t>
  </si>
  <si>
    <t>TRX-0053</t>
  </si>
  <si>
    <t>TRX-0054</t>
  </si>
  <si>
    <t>TRX-0055</t>
  </si>
  <si>
    <t>TRX-0056</t>
  </si>
  <si>
    <t>TRX-0057</t>
  </si>
  <si>
    <t>TRX-0058</t>
  </si>
  <si>
    <t>TRX-0059</t>
  </si>
  <si>
    <t>TRX-0060</t>
  </si>
  <si>
    <t>TRX-0061</t>
  </si>
  <si>
    <t>TRX-0062</t>
  </si>
  <si>
    <t>TRX-0063</t>
  </si>
  <si>
    <t>TRX-0064</t>
  </si>
  <si>
    <t>TRX-0065</t>
  </si>
  <si>
    <t>TRX-0066</t>
  </si>
  <si>
    <t>TRX-0067</t>
  </si>
  <si>
    <t>TRX-0068</t>
  </si>
  <si>
    <t>TRX-0069</t>
  </si>
  <si>
    <t>TRX-0070</t>
  </si>
  <si>
    <t>TRX-0071</t>
  </si>
  <si>
    <t>TRX-0072</t>
  </si>
  <si>
    <t>TRX-0073</t>
  </si>
  <si>
    <t>TRX-0074</t>
  </si>
  <si>
    <t>TRX-0075</t>
  </si>
  <si>
    <t>TRX-0076</t>
  </si>
  <si>
    <t>TRX-0077</t>
  </si>
  <si>
    <t>TRX-0078</t>
  </si>
  <si>
    <t>TRX-0079</t>
  </si>
  <si>
    <t>TRX-0080</t>
  </si>
  <si>
    <t>TRX-0081</t>
  </si>
  <si>
    <t>TRX-0082</t>
  </si>
  <si>
    <t>TRX-0083</t>
  </si>
  <si>
    <t>TRX-0084</t>
  </si>
  <si>
    <t>TRX-0085</t>
  </si>
  <si>
    <t>TRX-0086</t>
  </si>
  <si>
    <t>TRX-0087</t>
  </si>
  <si>
    <t>TRX-0088</t>
  </si>
  <si>
    <t>TRX-0089</t>
  </si>
  <si>
    <t>TRX-0090</t>
  </si>
  <si>
    <t>TRX-0091</t>
  </si>
  <si>
    <t>TRX-0092</t>
  </si>
  <si>
    <t>TRX-0093</t>
  </si>
  <si>
    <t>TRX-0094</t>
  </si>
  <si>
    <t>TRX-0095</t>
  </si>
  <si>
    <t>TRX-0096</t>
  </si>
  <si>
    <t>TRX-0097</t>
  </si>
  <si>
    <t>TRX-0098</t>
  </si>
  <si>
    <t>TRX-0099</t>
  </si>
  <si>
    <t>TRX-0100</t>
  </si>
  <si>
    <t>TRX-0101</t>
  </si>
  <si>
    <t>TRX-0102</t>
  </si>
  <si>
    <t>TRX-0103</t>
  </si>
  <si>
    <t>TRX-0104</t>
  </si>
  <si>
    <t>TRX-0105</t>
  </si>
  <si>
    <t>TRX-0106</t>
  </si>
  <si>
    <t>TRX-0107</t>
  </si>
  <si>
    <t>TRX-0108</t>
  </si>
  <si>
    <t>TRX-0109</t>
  </si>
  <si>
    <t>TRX-0110</t>
  </si>
  <si>
    <t>TRX-0111</t>
  </si>
  <si>
    <t>TRX-0112</t>
  </si>
  <si>
    <t>TRX-0113</t>
  </si>
  <si>
    <t>TRX-0114</t>
  </si>
  <si>
    <t>TRX-0115</t>
  </si>
  <si>
    <t>TRX-0116</t>
  </si>
  <si>
    <t>TRX-0117</t>
  </si>
  <si>
    <t>TRX-0118</t>
  </si>
  <si>
    <t>TRX-0119</t>
  </si>
  <si>
    <t>TRX-0120</t>
  </si>
  <si>
    <t>TRX-0121</t>
  </si>
  <si>
    <t>TRX-0122</t>
  </si>
  <si>
    <t>TRX-0123</t>
  </si>
  <si>
    <t>TRX-0124</t>
  </si>
  <si>
    <t>TRX-0125</t>
  </si>
  <si>
    <t>TRX-0126</t>
  </si>
  <si>
    <t>TRX-0127</t>
  </si>
  <si>
    <t>TRX-0128</t>
  </si>
  <si>
    <t>TRX-0129</t>
  </si>
  <si>
    <t>TRX-0130</t>
  </si>
  <si>
    <t>TRX-0131</t>
  </si>
  <si>
    <t>TRX-0132</t>
  </si>
  <si>
    <t>TRX-0133</t>
  </si>
  <si>
    <t>TRX-0134</t>
  </si>
  <si>
    <t>TRX-0135</t>
  </si>
  <si>
    <t>TRX-0136</t>
  </si>
  <si>
    <t>TRX-0137</t>
  </si>
  <si>
    <t>TRX-0138</t>
  </si>
  <si>
    <t>TRX-0139</t>
  </si>
  <si>
    <t>TRX-0140</t>
  </si>
  <si>
    <t>TRX-0141</t>
  </si>
  <si>
    <t>TRX-0142</t>
  </si>
  <si>
    <t>TRX-0143</t>
  </si>
  <si>
    <t>TRX-0144</t>
  </si>
  <si>
    <t>TRX-0145</t>
  </si>
  <si>
    <t>TRX-0146</t>
  </si>
  <si>
    <t>TRX-0147</t>
  </si>
  <si>
    <t>TRX-0148</t>
  </si>
  <si>
    <t>TRX-0149</t>
  </si>
  <si>
    <t>TRX-0150</t>
  </si>
  <si>
    <t>TRX-0151</t>
  </si>
  <si>
    <t>TRX-0152</t>
  </si>
  <si>
    <t>TRX-0153</t>
  </si>
  <si>
    <t>TRX-0154</t>
  </si>
  <si>
    <t>TRX-0155</t>
  </si>
  <si>
    <t>TRX-0156</t>
  </si>
  <si>
    <t>TRX-0157</t>
  </si>
  <si>
    <t>TRX-0158</t>
  </si>
  <si>
    <t>TRX-0159</t>
  </si>
  <si>
    <t>TRX-0160</t>
  </si>
  <si>
    <t>TRX-0161</t>
  </si>
  <si>
    <t>TRX-0162</t>
  </si>
  <si>
    <t>TRX-0163</t>
  </si>
  <si>
    <t>TRX-0164</t>
  </si>
  <si>
    <t>TRX-0165</t>
  </si>
  <si>
    <t>TRX-0166</t>
  </si>
  <si>
    <t>TRX-0167</t>
  </si>
  <si>
    <t>TRX-0168</t>
  </si>
  <si>
    <t>TRX-0169</t>
  </si>
  <si>
    <t>TRX-0170</t>
  </si>
  <si>
    <t>TRX-0171</t>
  </si>
  <si>
    <t>TRX-0172</t>
  </si>
  <si>
    <t>TRX-0173</t>
  </si>
  <si>
    <t>TRX-0174</t>
  </si>
  <si>
    <t>TRX-0175</t>
  </si>
  <si>
    <t>TRX-0176</t>
  </si>
  <si>
    <t>TRX-0177</t>
  </si>
  <si>
    <t>TRX-0178</t>
  </si>
  <si>
    <t>TRX-0179</t>
  </si>
  <si>
    <t>TRX-0180</t>
  </si>
  <si>
    <t>TRX-0181</t>
  </si>
  <si>
    <t>TRX-0182</t>
  </si>
  <si>
    <t>TRX-0183</t>
  </si>
  <si>
    <t>TRX-0184</t>
  </si>
  <si>
    <t>TRX-0185</t>
  </si>
  <si>
    <t>TRX-0186</t>
  </si>
  <si>
    <t>TRX-0187</t>
  </si>
  <si>
    <t>TRX-0188</t>
  </si>
  <si>
    <t>TRX-0189</t>
  </si>
  <si>
    <t>TRX-0190</t>
  </si>
  <si>
    <t>TRX-0191</t>
  </si>
  <si>
    <t>TRX-0192</t>
  </si>
  <si>
    <t>TRX-0193</t>
  </si>
  <si>
    <t>TRX-0194</t>
  </si>
  <si>
    <t>TRX-0195</t>
  </si>
  <si>
    <t>TRX-0196</t>
  </si>
  <si>
    <t>TRX-0197</t>
  </si>
  <si>
    <t>TRX-0198</t>
  </si>
  <si>
    <t>TRX-0199</t>
  </si>
  <si>
    <t>TRX-0200</t>
  </si>
  <si>
    <t>TRX-0201</t>
  </si>
  <si>
    <t>TRX-0202</t>
  </si>
  <si>
    <t>TRX-0203</t>
  </si>
  <si>
    <t>TRX-0204</t>
  </si>
  <si>
    <t>TRX-0205</t>
  </si>
  <si>
    <t>TRX-0206</t>
  </si>
  <si>
    <t>TRX-0207</t>
  </si>
  <si>
    <t>TRX-0208</t>
  </si>
  <si>
    <t>TRX-0209</t>
  </si>
  <si>
    <t>TRX-0210</t>
  </si>
  <si>
    <t>TRX-0211</t>
  </si>
  <si>
    <t>TRX-0212</t>
  </si>
  <si>
    <t>TRX-0213</t>
  </si>
  <si>
    <t>TRX-0214</t>
  </si>
  <si>
    <t>TRX-0215</t>
  </si>
  <si>
    <t>TRX-0216</t>
  </si>
  <si>
    <t>TRX-0217</t>
  </si>
  <si>
    <t>TRX-0218</t>
  </si>
  <si>
    <t>TRX-0219</t>
  </si>
  <si>
    <t>TRX-0220</t>
  </si>
  <si>
    <t>TRX-0221</t>
  </si>
  <si>
    <t>TRX-0222</t>
  </si>
  <si>
    <t>TRX-0223</t>
  </si>
  <si>
    <t>TRX-0224</t>
  </si>
  <si>
    <t>TRX-0225</t>
  </si>
  <si>
    <t>TRX-0226</t>
  </si>
  <si>
    <t>TRX-0227</t>
  </si>
  <si>
    <t>TRX-0228</t>
  </si>
  <si>
    <t>TRX-0229</t>
  </si>
  <si>
    <t>TRX-0230</t>
  </si>
  <si>
    <t>TRX-0231</t>
  </si>
  <si>
    <t>TRX-0232</t>
  </si>
  <si>
    <t>TRX-0233</t>
  </si>
  <si>
    <t>TRX-0234</t>
  </si>
  <si>
    <t>TRX-0235</t>
  </si>
  <si>
    <t>TRX-0236</t>
  </si>
  <si>
    <t>TRX-0237</t>
  </si>
  <si>
    <t>TRX-0238</t>
  </si>
  <si>
    <t>TRX-0239</t>
  </si>
  <si>
    <t>TRX-0240</t>
  </si>
  <si>
    <t>TRX-0241</t>
  </si>
  <si>
    <t>TRX-0242</t>
  </si>
  <si>
    <t>TRX-0243</t>
  </si>
  <si>
    <t>TRX-0244</t>
  </si>
  <si>
    <t>TRX-0245</t>
  </si>
  <si>
    <t>TRX-0246</t>
  </si>
  <si>
    <t>TRX-0247</t>
  </si>
  <si>
    <t>TRX-0248</t>
  </si>
  <si>
    <t>TRX-0249</t>
  </si>
  <si>
    <t>TRX-0250</t>
  </si>
  <si>
    <t>TRX-0251</t>
  </si>
  <si>
    <t>TRX-0252</t>
  </si>
  <si>
    <t>TRX-0253</t>
  </si>
  <si>
    <t>TRX-0254</t>
  </si>
  <si>
    <t>TRX-0255</t>
  </si>
  <si>
    <t>TRX-0256</t>
  </si>
  <si>
    <t>TRX-0257</t>
  </si>
  <si>
    <t>TRX-0258</t>
  </si>
  <si>
    <t>TRX-0259</t>
  </si>
  <si>
    <t>TRX-0260</t>
  </si>
  <si>
    <t>TRX-0261</t>
  </si>
  <si>
    <t>TRX-0262</t>
  </si>
  <si>
    <t>TRX-0263</t>
  </si>
  <si>
    <t>TRX-0264</t>
  </si>
  <si>
    <t>TRX-0265</t>
  </si>
  <si>
    <t>TRX-0266</t>
  </si>
  <si>
    <t>TRX-0267</t>
  </si>
  <si>
    <t>TRX-0268</t>
  </si>
  <si>
    <t>TRX-0269</t>
  </si>
  <si>
    <t>TRX-0270</t>
  </si>
  <si>
    <t>TRX-0271</t>
  </si>
  <si>
    <t>TRX-0272</t>
  </si>
  <si>
    <t>TRX-0273</t>
  </si>
  <si>
    <t>TRX-0274</t>
  </si>
  <si>
    <t>TRX-0275</t>
  </si>
  <si>
    <t>TRX-0276</t>
  </si>
  <si>
    <t>TRX-0277</t>
  </si>
  <si>
    <t>TRX-0278</t>
  </si>
  <si>
    <t>TRX-0279</t>
  </si>
  <si>
    <t>TRX-0280</t>
  </si>
  <si>
    <t>TRX-0281</t>
  </si>
  <si>
    <t>TRX-0282</t>
  </si>
  <si>
    <t>TRX-0283</t>
  </si>
  <si>
    <t>TRX-0284</t>
  </si>
  <si>
    <t>TRX-0285</t>
  </si>
  <si>
    <t>TRX-0286</t>
  </si>
  <si>
    <t>TRX-0287</t>
  </si>
  <si>
    <t>TRX-0288</t>
  </si>
  <si>
    <t>TRX-0289</t>
  </si>
  <si>
    <t>TRX-0290</t>
  </si>
  <si>
    <t>TRX-0291</t>
  </si>
  <si>
    <t>TRX-0292</t>
  </si>
  <si>
    <t>TRX-0293</t>
  </si>
  <si>
    <t>TRX-0294</t>
  </si>
  <si>
    <t>TRX-0295</t>
  </si>
  <si>
    <t>TRX-0296</t>
  </si>
  <si>
    <t>TRX-0297</t>
  </si>
  <si>
    <t>TRX-0298</t>
  </si>
  <si>
    <t>TRX-0299</t>
  </si>
  <si>
    <t>TRX-0300</t>
  </si>
  <si>
    <t>TRX-0301</t>
  </si>
  <si>
    <t>TRX-0302</t>
  </si>
  <si>
    <t>TRX-0303</t>
  </si>
  <si>
    <t>TRX-0304</t>
  </si>
  <si>
    <t>TRX-0305</t>
  </si>
  <si>
    <t>TRX-0306</t>
  </si>
  <si>
    <t>TRX-0307</t>
  </si>
  <si>
    <t>TRX-0308</t>
  </si>
  <si>
    <t>TRX-0309</t>
  </si>
  <si>
    <t>TRX-0310</t>
  </si>
  <si>
    <t>TRX-0311</t>
  </si>
  <si>
    <t>TRX-0312</t>
  </si>
  <si>
    <t>TRX-0313</t>
  </si>
  <si>
    <t>TRX-0314</t>
  </si>
  <si>
    <t>TRX-0315</t>
  </si>
  <si>
    <t>TRX-0316</t>
  </si>
  <si>
    <t>TRX-0317</t>
  </si>
  <si>
    <t>TRX-0318</t>
  </si>
  <si>
    <t>TRX-0319</t>
  </si>
  <si>
    <t>TRX-0320</t>
  </si>
  <si>
    <t>TRX-0321</t>
  </si>
  <si>
    <t>TRX-0322</t>
  </si>
  <si>
    <t>TRX-0323</t>
  </si>
  <si>
    <t>TRX-0324</t>
  </si>
  <si>
    <t>TRX-0325</t>
  </si>
  <si>
    <t>TRX-0326</t>
  </si>
  <si>
    <t>TRX-0327</t>
  </si>
  <si>
    <t>TRX-0328</t>
  </si>
  <si>
    <t>TRX-0329</t>
  </si>
  <si>
    <t>TRX-0330</t>
  </si>
  <si>
    <t>TRX-0331</t>
  </si>
  <si>
    <t>TRX-0332</t>
  </si>
  <si>
    <t>TRX-0333</t>
  </si>
  <si>
    <t>TRX-0334</t>
  </si>
  <si>
    <t>TRX-0335</t>
  </si>
  <si>
    <t>TRX-0336</t>
  </si>
  <si>
    <t>TRX-0337</t>
  </si>
  <si>
    <t>TRX-0338</t>
  </si>
  <si>
    <t>TRX-0339</t>
  </si>
  <si>
    <t>TRX-0340</t>
  </si>
  <si>
    <t>TRX-0341</t>
  </si>
  <si>
    <t>TRX-0342</t>
  </si>
  <si>
    <t>TRX-0343</t>
  </si>
  <si>
    <t>TRX-0344</t>
  </si>
  <si>
    <t>TRX-0345</t>
  </si>
  <si>
    <t>TRX-0346</t>
  </si>
  <si>
    <t>TRX-0347</t>
  </si>
  <si>
    <t>TRX-0348</t>
  </si>
  <si>
    <t>TRX-0349</t>
  </si>
  <si>
    <t>TRX-0350</t>
  </si>
  <si>
    <t>TRX-0351</t>
  </si>
  <si>
    <t>TRX-0352</t>
  </si>
  <si>
    <t>TRX-0353</t>
  </si>
  <si>
    <t>TRX-0354</t>
  </si>
  <si>
    <t>TRX-0355</t>
  </si>
  <si>
    <t>TRX-0356</t>
  </si>
  <si>
    <t>TRX-0357</t>
  </si>
  <si>
    <t>TRX-0358</t>
  </si>
  <si>
    <t>TRX-0359</t>
  </si>
  <si>
    <t>TRX-0360</t>
  </si>
  <si>
    <t>TRX-0361</t>
  </si>
  <si>
    <t>TRX-0362</t>
  </si>
  <si>
    <t>TRX-0363</t>
  </si>
  <si>
    <t>TRX-0364</t>
  </si>
  <si>
    <t>TRX-0365</t>
  </si>
  <si>
    <t>TRX-0366</t>
  </si>
  <si>
    <t>TRX-0367</t>
  </si>
  <si>
    <t>TRX-0368</t>
  </si>
  <si>
    <t>TRX-0369</t>
  </si>
  <si>
    <t>TRX-0370</t>
  </si>
  <si>
    <t>TRX-0371</t>
  </si>
  <si>
    <t>TRX-0372</t>
  </si>
  <si>
    <t>TRX-0373</t>
  </si>
  <si>
    <t>TRX-0374</t>
  </si>
  <si>
    <t>TRX-0375</t>
  </si>
  <si>
    <t>TRX-0376</t>
  </si>
  <si>
    <t>TRX-0377</t>
  </si>
  <si>
    <t>TRX-0378</t>
  </si>
  <si>
    <t>TRX-0379</t>
  </si>
  <si>
    <t>TRX-0380</t>
  </si>
  <si>
    <t>TRX-0381</t>
  </si>
  <si>
    <t>TRX-0382</t>
  </si>
  <si>
    <t>TRX-0383</t>
  </si>
  <si>
    <t>TRX-0384</t>
  </si>
  <si>
    <t>TRX-0385</t>
  </si>
  <si>
    <t>TRX-0386</t>
  </si>
  <si>
    <t>TRX-0387</t>
  </si>
  <si>
    <t>TRX-0388</t>
  </si>
  <si>
    <t>TRX-0389</t>
  </si>
  <si>
    <t>TRX-0390</t>
  </si>
  <si>
    <t>TRX-0391</t>
  </si>
  <si>
    <t>TRX-0392</t>
  </si>
  <si>
    <t>TRX-0393</t>
  </si>
  <si>
    <t>TRX-0394</t>
  </si>
  <si>
    <t>TRX-0395</t>
  </si>
  <si>
    <t>TRX-0396</t>
  </si>
  <si>
    <t>TRX-0397</t>
  </si>
  <si>
    <t>TRX-0398</t>
  </si>
  <si>
    <t>TRX-0399</t>
  </si>
  <si>
    <t>TRX-0400</t>
  </si>
  <si>
    <t>TRX-0401</t>
  </si>
  <si>
    <t>TRX-0402</t>
  </si>
  <si>
    <t>TRX-0403</t>
  </si>
  <si>
    <t>TRX-0404</t>
  </si>
  <si>
    <t>TRX-0405</t>
  </si>
  <si>
    <t>TRX-0406</t>
  </si>
  <si>
    <t>TRX-0407</t>
  </si>
  <si>
    <t>TRX-0408</t>
  </si>
  <si>
    <t>TRX-0409</t>
  </si>
  <si>
    <t>TRX-0410</t>
  </si>
  <si>
    <t>TRX-0411</t>
  </si>
  <si>
    <t>TRX-0412</t>
  </si>
  <si>
    <t>TRX-0413</t>
  </si>
  <si>
    <t>TRX-0414</t>
  </si>
  <si>
    <t>TRX-0415</t>
  </si>
  <si>
    <t>TRX-0416</t>
  </si>
  <si>
    <t>TRX-0417</t>
  </si>
  <si>
    <t>TRX-0418</t>
  </si>
  <si>
    <t>TRX-0419</t>
  </si>
  <si>
    <t>TRX-0420</t>
  </si>
  <si>
    <t>TRX-0421</t>
  </si>
  <si>
    <t>TRX-0422</t>
  </si>
  <si>
    <t>TRX-0423</t>
  </si>
  <si>
    <t>TRX-0424</t>
  </si>
  <si>
    <t>TRX-0425</t>
  </si>
  <si>
    <t>TRX-0426</t>
  </si>
  <si>
    <t>TRX-0427</t>
  </si>
  <si>
    <t>TRX-0428</t>
  </si>
  <si>
    <t>TRX-0429</t>
  </si>
  <si>
    <t>TRX-0430</t>
  </si>
  <si>
    <t>TRX-0431</t>
  </si>
  <si>
    <t>TRX-0432</t>
  </si>
  <si>
    <t>TRX-0433</t>
  </si>
  <si>
    <t>TRX-0434</t>
  </si>
  <si>
    <t>TRX-0435</t>
  </si>
  <si>
    <t>TRX-0436</t>
  </si>
  <si>
    <t>TRX-0437</t>
  </si>
  <si>
    <t>TRX-0438</t>
  </si>
  <si>
    <t>TRX-0439</t>
  </si>
  <si>
    <t>TRX-0440</t>
  </si>
  <si>
    <t>TRX-0441</t>
  </si>
  <si>
    <t>TRX-0442</t>
  </si>
  <si>
    <t>TRX-0443</t>
  </si>
  <si>
    <t>TRX-0444</t>
  </si>
  <si>
    <t>TRX-0445</t>
  </si>
  <si>
    <t>TRX-0446</t>
  </si>
  <si>
    <t>TRX-0447</t>
  </si>
  <si>
    <t>TRX-0448</t>
  </si>
  <si>
    <t>TRX-0449</t>
  </si>
  <si>
    <t>TRX-0450</t>
  </si>
  <si>
    <t>TRX-0451</t>
  </si>
  <si>
    <t>TRX-0452</t>
  </si>
  <si>
    <t>TRX-0453</t>
  </si>
  <si>
    <t>TRX-0454</t>
  </si>
  <si>
    <t>TRX-0455</t>
  </si>
  <si>
    <t>TRX-0456</t>
  </si>
  <si>
    <t>TRX-0457</t>
  </si>
  <si>
    <t>TRX-0458</t>
  </si>
  <si>
    <t>TRX-0459</t>
  </si>
  <si>
    <t>TRX-0460</t>
  </si>
  <si>
    <t>TRX-0461</t>
  </si>
  <si>
    <t>TRX-0462</t>
  </si>
  <si>
    <t>TRX-0463</t>
  </si>
  <si>
    <t>TRX-0464</t>
  </si>
  <si>
    <t>TRX-0465</t>
  </si>
  <si>
    <t>TRX-0466</t>
  </si>
  <si>
    <t>TRX-0467</t>
  </si>
  <si>
    <t>TRX-0468</t>
  </si>
  <si>
    <t>TRX-0469</t>
  </si>
  <si>
    <t>TRX-0470</t>
  </si>
  <si>
    <t>TRX-0471</t>
  </si>
  <si>
    <t>TRX-0472</t>
  </si>
  <si>
    <t>TRX-0473</t>
  </si>
  <si>
    <t>TRX-0474</t>
  </si>
  <si>
    <t>TRX-0475</t>
  </si>
  <si>
    <t>TRX-0476</t>
  </si>
  <si>
    <t>TRX-0477</t>
  </si>
  <si>
    <t>TRX-0478</t>
  </si>
  <si>
    <t>TRX-0479</t>
  </si>
  <si>
    <t>TRX-0480</t>
  </si>
  <si>
    <t>TRX-0481</t>
  </si>
  <si>
    <t>TRX-0482</t>
  </si>
  <si>
    <t>TRX-0483</t>
  </si>
  <si>
    <t>TRX-0484</t>
  </si>
  <si>
    <t>TRX-0485</t>
  </si>
  <si>
    <t>TRX-0486</t>
  </si>
  <si>
    <t>TRX-0487</t>
  </si>
  <si>
    <t>TRX-0488</t>
  </si>
  <si>
    <t>TRX-0489</t>
  </si>
  <si>
    <t>TRX-0490</t>
  </si>
  <si>
    <t>TRX-0491</t>
  </si>
  <si>
    <t>TRX-0492</t>
  </si>
  <si>
    <t>TRX-0493</t>
  </si>
  <si>
    <t>TRX-0494</t>
  </si>
  <si>
    <t>TRX-0495</t>
  </si>
  <si>
    <t>TRX-0496</t>
  </si>
  <si>
    <t>TRX-0497</t>
  </si>
  <si>
    <t>TRX-0498</t>
  </si>
  <si>
    <t>TRX-0499</t>
  </si>
  <si>
    <t>TRX-0500</t>
  </si>
  <si>
    <t>Grace Bello</t>
  </si>
  <si>
    <t>Musa Adeyemi</t>
  </si>
  <si>
    <t>Samuel Ogunleye</t>
  </si>
  <si>
    <t>Amina Ojo</t>
  </si>
  <si>
    <t>David Eze</t>
  </si>
  <si>
    <t>Ibrahim Bello</t>
  </si>
  <si>
    <t>Musa Ogunleye</t>
  </si>
  <si>
    <t>Grace Effiong</t>
  </si>
  <si>
    <t>Tunde Adeyemi</t>
  </si>
  <si>
    <t>Samuel Effiong</t>
  </si>
  <si>
    <t>Samuel Sani</t>
  </si>
  <si>
    <t>Tunde Obi</t>
  </si>
  <si>
    <t>Ngozi Okafor</t>
  </si>
  <si>
    <t>Grace Abdullahi</t>
  </si>
  <si>
    <t>Amina Effiong</t>
  </si>
  <si>
    <t>Amina Obi</t>
  </si>
  <si>
    <t>David Okafor</t>
  </si>
  <si>
    <t>Tunde Ojo</t>
  </si>
  <si>
    <t>Amina Abdullahi</t>
  </si>
  <si>
    <t>Ibrahim Obi</t>
  </si>
  <si>
    <t>Blessing Abdullahi</t>
  </si>
  <si>
    <t>Samuel Okafor</t>
  </si>
  <si>
    <t>Tunde Sani</t>
  </si>
  <si>
    <t>Musa Obi</t>
  </si>
  <si>
    <t>Samuel Eze</t>
  </si>
  <si>
    <t>Musa Sani</t>
  </si>
  <si>
    <t>Ngozi Sani</t>
  </si>
  <si>
    <t>David Ogunleye</t>
  </si>
  <si>
    <t>Blessing Ogunleye</t>
  </si>
  <si>
    <t>Ibrahim Sani</t>
  </si>
  <si>
    <t>Amina Adeyemi</t>
  </si>
  <si>
    <t>Ngozi Abdullahi</t>
  </si>
  <si>
    <t>Ibrahim Abdullahi</t>
  </si>
  <si>
    <t>Chinedu Sani</t>
  </si>
  <si>
    <t>Tunde Abdullahi</t>
  </si>
  <si>
    <t>David Effiong</t>
  </si>
  <si>
    <t>Blessing Ojo</t>
  </si>
  <si>
    <t>Grace Okafor</t>
  </si>
  <si>
    <t>Ngozi Adeyemi</t>
  </si>
  <si>
    <t>Amina Eze</t>
  </si>
  <si>
    <t>Musa Ojo</t>
  </si>
  <si>
    <t>Tunde Effiong</t>
  </si>
  <si>
    <t>Grace Ojo</t>
  </si>
  <si>
    <t>Amina Bello</t>
  </si>
  <si>
    <t>Grace Eze</t>
  </si>
  <si>
    <t>Amina Ogunleye</t>
  </si>
  <si>
    <t>Ibrahim Eze</t>
  </si>
  <si>
    <t>Samuel Ojo</t>
  </si>
  <si>
    <t>Chinedu Eze</t>
  </si>
  <si>
    <t>Musa Abdullahi</t>
  </si>
  <si>
    <t>Chinedu Obi</t>
  </si>
  <si>
    <t>Ngozi Ojo</t>
  </si>
  <si>
    <t>Samuel Obi</t>
  </si>
  <si>
    <t>Tunde Ogunleye</t>
  </si>
  <si>
    <t>Ibrahim Effiong</t>
  </si>
  <si>
    <t>David Adeyemi</t>
  </si>
  <si>
    <t>Chinedu Ojo</t>
  </si>
  <si>
    <t>Blessing Effiong</t>
  </si>
  <si>
    <t>Musa Okafor</t>
  </si>
  <si>
    <t>David Abdullahi</t>
  </si>
  <si>
    <t>Samuel Bello</t>
  </si>
  <si>
    <t>Ibrahim Adeyemi</t>
  </si>
  <si>
    <t>Chinedu Effiong</t>
  </si>
  <si>
    <t>Amina Sani</t>
  </si>
  <si>
    <t>Tunde Eze</t>
  </si>
  <si>
    <t>Chinedu Abdullahi</t>
  </si>
  <si>
    <t>Blessing Eze</t>
  </si>
  <si>
    <t>Ngozi Effiong</t>
  </si>
  <si>
    <t>Ibrahim Ogunleye</t>
  </si>
  <si>
    <t>Samuel Adeyemi</t>
  </si>
  <si>
    <t>Ibrahim Ojo</t>
  </si>
  <si>
    <t>Grace Ogunleye</t>
  </si>
  <si>
    <t>David Ojo</t>
  </si>
  <si>
    <t>Ngozi Eze</t>
  </si>
  <si>
    <t>Ngozi Ogunleye</t>
  </si>
  <si>
    <t>Amina Okafor</t>
  </si>
  <si>
    <t>Musa Bello</t>
  </si>
  <si>
    <t>Chinedu Ogunleye</t>
  </si>
  <si>
    <t>David Sani</t>
  </si>
  <si>
    <t>Ibrahim Okafor</t>
  </si>
  <si>
    <t>Chinedu Adeyemi</t>
  </si>
  <si>
    <t>Blessing Okafor</t>
  </si>
  <si>
    <t>Blessing Obi</t>
  </si>
  <si>
    <t>Musa Eze</t>
  </si>
  <si>
    <t>Chinedu Okafor</t>
  </si>
  <si>
    <t>Ngozi Bello</t>
  </si>
  <si>
    <t>Grace Obi</t>
  </si>
  <si>
    <t>Blessing Adeyemi</t>
  </si>
  <si>
    <t>David Bello</t>
  </si>
  <si>
    <t>Tunde Bello</t>
  </si>
  <si>
    <t>Blessing Bello</t>
  </si>
  <si>
    <t>Ngozi Obi</t>
  </si>
  <si>
    <t>David Obi</t>
  </si>
  <si>
    <t>Grace Adeyemi</t>
  </si>
  <si>
    <t>Chinedu Bello</t>
  </si>
  <si>
    <t>Grace Sani</t>
  </si>
  <si>
    <t>Samuel Abdullahi</t>
  </si>
  <si>
    <t>Musa Effiong</t>
  </si>
  <si>
    <t>Tunde Okafor</t>
  </si>
  <si>
    <t>Blessing Sani</t>
  </si>
  <si>
    <t>Female</t>
  </si>
  <si>
    <t>Male</t>
  </si>
  <si>
    <t>Residential Land</t>
  </si>
  <si>
    <t>Mixed-use Land</t>
  </si>
  <si>
    <t>Commercial Land</t>
  </si>
  <si>
    <t>Borno</t>
  </si>
  <si>
    <t>Abia</t>
  </si>
  <si>
    <t>Bauchi</t>
  </si>
  <si>
    <t>Nasarawa</t>
  </si>
  <si>
    <t>Adamawa</t>
  </si>
  <si>
    <t>Cross River</t>
  </si>
  <si>
    <t>Katsina</t>
  </si>
  <si>
    <t>Kano</t>
  </si>
  <si>
    <t>Akwa Ibom</t>
  </si>
  <si>
    <t>Kaduna</t>
  </si>
  <si>
    <t>Oyo</t>
  </si>
  <si>
    <t>Ondo</t>
  </si>
  <si>
    <t>Rivers</t>
  </si>
  <si>
    <t>Gombe</t>
  </si>
  <si>
    <t>Kogi</t>
  </si>
  <si>
    <t>Ogun</t>
  </si>
  <si>
    <t>Plateau</t>
  </si>
  <si>
    <t>Delta</t>
  </si>
  <si>
    <t>Anambra</t>
  </si>
  <si>
    <t>Kwara</t>
  </si>
  <si>
    <t>Enugu</t>
  </si>
  <si>
    <t>Jigawa</t>
  </si>
  <si>
    <t>Yobe</t>
  </si>
  <si>
    <t>Imo</t>
  </si>
  <si>
    <t>Zamfara</t>
  </si>
  <si>
    <t>Ebonyi</t>
  </si>
  <si>
    <t>Bayelsa</t>
  </si>
  <si>
    <t>Niger</t>
  </si>
  <si>
    <t>Taraba</t>
  </si>
  <si>
    <t>Sokoto</t>
  </si>
  <si>
    <t>Osun</t>
  </si>
  <si>
    <t>Ekiti</t>
  </si>
  <si>
    <t>FCT</t>
  </si>
  <si>
    <t>Lagos</t>
  </si>
  <si>
    <t>Kebbi</t>
  </si>
  <si>
    <t>Benue</t>
  </si>
  <si>
    <t>Edo</t>
  </si>
  <si>
    <t>North East</t>
  </si>
  <si>
    <t>South East</t>
  </si>
  <si>
    <t>North Central</t>
  </si>
  <si>
    <t>South South</t>
  </si>
  <si>
    <t>North West</t>
  </si>
  <si>
    <t>South West</t>
  </si>
  <si>
    <t>Calabar</t>
  </si>
  <si>
    <t>Uyo</t>
  </si>
  <si>
    <t>Abuja</t>
  </si>
  <si>
    <t>Ibadan</t>
  </si>
  <si>
    <t>Warri</t>
  </si>
  <si>
    <t>Port Harcourt</t>
  </si>
  <si>
    <t>Urban</t>
  </si>
  <si>
    <t>Semi-Urban</t>
  </si>
  <si>
    <t>Rural</t>
  </si>
  <si>
    <t>GreenField Estates</t>
  </si>
  <si>
    <t>GoldenPlots Nigeria</t>
  </si>
  <si>
    <t>PrimeLand Ltd</t>
  </si>
  <si>
    <t>MetroLand Developers</t>
  </si>
  <si>
    <t>UrbanEdge Realty</t>
  </si>
  <si>
    <t>Agent B</t>
  </si>
  <si>
    <t>Agent A</t>
  </si>
  <si>
    <t>Agent C</t>
  </si>
  <si>
    <t>Agent D</t>
  </si>
  <si>
    <t>Agent E</t>
  </si>
  <si>
    <t>Outright</t>
  </si>
  <si>
    <t>Installment</t>
  </si>
  <si>
    <t>2024-02-22</t>
  </si>
  <si>
    <t>2024-06-23</t>
  </si>
  <si>
    <t>2024-11-17</t>
  </si>
  <si>
    <t>2024-12-15</t>
  </si>
  <si>
    <t>2024-10-17</t>
  </si>
  <si>
    <t>2024-09-17</t>
  </si>
  <si>
    <t>2024-10-01</t>
  </si>
  <si>
    <t>2024-03-23</t>
  </si>
  <si>
    <t>2024-09-29</t>
  </si>
  <si>
    <t>2024-01-11</t>
  </si>
  <si>
    <t>2024-10-19</t>
  </si>
  <si>
    <t>2024-08-17</t>
  </si>
  <si>
    <t>2024-03-25</t>
  </si>
  <si>
    <t>2024-09-01</t>
  </si>
  <si>
    <t>2024-10-25</t>
  </si>
  <si>
    <t>2024-04-19</t>
  </si>
  <si>
    <t>2024-02-29</t>
  </si>
  <si>
    <t>2024-03-07</t>
  </si>
  <si>
    <t>2024-01-21</t>
  </si>
  <si>
    <t>2024-12-25</t>
  </si>
  <si>
    <t>2024-01-01</t>
  </si>
  <si>
    <t>2024-07-13</t>
  </si>
  <si>
    <t>2024-03-27</t>
  </si>
  <si>
    <t>2024-07-15</t>
  </si>
  <si>
    <t>2024-12-07</t>
  </si>
  <si>
    <t>2024-05-26</t>
  </si>
  <si>
    <t>2024-07-18</t>
  </si>
  <si>
    <t>2024-07-26</t>
  </si>
  <si>
    <t>2024-05-02</t>
  </si>
  <si>
    <t>2024-02-08</t>
  </si>
  <si>
    <t>2024-09-07</t>
  </si>
  <si>
    <t>2024-02-14</t>
  </si>
  <si>
    <t>2024-05-03</t>
  </si>
  <si>
    <t>2024-10-08</t>
  </si>
  <si>
    <t>2024-05-31</t>
  </si>
  <si>
    <t>2024-01-27</t>
  </si>
  <si>
    <t>2024-10-09</t>
  </si>
  <si>
    <t>2024-11-16</t>
  </si>
  <si>
    <t>2024-06-04</t>
  </si>
  <si>
    <t>2024-09-22</t>
  </si>
  <si>
    <t>2024-03-01</t>
  </si>
  <si>
    <t>2024-07-31</t>
  </si>
  <si>
    <t>2024-12-23</t>
  </si>
  <si>
    <t>2024-08-13</t>
  </si>
  <si>
    <t>2024-09-06</t>
  </si>
  <si>
    <t>2024-07-10</t>
  </si>
  <si>
    <t>2024-05-10</t>
  </si>
  <si>
    <t>2024-09-04</t>
  </si>
  <si>
    <t>2024-11-21</t>
  </si>
  <si>
    <t>2024-10-03</t>
  </si>
  <si>
    <t>2024-07-07</t>
  </si>
  <si>
    <t>2024-11-11</t>
  </si>
  <si>
    <t>2024-08-20</t>
  </si>
  <si>
    <t>2024-03-15</t>
  </si>
  <si>
    <t>2024-07-04</t>
  </si>
  <si>
    <t>2024-08-15</t>
  </si>
  <si>
    <t>2024-11-29</t>
  </si>
  <si>
    <t>2024-08-09</t>
  </si>
  <si>
    <t>2024-03-20</t>
  </si>
  <si>
    <t>2024-06-07</t>
  </si>
  <si>
    <t>2024-06-15</t>
  </si>
  <si>
    <t>2024-02-26</t>
  </si>
  <si>
    <t>2024-08-08</t>
  </si>
  <si>
    <t>2024-02-28</t>
  </si>
  <si>
    <t>2024-09-18</t>
  </si>
  <si>
    <t>2024-03-29</t>
  </si>
  <si>
    <t>2024-07-16</t>
  </si>
  <si>
    <t>2024-12-16</t>
  </si>
  <si>
    <t>2024-11-08</t>
  </si>
  <si>
    <t>2024-11-05</t>
  </si>
  <si>
    <t>2024-06-27</t>
  </si>
  <si>
    <t>2024-08-29</t>
  </si>
  <si>
    <t>2024-08-02</t>
  </si>
  <si>
    <t>2024-07-03</t>
  </si>
  <si>
    <t>2024-11-25</t>
  </si>
  <si>
    <t>2024-02-10</t>
  </si>
  <si>
    <t>2024-06-29</t>
  </si>
  <si>
    <t>2024-08-16</t>
  </si>
  <si>
    <t>2024-12-24</t>
  </si>
  <si>
    <t>2024-07-22</t>
  </si>
  <si>
    <t>2024-10-24</t>
  </si>
  <si>
    <t>2024-10-14</t>
  </si>
  <si>
    <t>2024-09-20</t>
  </si>
  <si>
    <t>2024-11-09</t>
  </si>
  <si>
    <t>2024-12-18</t>
  </si>
  <si>
    <t>2024-05-04</t>
  </si>
  <si>
    <t>2024-05-22</t>
  </si>
  <si>
    <t>2024-12-08</t>
  </si>
  <si>
    <t>2024-05-27</t>
  </si>
  <si>
    <t>2024-06-21</t>
  </si>
  <si>
    <t>2024-06-17</t>
  </si>
  <si>
    <t>2024-03-09</t>
  </si>
  <si>
    <t>2024-02-27</t>
  </si>
  <si>
    <t>2024-09-19</t>
  </si>
  <si>
    <t>2024-01-31</t>
  </si>
  <si>
    <t>2024-09-27</t>
  </si>
  <si>
    <t>2024-01-29</t>
  </si>
  <si>
    <t>2024-10-29</t>
  </si>
  <si>
    <t>2024-12-28</t>
  </si>
  <si>
    <t>2024-04-07</t>
  </si>
  <si>
    <t>2024-08-28</t>
  </si>
  <si>
    <t>2024-11-24</t>
  </si>
  <si>
    <t>2024-03-17</t>
  </si>
  <si>
    <t>2024-05-23</t>
  </si>
  <si>
    <t>2024-07-11</t>
  </si>
  <si>
    <t>2024-06-06</t>
  </si>
  <si>
    <t>2024-05-21</t>
  </si>
  <si>
    <t>2024-07-05</t>
  </si>
  <si>
    <t>2024-05-07</t>
  </si>
  <si>
    <t>2024-07-19</t>
  </si>
  <si>
    <t>2024-12-22</t>
  </si>
  <si>
    <t>2024-12-27</t>
  </si>
  <si>
    <t>2024-08-04</t>
  </si>
  <si>
    <t>2024-12-29</t>
  </si>
  <si>
    <t>2024-05-17</t>
  </si>
  <si>
    <t>2024-10-28</t>
  </si>
  <si>
    <t>2024-02-17</t>
  </si>
  <si>
    <t>2024-09-10</t>
  </si>
  <si>
    <t>2024-02-18</t>
  </si>
  <si>
    <t>2024-03-18</t>
  </si>
  <si>
    <t>2024-06-03</t>
  </si>
  <si>
    <t>2024-10-18</t>
  </si>
  <si>
    <t>2024-08-10</t>
  </si>
  <si>
    <t>2024-06-12</t>
  </si>
  <si>
    <t>2024-04-12</t>
  </si>
  <si>
    <t>2024-09-23</t>
  </si>
  <si>
    <t>2024-06-16</t>
  </si>
  <si>
    <t>2024-03-02</t>
  </si>
  <si>
    <t>2024-08-19</t>
  </si>
  <si>
    <t>2024-11-26</t>
  </si>
  <si>
    <t>2024-05-20</t>
  </si>
  <si>
    <t>2024-06-11</t>
  </si>
  <si>
    <t>2024-04-22</t>
  </si>
  <si>
    <t>2024-07-12</t>
  </si>
  <si>
    <t>2024-03-26</t>
  </si>
  <si>
    <t>2024-09-02</t>
  </si>
  <si>
    <t>2024-11-10</t>
  </si>
  <si>
    <t>2024-07-20</t>
  </si>
  <si>
    <t>2024-10-15</t>
  </si>
  <si>
    <t>2024-12-31</t>
  </si>
  <si>
    <t>2024-02-04</t>
  </si>
  <si>
    <t>2024-12-19</t>
  </si>
  <si>
    <t>2024-08-14</t>
  </si>
  <si>
    <t>2024-10-27</t>
  </si>
  <si>
    <t>2024-12-12</t>
  </si>
  <si>
    <t>2024-07-14</t>
  </si>
  <si>
    <t>2024-01-30</t>
  </si>
  <si>
    <t>2024-01-24</t>
  </si>
  <si>
    <t>2024-03-08</t>
  </si>
  <si>
    <t>2024-08-01</t>
  </si>
  <si>
    <t>2024-02-23</t>
  </si>
  <si>
    <t>2024-04-30</t>
  </si>
  <si>
    <t>2024-08-21</t>
  </si>
  <si>
    <t>2024-07-02</t>
  </si>
  <si>
    <t>2024-06-10</t>
  </si>
  <si>
    <t>2024-04-24</t>
  </si>
  <si>
    <t>2024-03-12</t>
  </si>
  <si>
    <t>2024-01-25</t>
  </si>
  <si>
    <t>2024-06-24</t>
  </si>
  <si>
    <t>2024-01-28</t>
  </si>
  <si>
    <t>2024-11-27</t>
  </si>
  <si>
    <t>2024-01-03</t>
  </si>
  <si>
    <t>2024-09-15</t>
  </si>
  <si>
    <t>2024-06-26</t>
  </si>
  <si>
    <t>2024-04-08</t>
  </si>
  <si>
    <t>2024-08-23</t>
  </si>
  <si>
    <t>2024-09-30</t>
  </si>
  <si>
    <t>2024-06-25</t>
  </si>
  <si>
    <t>2024-04-11</t>
  </si>
  <si>
    <t>2024-04-01</t>
  </si>
  <si>
    <t>2024-06-18</t>
  </si>
  <si>
    <t>2024-03-16</t>
  </si>
  <si>
    <t>2024-07-29</t>
  </si>
  <si>
    <t>2024-09-28</t>
  </si>
  <si>
    <t>2024-01-04</t>
  </si>
  <si>
    <t>2024-07-08</t>
  </si>
  <si>
    <t>2024-02-05</t>
  </si>
  <si>
    <t>2024-09-14</t>
  </si>
  <si>
    <t>2024-05-12</t>
  </si>
  <si>
    <t>2024-06-09</t>
  </si>
  <si>
    <t>2024-10-21</t>
  </si>
  <si>
    <t>2024-12-13</t>
  </si>
  <si>
    <t>2024-02-06</t>
  </si>
  <si>
    <t>2024-03-05</t>
  </si>
  <si>
    <t>2024-03-31</t>
  </si>
  <si>
    <t>2024-03-10</t>
  </si>
  <si>
    <t>2024-05-19</t>
  </si>
  <si>
    <t>2024-04-21</t>
  </si>
  <si>
    <t>2024-05-08</t>
  </si>
  <si>
    <t>2024-01-22</t>
  </si>
  <si>
    <t>2024-02-24</t>
  </si>
  <si>
    <t>2024-09-16</t>
  </si>
  <si>
    <t>2024-06-14</t>
  </si>
  <si>
    <t>2024-05-11</t>
  </si>
  <si>
    <t>2024-05-16</t>
  </si>
  <si>
    <t>2024-10-12</t>
  </si>
  <si>
    <t>2024-11-01</t>
  </si>
  <si>
    <t>2024-07-01</t>
  </si>
  <si>
    <t>2024-10-22</t>
  </si>
  <si>
    <t>2024-10-16</t>
  </si>
  <si>
    <t>2024-05-14</t>
  </si>
  <si>
    <t>2024-04-29</t>
  </si>
  <si>
    <t>2024-10-06</t>
  </si>
  <si>
    <t>2024-12-04</t>
  </si>
  <si>
    <t>2024-08-22</t>
  </si>
  <si>
    <t>2024-09-13</t>
  </si>
  <si>
    <t>2024-10-20</t>
  </si>
  <si>
    <t>2024-04-04</t>
  </si>
  <si>
    <t>2024-08-30</t>
  </si>
  <si>
    <t>2024-08-06</t>
  </si>
  <si>
    <t>2024-09-21</t>
  </si>
  <si>
    <t>2024-10-26</t>
  </si>
  <si>
    <t>2024-03-04</t>
  </si>
  <si>
    <t>2024-09-09</t>
  </si>
  <si>
    <t>2024-10-23</t>
  </si>
  <si>
    <t>2024-02-25</t>
  </si>
  <si>
    <t>2024-06-22</t>
  </si>
  <si>
    <t>2024-09-25</t>
  </si>
  <si>
    <t>2024-01-08</t>
  </si>
  <si>
    <t>2024-12-11</t>
  </si>
  <si>
    <t>2024-08-31</t>
  </si>
  <si>
    <t>2024-11-13</t>
  </si>
  <si>
    <t>2024-12-30</t>
  </si>
  <si>
    <t>2024-02-16</t>
  </si>
  <si>
    <t>2024-02-15</t>
  </si>
  <si>
    <t>2024-09-26</t>
  </si>
  <si>
    <t>2024-12-02</t>
  </si>
  <si>
    <t>2024-11-22</t>
  </si>
  <si>
    <t>2024-08-24</t>
  </si>
  <si>
    <t>2024-08-27</t>
  </si>
  <si>
    <t>2024-09-08</t>
  </si>
  <si>
    <t>2024-05-28</t>
  </si>
  <si>
    <t>2024-01-13</t>
  </si>
  <si>
    <t>2024-02-19</t>
  </si>
  <si>
    <t>2024-11-19</t>
  </si>
  <si>
    <t>2024-05-18</t>
  </si>
  <si>
    <t>2024-09-05</t>
  </si>
  <si>
    <t>2024-09-24</t>
  </si>
  <si>
    <t>2024-01-09</t>
  </si>
  <si>
    <t>2024-07-06</t>
  </si>
  <si>
    <t>2024-04-25</t>
  </si>
  <si>
    <t>2024-12-20</t>
  </si>
  <si>
    <t>2024-10-07</t>
  </si>
  <si>
    <t>2024-01-18</t>
  </si>
  <si>
    <t>2024-04-09</t>
  </si>
  <si>
    <t>2024-08-05</t>
  </si>
  <si>
    <t>2024-03-24</t>
  </si>
  <si>
    <t>2024-04-15</t>
  </si>
  <si>
    <t>2024-02-20</t>
  </si>
  <si>
    <t>2024-02-01</t>
  </si>
  <si>
    <t>2024-01-12</t>
  </si>
  <si>
    <t>2024-06-02</t>
  </si>
  <si>
    <t>2024-05-05</t>
  </si>
  <si>
    <t>2024-11-06</t>
  </si>
  <si>
    <t>2024-05-13</t>
  </si>
  <si>
    <t>2024-05-15</t>
  </si>
  <si>
    <t>2024-08-11</t>
  </si>
  <si>
    <t>2024-11-30</t>
  </si>
  <si>
    <t>2024-04-05</t>
  </si>
  <si>
    <t>2024-03-21</t>
  </si>
  <si>
    <t>2024-08-12</t>
  </si>
  <si>
    <t>2024-03-11</t>
  </si>
  <si>
    <t>2024-01-17</t>
  </si>
  <si>
    <t>2024-03-13</t>
  </si>
  <si>
    <t>2024-10-11</t>
  </si>
  <si>
    <t>2024-07-21</t>
  </si>
  <si>
    <t>2024-01-02</t>
  </si>
  <si>
    <t>2024-11-03</t>
  </si>
  <si>
    <t>2024-12-10</t>
  </si>
  <si>
    <t>2024-02-11</t>
  </si>
  <si>
    <t>2024-11-15</t>
  </si>
  <si>
    <t>2024-12-21</t>
  </si>
  <si>
    <t>2024-04-06</t>
  </si>
  <si>
    <t>2024-09-12</t>
  </si>
  <si>
    <t>2024-02-12</t>
  </si>
  <si>
    <t>2024-04-10</t>
  </si>
  <si>
    <t>2024-08-07</t>
  </si>
  <si>
    <t>2024-12-06</t>
  </si>
  <si>
    <t>2024-01-05</t>
  </si>
  <si>
    <t>2024-03-03</t>
  </si>
  <si>
    <t>2024-02-02</t>
  </si>
  <si>
    <t>2024-11-02</t>
  </si>
  <si>
    <t>2024-01-23</t>
  </si>
  <si>
    <t>2024-07-23</t>
  </si>
  <si>
    <t>2024-03-19</t>
  </si>
  <si>
    <t>2024-01-06</t>
  </si>
  <si>
    <t>February</t>
  </si>
  <si>
    <t>June</t>
  </si>
  <si>
    <t>November</t>
  </si>
  <si>
    <t>December</t>
  </si>
  <si>
    <t>October</t>
  </si>
  <si>
    <t>September</t>
  </si>
  <si>
    <t>March</t>
  </si>
  <si>
    <t>January</t>
  </si>
  <si>
    <t>August</t>
  </si>
  <si>
    <t>April</t>
  </si>
  <si>
    <t>July</t>
  </si>
  <si>
    <t>May</t>
  </si>
  <si>
    <t>Online</t>
  </si>
  <si>
    <t>Billboard</t>
  </si>
  <si>
    <t>Agent</t>
  </si>
  <si>
    <t>Referral</t>
  </si>
  <si>
    <t>Developer</t>
  </si>
  <si>
    <t>First-time Buyer</t>
  </si>
  <si>
    <t>Investor</t>
  </si>
  <si>
    <t>Completed</t>
  </si>
  <si>
    <t>Cancelled</t>
  </si>
  <si>
    <t>Pending</t>
  </si>
  <si>
    <t>Revenue</t>
  </si>
  <si>
    <t>Discount 2</t>
  </si>
  <si>
    <t>Grand Total</t>
  </si>
  <si>
    <t>Sum of Revenue</t>
  </si>
  <si>
    <t>Real Estate Company</t>
  </si>
  <si>
    <t>Count of Transaction_ID</t>
  </si>
  <si>
    <t>Payment type</t>
  </si>
  <si>
    <t>Sum of Land_Size_SQM</t>
  </si>
  <si>
    <t>Average of Land_Size_SQM2</t>
  </si>
  <si>
    <t>Sum of Price_per_SQM</t>
  </si>
  <si>
    <t>Average of Price_per_SQM2</t>
  </si>
  <si>
    <t>Property type</t>
  </si>
  <si>
    <t>Sum of Initial_Deposit</t>
  </si>
  <si>
    <t>DATA SUMMARIZATION</t>
  </si>
  <si>
    <t>Average of Revenue2</t>
  </si>
  <si>
    <t>MISSING VALUE</t>
  </si>
  <si>
    <t>Column Labels</t>
  </si>
  <si>
    <t>Count of Customer_Type</t>
  </si>
  <si>
    <t>Customer type</t>
  </si>
  <si>
    <t>Marketing Channel</t>
  </si>
  <si>
    <t>MULTI DIMENSIONAL ANALYSIS</t>
  </si>
  <si>
    <t>Property types</t>
  </si>
  <si>
    <t>Area type</t>
  </si>
  <si>
    <t>Sum of Total_Price</t>
  </si>
  <si>
    <t>PRICE AND LAND ANALYSIS</t>
  </si>
  <si>
    <t>Land size</t>
  </si>
  <si>
    <t>Average of Price_per_SQM</t>
  </si>
  <si>
    <t>Average of Land_Size_SQM</t>
  </si>
  <si>
    <t>TIME BASE ANALYSIS</t>
  </si>
  <si>
    <t>Sum of Installment_Duration</t>
  </si>
  <si>
    <t>MARKETING AND CHANNEL ANALYSIS</t>
  </si>
  <si>
    <t>CONDITIONAL CALCULATIONS (BASICS)</t>
  </si>
  <si>
    <t>High Value</t>
  </si>
  <si>
    <t>Low Value</t>
  </si>
  <si>
    <t>Moderate Value</t>
  </si>
  <si>
    <t>Total price Classification</t>
  </si>
  <si>
    <t>200-464</t>
  </si>
  <si>
    <t>465-729</t>
  </si>
  <si>
    <t>730-994</t>
  </si>
  <si>
    <t>SMALL</t>
  </si>
  <si>
    <t>MEDIUM</t>
  </si>
  <si>
    <t>LARGE</t>
  </si>
  <si>
    <t>ADVANCED CONDITIONAL ANALYSIS</t>
  </si>
  <si>
    <t>PROPERTY TYPE</t>
  </si>
  <si>
    <t>REGION</t>
  </si>
  <si>
    <t>Mixed-Use Land</t>
  </si>
  <si>
    <t>Discount &gt;5%</t>
  </si>
  <si>
    <t>NO</t>
  </si>
  <si>
    <t>YES</t>
  </si>
  <si>
    <t>Customer Spending Behaviour</t>
  </si>
  <si>
    <t>CUSTOMER BEHAVIOUR ANALYSIS</t>
  </si>
  <si>
    <t>20-29</t>
  </si>
  <si>
    <t>30-39</t>
  </si>
  <si>
    <t>40-49</t>
  </si>
  <si>
    <t>50-59</t>
  </si>
  <si>
    <t>60-69</t>
  </si>
  <si>
    <t>Average of Satisfaction_Rating</t>
  </si>
  <si>
    <t>Revenue Classification</t>
  </si>
  <si>
    <t>Land Size Category</t>
  </si>
  <si>
    <t>EXPLORATORY DATA ANALYSIS</t>
  </si>
  <si>
    <t>Customer types</t>
  </si>
  <si>
    <t>Payment types</t>
  </si>
  <si>
    <t>Count of Payment_Type</t>
  </si>
  <si>
    <t>GROUPING, SORTING AND FILTERING</t>
  </si>
  <si>
    <t xml:space="preserve">Transaction ID </t>
  </si>
  <si>
    <t>TOP 5 TRANSACTIONS AND REGION</t>
  </si>
  <si>
    <t>Total Sum of Revenue</t>
  </si>
  <si>
    <t>Total Count of Payment_Type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</si>
</sst>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6A]#,##0"/>
  </numFmts>
  <fonts count="9"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b/>
      <sz val="20"/>
      <color theme="1"/>
      <name val="Calibri"/>
      <family val="2"/>
      <scheme val="minor"/>
    </font>
    <font>
      <sz val="11"/>
      <color rgb="FF006100"/>
      <name val="Calibri"/>
      <family val="2"/>
      <scheme val="minor"/>
    </font>
    <font>
      <b/>
      <sz val="22"/>
      <color theme="1"/>
      <name val="Calibri"/>
      <family val="2"/>
      <scheme val="minor"/>
    </font>
    <font>
      <sz val="11"/>
      <color rgb="FF9C0006"/>
      <name val="Calibri"/>
      <family val="2"/>
      <scheme val="minor"/>
    </font>
    <font>
      <b/>
      <sz val="12"/>
      <color theme="1"/>
      <name val="Calibri"/>
      <family val="2"/>
      <scheme val="minor"/>
    </font>
  </fonts>
  <fills count="5">
    <fill>
      <patternFill patternType="none"/>
    </fill>
    <fill>
      <patternFill patternType="gray125"/>
    </fill>
    <fill>
      <patternFill patternType="solid">
        <fgColor theme="9"/>
        <bgColor theme="9"/>
      </patternFill>
    </fill>
    <fill>
      <patternFill patternType="solid">
        <fgColor rgb="FFC6EFCE"/>
      </patternFill>
    </fill>
    <fill>
      <patternFill patternType="solid">
        <fgColor rgb="FFFFC7CE"/>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4">
    <xf numFmtId="0" fontId="0" fillId="0" borderId="0"/>
    <xf numFmtId="9" fontId="2" fillId="0" borderId="0" applyFont="0" applyFill="0" applyBorder="0" applyAlignment="0" applyProtection="0"/>
    <xf numFmtId="0" fontId="5" fillId="3" borderId="0" applyNumberFormat="0" applyBorder="0" applyAlignment="0" applyProtection="0"/>
    <xf numFmtId="0" fontId="7" fillId="4" borderId="0" applyNumberFormat="0" applyBorder="0" applyAlignment="0" applyProtection="0"/>
  </cellStyleXfs>
  <cellXfs count="22">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3" fillId="2" borderId="1" xfId="0" applyFont="1" applyFill="1" applyBorder="1" applyAlignment="1">
      <alignment horizontal="left" vertical="top"/>
    </xf>
    <xf numFmtId="164" fontId="0" fillId="0" borderId="0" xfId="0" applyNumberFormat="1"/>
    <xf numFmtId="2" fontId="0" fillId="0" borderId="0" xfId="0" applyNumberFormat="1"/>
    <xf numFmtId="14" fontId="0" fillId="0" borderId="0" xfId="0" applyNumberFormat="1"/>
    <xf numFmtId="2" fontId="0" fillId="0" borderId="0" xfId="1" applyNumberFormat="1" applyFont="1"/>
    <xf numFmtId="10"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64" fontId="5" fillId="3" borderId="0" xfId="0" applyNumberFormat="1" applyFont="1" applyFill="1"/>
    <xf numFmtId="1" fontId="0" fillId="0" borderId="0" xfId="0" applyNumberFormat="1"/>
    <xf numFmtId="164" fontId="5" fillId="3" borderId="0" xfId="2" applyNumberFormat="1"/>
    <xf numFmtId="164" fontId="7" fillId="4" borderId="0" xfId="3" applyNumberFormat="1"/>
    <xf numFmtId="1" fontId="5" fillId="3" borderId="0" xfId="0" applyNumberFormat="1" applyFont="1" applyFill="1"/>
    <xf numFmtId="1" fontId="0" fillId="0" borderId="0" xfId="0" applyNumberFormat="1" applyAlignment="1">
      <alignment horizontal="right"/>
    </xf>
    <xf numFmtId="0" fontId="5" fillId="3" borderId="0" xfId="0" applyFont="1" applyFill="1"/>
    <xf numFmtId="0" fontId="8" fillId="0" borderId="0" xfId="0" applyFont="1" applyAlignment="1">
      <alignment horizontal="center" vertical="center"/>
    </xf>
    <xf numFmtId="0" fontId="4" fillId="0" borderId="0" xfId="0" applyFont="1" applyAlignment="1">
      <alignment horizontal="center" vertical="center"/>
    </xf>
    <xf numFmtId="0" fontId="6" fillId="0" borderId="0" xfId="0" applyFont="1" applyAlignment="1">
      <alignment horizontal="center" vertical="center"/>
    </xf>
  </cellXfs>
  <cellStyles count="4">
    <cellStyle name="Bad" xfId="3" builtinId="27"/>
    <cellStyle name="Good" xfId="2" builtinId="26"/>
    <cellStyle name="Normal" xfId="0" builtinId="0"/>
    <cellStyle name="Percent" xfId="1" builtinId="5"/>
  </cellStyles>
  <dxfs count="90">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4" formatCode="[$₦-46A]#,##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4" formatCode="[$₦-46A]#,##0"/>
    </dxf>
    <dxf>
      <numFmt numFmtId="1" formatCode="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4" formatCode="[$₦-46A]#,##0"/>
    </dxf>
    <dxf>
      <numFmt numFmtId="1" formatCode="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 formatCode="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4" formatCode="[$₦-46A]#,##0"/>
    </dxf>
    <dxf>
      <numFmt numFmtId="164" formatCode="[$₦-46A]#,##0"/>
    </dxf>
    <dxf>
      <alignment horizontal="right"/>
    </dxf>
    <dxf>
      <alignment vertical="bottom"/>
    </dxf>
    <dxf>
      <font>
        <b val="0"/>
      </font>
    </dxf>
    <dxf>
      <alignment horizontal="center"/>
    </dxf>
    <dxf>
      <alignment vertical="center"/>
    </dxf>
    <dxf>
      <font>
        <b/>
      </font>
    </dxf>
    <dxf>
      <numFmt numFmtId="1" formatCode="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4" formatCode="[$₦-46A]#,##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4" formatCode="[$₦-46A]#,##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4" formatCode="[$₦-46A]#,##0"/>
    </dxf>
    <dxf>
      <numFmt numFmtId="1" formatCode="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4" formatCode="[$₦-46A]#,##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 formatCode="0"/>
    </dxf>
    <dxf>
      <numFmt numFmtId="2" formatCode="0.00"/>
    </dxf>
    <dxf>
      <numFmt numFmtId="2" formatCode="0.00"/>
    </dxf>
    <dxf>
      <numFmt numFmtId="164" formatCode="[$₦-46A]#,##0"/>
    </dxf>
    <dxf>
      <numFmt numFmtId="0" formatCode="General"/>
    </dxf>
    <dxf>
      <numFmt numFmtId="0" formatCode="General"/>
    </dxf>
    <dxf>
      <numFmt numFmtId="164" formatCode="[$₦-46A]#,##0"/>
    </dxf>
    <dxf>
      <numFmt numFmtId="164" formatCode="[$₦-46A]#,##0"/>
    </dxf>
    <dxf>
      <numFmt numFmtId="19" formatCode="m/d/yyyy"/>
    </dxf>
    <dxf>
      <font>
        <b val="0"/>
        <i val="0"/>
        <strike val="0"/>
        <condense val="0"/>
        <extend val="0"/>
        <outline val="0"/>
        <shadow val="0"/>
        <u val="none"/>
        <vertAlign val="baseline"/>
        <sz val="11"/>
        <color theme="1"/>
        <name val="Calibri"/>
        <family val="2"/>
        <scheme val="minor"/>
      </font>
      <numFmt numFmtId="14" formatCode="0.00%"/>
    </dxf>
    <dxf>
      <numFmt numFmtId="2" formatCode="0.00"/>
    </dxf>
    <dxf>
      <numFmt numFmtId="164" formatCode="[$₦-46A]#,##0"/>
    </dxf>
    <dxf>
      <numFmt numFmtId="164" formatCode="[$₦-46A]#,##0"/>
    </dxf>
    <dxf>
      <numFmt numFmtId="164" formatCode="[$₦-46A]#,##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46A]#,##0"/>
    </dxf>
    <dxf>
      <numFmt numFmtId="0" formatCode="General"/>
    </dxf>
    <dxf>
      <numFmt numFmtId="0" formatCode="General"/>
    </dxf>
    <dxf>
      <numFmt numFmtId="164" formatCode="[$₦-46A]#,##0"/>
    </dxf>
    <dxf>
      <numFmt numFmtId="164" formatCode="[$₦-46A]#,##0"/>
    </dxf>
    <dxf>
      <numFmt numFmtId="19" formatCode="m/d/yyyy"/>
    </dxf>
    <dxf>
      <font>
        <b val="0"/>
        <i val="0"/>
        <strike val="0"/>
        <condense val="0"/>
        <extend val="0"/>
        <outline val="0"/>
        <shadow val="0"/>
        <u val="none"/>
        <vertAlign val="baseline"/>
        <sz val="11"/>
        <color theme="1"/>
        <name val="Calibri"/>
        <family val="2"/>
        <scheme val="minor"/>
      </font>
      <numFmt numFmtId="14" formatCode="0.00%"/>
    </dxf>
    <dxf>
      <numFmt numFmtId="2" formatCode="0.00"/>
    </dxf>
    <dxf>
      <numFmt numFmtId="164" formatCode="[$₦-46A]#,##0"/>
    </dxf>
    <dxf>
      <numFmt numFmtId="164" formatCode="[$₦-46A]#,##0"/>
    </dxf>
    <dxf>
      <numFmt numFmtId="164" formatCode="[$₦-46A]#,##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CC0097"/>
      <color rgb="FF66FFFF"/>
      <color rgb="FF155F43"/>
      <color rgb="FF1C4B58"/>
      <color rgb="FFD23A36"/>
      <color rgb="FFCE5A3A"/>
      <color rgb="FFCB5433"/>
      <color rgb="FFC76361"/>
      <color rgb="FFD38583"/>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Real Estate Project.xlsx]Sheet3!PivotTable2</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 Revenue by Real</a:t>
            </a:r>
            <a:r>
              <a:rPr lang="en-US" b="1" baseline="0">
                <a:solidFill>
                  <a:schemeClr val="tx1"/>
                </a:solidFill>
              </a:rPr>
              <a:t> Estate Company</a:t>
            </a:r>
            <a:endParaRPr lang="en-US" b="1">
              <a:solidFill>
                <a:schemeClr val="tx1"/>
              </a:solidFill>
            </a:endParaRPr>
          </a:p>
        </c:rich>
      </c:tx>
      <c:layout>
        <c:manualLayout>
          <c:xMode val="edge"/>
          <c:yMode val="edge"/>
          <c:x val="0.29528392284297794"/>
          <c:y val="9.852659146083560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60000"/>
              <a:lumOff val="40000"/>
            </a:schemeClr>
          </a:solidFill>
          <a:ln>
            <a:noFill/>
          </a:ln>
          <a:effectLst/>
        </c:spPr>
      </c:pivotFmt>
      <c:pivotFmt>
        <c:idx val="4"/>
        <c:spPr>
          <a:solidFill>
            <a:srgbClr val="FFC000"/>
          </a:solidFill>
          <a:ln>
            <a:noFill/>
          </a:ln>
          <a:effectLst/>
        </c:spPr>
      </c:pivotFmt>
      <c:pivotFmt>
        <c:idx val="5"/>
        <c:spPr>
          <a:solidFill>
            <a:srgbClr val="00B050"/>
          </a:solidFill>
          <a:ln>
            <a:noFill/>
          </a:ln>
          <a:effectLst/>
        </c:spPr>
      </c:pivotFmt>
      <c:pivotFmt>
        <c:idx val="6"/>
        <c:spPr>
          <a:solidFill>
            <a:srgbClr val="7030A0"/>
          </a:solidFill>
          <a:ln>
            <a:noFill/>
          </a:ln>
          <a:effectLst/>
        </c:spPr>
      </c:pivotFmt>
      <c:pivotFmt>
        <c:idx val="7"/>
        <c:spPr>
          <a:solidFill>
            <a:schemeClr val="accent6">
              <a:lumMod val="75000"/>
            </a:schemeClr>
          </a:solidFill>
          <a:ln>
            <a:noFill/>
          </a:ln>
          <a:effectLst/>
        </c:spPr>
      </c:pivotFmt>
    </c:pivotFmts>
    <c:plotArea>
      <c:layout/>
      <c:barChart>
        <c:barDir val="bar"/>
        <c:grouping val="clustered"/>
        <c:varyColors val="0"/>
        <c:ser>
          <c:idx val="0"/>
          <c:order val="0"/>
          <c:tx>
            <c:strRef>
              <c:f>Sheet3!$H$26</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5-3D5A-4F20-B9CB-46E48324047A}"/>
              </c:ext>
            </c:extLst>
          </c:dPt>
          <c:dPt>
            <c:idx val="1"/>
            <c:invertIfNegative val="0"/>
            <c:bubble3D val="0"/>
            <c:spPr>
              <a:solidFill>
                <a:srgbClr val="7030A0"/>
              </a:solidFill>
              <a:ln>
                <a:noFill/>
              </a:ln>
              <a:effectLst/>
            </c:spPr>
            <c:extLst>
              <c:ext xmlns:c16="http://schemas.microsoft.com/office/drawing/2014/chart" uri="{C3380CC4-5D6E-409C-BE32-E72D297353CC}">
                <c16:uniqueId val="{00000004-3D5A-4F20-B9CB-46E48324047A}"/>
              </c:ext>
            </c:extLst>
          </c:dPt>
          <c:dPt>
            <c:idx val="2"/>
            <c:invertIfNegative val="0"/>
            <c:bubble3D val="0"/>
            <c:spPr>
              <a:solidFill>
                <a:srgbClr val="00B050"/>
              </a:solidFill>
              <a:ln>
                <a:noFill/>
              </a:ln>
              <a:effectLst/>
            </c:spPr>
            <c:extLst>
              <c:ext xmlns:c16="http://schemas.microsoft.com/office/drawing/2014/chart" uri="{C3380CC4-5D6E-409C-BE32-E72D297353CC}">
                <c16:uniqueId val="{00000003-3D5A-4F20-B9CB-46E48324047A}"/>
              </c:ext>
            </c:extLst>
          </c:dPt>
          <c:dPt>
            <c:idx val="3"/>
            <c:invertIfNegative val="0"/>
            <c:bubble3D val="0"/>
            <c:spPr>
              <a:solidFill>
                <a:srgbClr val="FFC000"/>
              </a:solidFill>
              <a:ln>
                <a:noFill/>
              </a:ln>
              <a:effectLst/>
            </c:spPr>
            <c:extLst>
              <c:ext xmlns:c16="http://schemas.microsoft.com/office/drawing/2014/chart" uri="{C3380CC4-5D6E-409C-BE32-E72D297353CC}">
                <c16:uniqueId val="{00000002-3D5A-4F20-B9CB-46E48324047A}"/>
              </c:ext>
            </c:extLst>
          </c:dPt>
          <c:dPt>
            <c:idx val="4"/>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1-3D5A-4F20-B9CB-46E4832404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Sheet3!$G$27:$G$32</c:f>
              <c:strCache>
                <c:ptCount val="5"/>
                <c:pt idx="0">
                  <c:v>GoldenPlots Nigeria</c:v>
                </c:pt>
                <c:pt idx="1">
                  <c:v>GreenField Estates</c:v>
                </c:pt>
                <c:pt idx="2">
                  <c:v>MetroLand Developers</c:v>
                </c:pt>
                <c:pt idx="3">
                  <c:v>PrimeLand Ltd</c:v>
                </c:pt>
                <c:pt idx="4">
                  <c:v>UrbanEdge Realty</c:v>
                </c:pt>
              </c:strCache>
            </c:strRef>
          </c:cat>
          <c:val>
            <c:numRef>
              <c:f>Sheet3!$H$27:$H$32</c:f>
              <c:numCache>
                <c:formatCode>[$₦-46A]#,##0</c:formatCode>
                <c:ptCount val="5"/>
                <c:pt idx="0">
                  <c:v>1505968892.1227002</c:v>
                </c:pt>
                <c:pt idx="1">
                  <c:v>1713381892.2533991</c:v>
                </c:pt>
                <c:pt idx="2">
                  <c:v>1757314263.4545994</c:v>
                </c:pt>
                <c:pt idx="3">
                  <c:v>1443490610.8831005</c:v>
                </c:pt>
                <c:pt idx="4">
                  <c:v>1318131897.0893002</c:v>
                </c:pt>
              </c:numCache>
            </c:numRef>
          </c:val>
          <c:extLst>
            <c:ext xmlns:c16="http://schemas.microsoft.com/office/drawing/2014/chart" uri="{C3380CC4-5D6E-409C-BE32-E72D297353CC}">
              <c16:uniqueId val="{00000000-3D5A-4F20-B9CB-46E48324047A}"/>
            </c:ext>
          </c:extLst>
        </c:ser>
        <c:dLbls>
          <c:showLegendKey val="0"/>
          <c:showVal val="1"/>
          <c:showCatName val="0"/>
          <c:showSerName val="0"/>
          <c:showPercent val="0"/>
          <c:showBubbleSize val="0"/>
        </c:dLbls>
        <c:gapWidth val="75"/>
        <c:axId val="1768942303"/>
        <c:axId val="2059010239"/>
      </c:barChart>
      <c:catAx>
        <c:axId val="1768942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010239"/>
        <c:crosses val="autoZero"/>
        <c:auto val="1"/>
        <c:lblAlgn val="ctr"/>
        <c:lblOffset val="100"/>
        <c:noMultiLvlLbl val="0"/>
      </c:catAx>
      <c:valAx>
        <c:axId val="2059010239"/>
        <c:scaling>
          <c:orientation val="minMax"/>
        </c:scaling>
        <c:delete val="0"/>
        <c:axPos val="b"/>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942303"/>
        <c:crosses val="autoZero"/>
        <c:crossBetween val="between"/>
      </c:valAx>
      <c:spPr>
        <a:noFill/>
        <a:ln>
          <a:noFill/>
        </a:ln>
        <a:effectLst/>
      </c:spPr>
    </c:plotArea>
    <c:legend>
      <c:legendPos val="b"/>
      <c:layout>
        <c:manualLayout>
          <c:xMode val="edge"/>
          <c:yMode val="edge"/>
          <c:x val="0.23125186274792575"/>
          <c:y val="0.85651127218369227"/>
          <c:w val="0.65807014507801909"/>
          <c:h val="0.121413672628669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Real Estate Project.xlsx]Sheet3!PivotTable3</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Distribution</a:t>
            </a:r>
            <a:r>
              <a:rPr lang="en-US" b="1" baseline="0">
                <a:solidFill>
                  <a:schemeClr val="tx1"/>
                </a:solidFill>
              </a:rPr>
              <a:t> by Payment Type</a:t>
            </a:r>
            <a:endParaRPr lang="en-US" b="1">
              <a:solidFill>
                <a:schemeClr val="tx1"/>
              </a:solidFill>
            </a:endParaRPr>
          </a:p>
        </c:rich>
      </c:tx>
      <c:layout>
        <c:manualLayout>
          <c:xMode val="edge"/>
          <c:yMode val="edge"/>
          <c:x val="0.2088818897637795"/>
          <c:y val="0.13323855351414407"/>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FF66"/>
          </a:solidFill>
          <a:ln w="19050">
            <a:solidFill>
              <a:schemeClr val="lt1"/>
            </a:solidFill>
          </a:ln>
          <a:effectLst/>
        </c:spPr>
        <c:dLbl>
          <c:idx val="0"/>
          <c:layout>
            <c:manualLayout>
              <c:x val="-0.11858464566929133"/>
              <c:y val="-2.017862350539515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F0066"/>
          </a:solidFill>
          <a:ln w="19050">
            <a:solidFill>
              <a:schemeClr val="lt1"/>
            </a:solidFill>
          </a:ln>
          <a:effectLst/>
        </c:spPr>
        <c:dLbl>
          <c:idx val="0"/>
          <c:layout>
            <c:manualLayout>
              <c:x val="0.11632228783902013"/>
              <c:y val="-1.97951297754447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977209098862644"/>
          <c:y val="0.30788276465441822"/>
          <c:w val="0.38295603674540685"/>
          <c:h val="0.63826006124234469"/>
        </c:manualLayout>
      </c:layout>
      <c:pieChart>
        <c:varyColors val="1"/>
        <c:ser>
          <c:idx val="0"/>
          <c:order val="0"/>
          <c:tx>
            <c:strRef>
              <c:f>Sheet3!$H$37</c:f>
              <c:strCache>
                <c:ptCount val="1"/>
                <c:pt idx="0">
                  <c:v>Total</c:v>
                </c:pt>
              </c:strCache>
            </c:strRef>
          </c:tx>
          <c:dPt>
            <c:idx val="0"/>
            <c:bubble3D val="0"/>
            <c:spPr>
              <a:solidFill>
                <a:srgbClr val="FFFF66"/>
              </a:solidFill>
              <a:ln w="19050">
                <a:solidFill>
                  <a:schemeClr val="lt1"/>
                </a:solidFill>
              </a:ln>
              <a:effectLst/>
            </c:spPr>
            <c:extLst>
              <c:ext xmlns:c16="http://schemas.microsoft.com/office/drawing/2014/chart" uri="{C3380CC4-5D6E-409C-BE32-E72D297353CC}">
                <c16:uniqueId val="{00000001-63B4-4316-8643-3267383EC5BB}"/>
              </c:ext>
            </c:extLst>
          </c:dPt>
          <c:dPt>
            <c:idx val="1"/>
            <c:bubble3D val="0"/>
            <c:spPr>
              <a:solidFill>
                <a:srgbClr val="FF0066"/>
              </a:solidFill>
              <a:ln w="19050">
                <a:solidFill>
                  <a:schemeClr val="lt1"/>
                </a:solidFill>
              </a:ln>
              <a:effectLst/>
            </c:spPr>
            <c:extLst>
              <c:ext xmlns:c16="http://schemas.microsoft.com/office/drawing/2014/chart" uri="{C3380CC4-5D6E-409C-BE32-E72D297353CC}">
                <c16:uniqueId val="{00000003-63B4-4316-8643-3267383EC5BB}"/>
              </c:ext>
            </c:extLst>
          </c:dPt>
          <c:dLbls>
            <c:dLbl>
              <c:idx val="0"/>
              <c:layout>
                <c:manualLayout>
                  <c:x val="-0.11858464566929133"/>
                  <c:y val="-2.017862350539515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3B4-4316-8643-3267383EC5BB}"/>
                </c:ext>
              </c:extLst>
            </c:dLbl>
            <c:dLbl>
              <c:idx val="1"/>
              <c:layout>
                <c:manualLayout>
                  <c:x val="0.11632228783902013"/>
                  <c:y val="-1.97951297754447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3B4-4316-8643-3267383EC5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Sheet3!$G$38:$G$40</c:f>
              <c:strCache>
                <c:ptCount val="2"/>
                <c:pt idx="0">
                  <c:v>Installment</c:v>
                </c:pt>
                <c:pt idx="1">
                  <c:v>Outright</c:v>
                </c:pt>
              </c:strCache>
            </c:strRef>
          </c:cat>
          <c:val>
            <c:numRef>
              <c:f>Sheet3!$H$38:$H$40</c:f>
              <c:numCache>
                <c:formatCode>General</c:formatCode>
                <c:ptCount val="2"/>
                <c:pt idx="0">
                  <c:v>246</c:v>
                </c:pt>
                <c:pt idx="1">
                  <c:v>254</c:v>
                </c:pt>
              </c:numCache>
            </c:numRef>
          </c:val>
          <c:extLst>
            <c:ext xmlns:c16="http://schemas.microsoft.com/office/drawing/2014/chart" uri="{C3380CC4-5D6E-409C-BE32-E72D297353CC}">
              <c16:uniqueId val="{00000004-63B4-4316-8643-3267383EC5BB}"/>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791666666666667"/>
          <c:y val="0.41571704578594343"/>
          <c:w val="0.2090747330960854"/>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Real Estate Project.xlsx]Sheet3!PivotTable8</c:name>
    <c:fmtId val="2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a:t>
            </a:r>
            <a:r>
              <a:rPr lang="en-US" b="1" baseline="0">
                <a:solidFill>
                  <a:schemeClr val="tx1"/>
                </a:solidFill>
              </a:rPr>
              <a:t> Revenue Trends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Sheet3!$G$123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Sheet3!$F$124:$F$136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Sheet3!$G$124:$G$136</c:f>
              <c:numCache>
                <c:formatCode>[$₦-46A]#,##0</c:formatCode>
                <c:ptCount val="12"/>
                <c:pt idx="0">
                  <c:v>459192941.51209992</c:v>
                </c:pt>
                <c:pt idx="1">
                  <c:v>742578264.99860001</c:v>
                </c:pt>
                <c:pt idx="2">
                  <c:v>700603231.82169998</c:v>
                </c:pt>
                <c:pt idx="3">
                  <c:v>428150454.75509995</c:v>
                </c:pt>
                <c:pt idx="4">
                  <c:v>571924808.42089999</c:v>
                </c:pt>
                <c:pt idx="5">
                  <c:v>579822609.3368001</c:v>
                </c:pt>
                <c:pt idx="6">
                  <c:v>709650654.10809982</c:v>
                </c:pt>
                <c:pt idx="7">
                  <c:v>702988190.62880027</c:v>
                </c:pt>
                <c:pt idx="8">
                  <c:v>821102609.96080005</c:v>
                </c:pt>
                <c:pt idx="9">
                  <c:v>665353566.33900011</c:v>
                </c:pt>
                <c:pt idx="10">
                  <c:v>604806909.38619995</c:v>
                </c:pt>
                <c:pt idx="11">
                  <c:v>752113314.53500021</c:v>
                </c:pt>
              </c:numCache>
            </c:numRef>
          </c:val>
          <c:smooth val="0"/>
          <c:extLst>
            <c:ext xmlns:c16="http://schemas.microsoft.com/office/drawing/2014/chart" uri="{C3380CC4-5D6E-409C-BE32-E72D297353CC}">
              <c16:uniqueId val="{00000000-4800-4C60-9854-423D15484750}"/>
            </c:ext>
          </c:extLst>
        </c:ser>
        <c:dLbls>
          <c:showLegendKey val="0"/>
          <c:showVal val="0"/>
          <c:showCatName val="0"/>
          <c:showSerName val="0"/>
          <c:showPercent val="0"/>
          <c:showBubbleSize val="0"/>
        </c:dLbls>
        <c:marker val="1"/>
        <c:smooth val="0"/>
        <c:axId val="185286735"/>
        <c:axId val="185287215"/>
      </c:lineChart>
      <c:catAx>
        <c:axId val="18528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87215"/>
        <c:crosses val="autoZero"/>
        <c:auto val="1"/>
        <c:lblAlgn val="ctr"/>
        <c:lblOffset val="100"/>
        <c:noMultiLvlLbl val="0"/>
      </c:catAx>
      <c:valAx>
        <c:axId val="1852872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867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Real Estate Project.xlsx]Sheet3!PivotTable9</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Count</a:t>
            </a:r>
            <a:r>
              <a:rPr lang="en-US" b="1" baseline="0">
                <a:solidFill>
                  <a:schemeClr val="tx1"/>
                </a:solidFill>
              </a:rPr>
              <a:t> of Customer types across Property types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lumMod val="40000"/>
              <a:lumOff val="60000"/>
            </a:schemeClr>
          </a:solidFill>
          <a:ln>
            <a:noFill/>
          </a:ln>
          <a:effectLst/>
        </c:spPr>
      </c:pivotFmt>
      <c:pivotFmt>
        <c:idx val="22"/>
        <c:spPr>
          <a:solidFill>
            <a:schemeClr val="accent4">
              <a:lumMod val="40000"/>
              <a:lumOff val="60000"/>
            </a:schemeClr>
          </a:solidFill>
          <a:ln>
            <a:noFill/>
          </a:ln>
          <a:effectLst/>
        </c:spPr>
      </c:pivotFmt>
      <c:pivotFmt>
        <c:idx val="23"/>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D385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Sheet3!$D$59:$D$60</c:f>
              <c:strCache>
                <c:ptCount val="1"/>
                <c:pt idx="0">
                  <c:v>Developer</c:v>
                </c:pt>
              </c:strCache>
            </c:strRef>
          </c:tx>
          <c:spPr>
            <a:solidFill>
              <a:srgbClr val="D385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Sheet3!$C$61:$C$64</c:f>
              <c:strCache>
                <c:ptCount val="3"/>
                <c:pt idx="0">
                  <c:v>Commercial Land</c:v>
                </c:pt>
                <c:pt idx="1">
                  <c:v>Mixed-use Land</c:v>
                </c:pt>
                <c:pt idx="2">
                  <c:v>Residential Land</c:v>
                </c:pt>
              </c:strCache>
            </c:strRef>
          </c:cat>
          <c:val>
            <c:numRef>
              <c:f>Sheet3!$D$61:$D$64</c:f>
              <c:numCache>
                <c:formatCode>General</c:formatCode>
                <c:ptCount val="3"/>
                <c:pt idx="0">
                  <c:v>51</c:v>
                </c:pt>
                <c:pt idx="1">
                  <c:v>57</c:v>
                </c:pt>
                <c:pt idx="2">
                  <c:v>52</c:v>
                </c:pt>
              </c:numCache>
            </c:numRef>
          </c:val>
          <c:extLst>
            <c:ext xmlns:c16="http://schemas.microsoft.com/office/drawing/2014/chart" uri="{C3380CC4-5D6E-409C-BE32-E72D297353CC}">
              <c16:uniqueId val="{00000000-8EEA-4C6A-9C44-37DAC1A3EFFC}"/>
            </c:ext>
          </c:extLst>
        </c:ser>
        <c:ser>
          <c:idx val="1"/>
          <c:order val="1"/>
          <c:tx>
            <c:strRef>
              <c:f>Sheet3!$E$59:$E$60</c:f>
              <c:strCache>
                <c:ptCount val="1"/>
                <c:pt idx="0">
                  <c:v>First-time Buyer</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Sheet3!$C$61:$C$64</c:f>
              <c:strCache>
                <c:ptCount val="3"/>
                <c:pt idx="0">
                  <c:v>Commercial Land</c:v>
                </c:pt>
                <c:pt idx="1">
                  <c:v>Mixed-use Land</c:v>
                </c:pt>
                <c:pt idx="2">
                  <c:v>Residential Land</c:v>
                </c:pt>
              </c:strCache>
            </c:strRef>
          </c:cat>
          <c:val>
            <c:numRef>
              <c:f>Sheet3!$E$61:$E$64</c:f>
              <c:numCache>
                <c:formatCode>General</c:formatCode>
                <c:ptCount val="3"/>
                <c:pt idx="0">
                  <c:v>60</c:v>
                </c:pt>
                <c:pt idx="1">
                  <c:v>55</c:v>
                </c:pt>
                <c:pt idx="2">
                  <c:v>53</c:v>
                </c:pt>
              </c:numCache>
            </c:numRef>
          </c:val>
          <c:extLst>
            <c:ext xmlns:c16="http://schemas.microsoft.com/office/drawing/2014/chart" uri="{C3380CC4-5D6E-409C-BE32-E72D297353CC}">
              <c16:uniqueId val="{00000001-8EEA-4C6A-9C44-37DAC1A3EFFC}"/>
            </c:ext>
          </c:extLst>
        </c:ser>
        <c:ser>
          <c:idx val="2"/>
          <c:order val="2"/>
          <c:tx>
            <c:strRef>
              <c:f>Sheet3!$F$59:$F$60</c:f>
              <c:strCache>
                <c:ptCount val="1"/>
                <c:pt idx="0">
                  <c:v>Investor</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Sheet3!$C$61:$C$64</c:f>
              <c:strCache>
                <c:ptCount val="3"/>
                <c:pt idx="0">
                  <c:v>Commercial Land</c:v>
                </c:pt>
                <c:pt idx="1">
                  <c:v>Mixed-use Land</c:v>
                </c:pt>
                <c:pt idx="2">
                  <c:v>Residential Land</c:v>
                </c:pt>
              </c:strCache>
            </c:strRef>
          </c:cat>
          <c:val>
            <c:numRef>
              <c:f>Sheet3!$F$61:$F$64</c:f>
              <c:numCache>
                <c:formatCode>General</c:formatCode>
                <c:ptCount val="3"/>
                <c:pt idx="0">
                  <c:v>62</c:v>
                </c:pt>
                <c:pt idx="1">
                  <c:v>52</c:v>
                </c:pt>
                <c:pt idx="2">
                  <c:v>58</c:v>
                </c:pt>
              </c:numCache>
            </c:numRef>
          </c:val>
          <c:extLst>
            <c:ext xmlns:c16="http://schemas.microsoft.com/office/drawing/2014/chart" uri="{C3380CC4-5D6E-409C-BE32-E72D297353CC}">
              <c16:uniqueId val="{00000002-8EEA-4C6A-9C44-37DAC1A3EFFC}"/>
            </c:ext>
          </c:extLst>
        </c:ser>
        <c:dLbls>
          <c:showLegendKey val="0"/>
          <c:showVal val="1"/>
          <c:showCatName val="0"/>
          <c:showSerName val="0"/>
          <c:showPercent val="0"/>
          <c:showBubbleSize val="0"/>
        </c:dLbls>
        <c:gapWidth val="150"/>
        <c:overlap val="-25"/>
        <c:axId val="419660287"/>
        <c:axId val="419663167"/>
      </c:barChart>
      <c:catAx>
        <c:axId val="41966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663167"/>
        <c:crosses val="autoZero"/>
        <c:auto val="1"/>
        <c:lblAlgn val="ctr"/>
        <c:lblOffset val="100"/>
        <c:noMultiLvlLbl val="0"/>
      </c:catAx>
      <c:valAx>
        <c:axId val="419663167"/>
        <c:scaling>
          <c:orientation val="minMax"/>
        </c:scaling>
        <c:delete val="1"/>
        <c:axPos val="l"/>
        <c:numFmt formatCode="General" sourceLinked="1"/>
        <c:majorTickMark val="none"/>
        <c:minorTickMark val="none"/>
        <c:tickLblPos val="nextTo"/>
        <c:crossAx val="4196602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Real Estate Project.xlsx]Sheet3!PivotTable11</c:name>
    <c:fmtId val="2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Revenue</a:t>
            </a:r>
            <a:r>
              <a:rPr lang="en-US" b="1" baseline="0">
                <a:solidFill>
                  <a:schemeClr val="tx1"/>
                </a:solidFill>
              </a:rPr>
              <a:t> by Marketing Channel</a:t>
            </a:r>
            <a:endParaRPr lang="en-US" b="1">
              <a:solidFill>
                <a:schemeClr val="tx1"/>
              </a:solidFill>
            </a:endParaRPr>
          </a:p>
        </c:rich>
      </c:tx>
      <c:layout>
        <c:manualLayout>
          <c:xMode val="edge"/>
          <c:yMode val="edge"/>
          <c:x val="0.33819760206030586"/>
          <c:y val="0.1286089238845144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90000"/>
            </a:schemeClr>
          </a:solidFill>
          <a:ln>
            <a:noFill/>
          </a:ln>
          <a:effectLst/>
        </c:spPr>
      </c:pivotFmt>
      <c:pivotFmt>
        <c:idx val="4"/>
        <c:spPr>
          <a:solidFill>
            <a:schemeClr val="accent6">
              <a:lumMod val="20000"/>
              <a:lumOff val="80000"/>
            </a:schemeClr>
          </a:solidFill>
          <a:ln>
            <a:noFill/>
          </a:ln>
          <a:effectLst/>
        </c:spPr>
      </c:pivotFmt>
      <c:pivotFmt>
        <c:idx val="5"/>
        <c:spPr>
          <a:solidFill>
            <a:schemeClr val="tx1">
              <a:lumMod val="50000"/>
              <a:lumOff val="50000"/>
            </a:schemeClr>
          </a:solidFill>
          <a:ln>
            <a:noFill/>
          </a:ln>
          <a:effectLst/>
        </c:spPr>
      </c:pivotFmt>
      <c:pivotFmt>
        <c:idx val="6"/>
        <c:spPr>
          <a:solidFill>
            <a:schemeClr val="accent1">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20000"/>
              <a:lumOff val="80000"/>
            </a:schemeClr>
          </a:solidFill>
          <a:ln>
            <a:noFill/>
          </a:ln>
          <a:effectLst/>
        </c:spPr>
      </c:pivotFmt>
      <c:pivotFmt>
        <c:idx val="9"/>
        <c:spPr>
          <a:solidFill>
            <a:schemeClr val="tx1">
              <a:lumMod val="50000"/>
              <a:lumOff val="5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bg2">
              <a:lumMod val="9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20000"/>
              <a:lumOff val="80000"/>
            </a:schemeClr>
          </a:solidFill>
          <a:ln>
            <a:noFill/>
          </a:ln>
          <a:effectLst/>
        </c:spPr>
      </c:pivotFmt>
      <c:pivotFmt>
        <c:idx val="14"/>
        <c:spPr>
          <a:solidFill>
            <a:schemeClr val="tx1">
              <a:lumMod val="50000"/>
              <a:lumOff val="50000"/>
            </a:schemeClr>
          </a:solidFill>
          <a:ln>
            <a:noFill/>
          </a:ln>
          <a:effectLst/>
        </c:spPr>
      </c:pivotFmt>
      <c:pivotFmt>
        <c:idx val="15"/>
        <c:spPr>
          <a:solidFill>
            <a:schemeClr val="accent6">
              <a:lumMod val="20000"/>
              <a:lumOff val="80000"/>
            </a:schemeClr>
          </a:solidFill>
          <a:ln>
            <a:noFill/>
          </a:ln>
          <a:effectLst/>
        </c:spPr>
      </c:pivotFmt>
      <c:pivotFmt>
        <c:idx val="16"/>
        <c:spPr>
          <a:solidFill>
            <a:schemeClr val="bg2">
              <a:lumMod val="90000"/>
            </a:schemeClr>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20000"/>
              <a:lumOff val="80000"/>
            </a:schemeClr>
          </a:solidFill>
          <a:ln>
            <a:noFill/>
          </a:ln>
          <a:effectLst/>
        </c:spPr>
      </c:pivotFmt>
      <c:pivotFmt>
        <c:idx val="19"/>
        <c:spPr>
          <a:solidFill>
            <a:schemeClr val="tx1">
              <a:lumMod val="50000"/>
              <a:lumOff val="5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bg2">
              <a:lumMod val="9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lumMod val="60000"/>
              <a:lumOff val="40000"/>
            </a:schemeClr>
          </a:solidFill>
          <a:ln>
            <a:noFill/>
          </a:ln>
          <a:effectLst/>
        </c:spPr>
      </c:pivotFmt>
      <c:pivotFmt>
        <c:idx val="24"/>
        <c:spPr>
          <a:solidFill>
            <a:schemeClr val="tx1">
              <a:lumMod val="50000"/>
              <a:lumOff val="50000"/>
            </a:schemeClr>
          </a:solidFill>
          <a:ln>
            <a:noFill/>
          </a:ln>
          <a:effectLst/>
        </c:spPr>
      </c:pivotFmt>
      <c:pivotFmt>
        <c:idx val="25"/>
        <c:spPr>
          <a:solidFill>
            <a:schemeClr val="accent6">
              <a:lumMod val="40000"/>
              <a:lumOff val="60000"/>
            </a:schemeClr>
          </a:solidFill>
          <a:ln>
            <a:noFill/>
          </a:ln>
          <a:effectLst/>
        </c:spPr>
      </c:pivotFmt>
      <c:pivotFmt>
        <c:idx val="26"/>
        <c:spPr>
          <a:solidFill>
            <a:schemeClr val="bg2">
              <a:lumMod val="75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Sheet3!$K$37</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EEDA-47B4-B460-29CC1D527315}"/>
              </c:ext>
            </c:extLst>
          </c:dPt>
          <c:dPt>
            <c:idx val="1"/>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3-EEDA-47B4-B460-29CC1D527315}"/>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EEDA-47B4-B460-29CC1D527315}"/>
              </c:ext>
            </c:extLst>
          </c:dPt>
          <c:dPt>
            <c:idx val="3"/>
            <c:invertIfNegative val="0"/>
            <c:bubble3D val="0"/>
            <c:spPr>
              <a:solidFill>
                <a:schemeClr val="bg2">
                  <a:lumMod val="75000"/>
                </a:schemeClr>
              </a:solidFill>
              <a:ln>
                <a:noFill/>
              </a:ln>
              <a:effectLst/>
            </c:spPr>
            <c:extLst>
              <c:ext xmlns:c16="http://schemas.microsoft.com/office/drawing/2014/chart" uri="{C3380CC4-5D6E-409C-BE32-E72D297353CC}">
                <c16:uniqueId val="{00000007-EEDA-47B4-B460-29CC1D5273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Sheet3!$J$38:$J$42</c:f>
              <c:strCache>
                <c:ptCount val="4"/>
                <c:pt idx="0">
                  <c:v>Agent</c:v>
                </c:pt>
                <c:pt idx="1">
                  <c:v>Billboard</c:v>
                </c:pt>
                <c:pt idx="2">
                  <c:v>Online</c:v>
                </c:pt>
                <c:pt idx="3">
                  <c:v>Referral</c:v>
                </c:pt>
              </c:strCache>
            </c:strRef>
          </c:cat>
          <c:val>
            <c:numRef>
              <c:f>Sheet3!$K$38:$K$42</c:f>
              <c:numCache>
                <c:formatCode>[$₦-46A]#,##0</c:formatCode>
                <c:ptCount val="4"/>
                <c:pt idx="0">
                  <c:v>1802804850.9130993</c:v>
                </c:pt>
                <c:pt idx="1">
                  <c:v>1649586282.3227997</c:v>
                </c:pt>
                <c:pt idx="2">
                  <c:v>1966479782.7241993</c:v>
                </c:pt>
                <c:pt idx="3">
                  <c:v>2319416639.8430004</c:v>
                </c:pt>
              </c:numCache>
            </c:numRef>
          </c:val>
          <c:extLst>
            <c:ext xmlns:c16="http://schemas.microsoft.com/office/drawing/2014/chart" uri="{C3380CC4-5D6E-409C-BE32-E72D297353CC}">
              <c16:uniqueId val="{00000008-EEDA-47B4-B460-29CC1D527315}"/>
            </c:ext>
          </c:extLst>
        </c:ser>
        <c:dLbls>
          <c:showLegendKey val="0"/>
          <c:showVal val="1"/>
          <c:showCatName val="0"/>
          <c:showSerName val="0"/>
          <c:showPercent val="0"/>
          <c:showBubbleSize val="0"/>
        </c:dLbls>
        <c:gapWidth val="150"/>
        <c:overlap val="-25"/>
        <c:axId val="1018591263"/>
        <c:axId val="1018591743"/>
      </c:barChart>
      <c:catAx>
        <c:axId val="1018591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591743"/>
        <c:crosses val="autoZero"/>
        <c:auto val="1"/>
        <c:lblAlgn val="ctr"/>
        <c:lblOffset val="100"/>
        <c:noMultiLvlLbl val="0"/>
      </c:catAx>
      <c:valAx>
        <c:axId val="1018591743"/>
        <c:scaling>
          <c:orientation val="minMax"/>
        </c:scaling>
        <c:delete val="1"/>
        <c:axPos val="b"/>
        <c:numFmt formatCode="[$₦-46A]#,##0" sourceLinked="1"/>
        <c:majorTickMark val="none"/>
        <c:minorTickMark val="none"/>
        <c:tickLblPos val="nextTo"/>
        <c:crossAx val="10185912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Real Estate Project.xlsx]Sheet3!PivotTable12</c:name>
    <c:fmtId val="3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Revenue</a:t>
            </a:r>
            <a:r>
              <a:rPr lang="en-US" b="1" baseline="0">
                <a:solidFill>
                  <a:schemeClr val="tx1"/>
                </a:solidFill>
              </a:rPr>
              <a:t> by Region and Company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Sheet3!$J$74:$J$75</c:f>
              <c:strCache>
                <c:ptCount val="1"/>
                <c:pt idx="0">
                  <c:v>GoldenPlots Nigeria</c:v>
                </c:pt>
              </c:strCache>
            </c:strRef>
          </c:tx>
          <c:spPr>
            <a:solidFill>
              <a:schemeClr val="accent6">
                <a:lumMod val="75000"/>
              </a:schemeClr>
            </a:solidFill>
            <a:ln>
              <a:noFill/>
            </a:ln>
            <a:effectLst/>
          </c:spPr>
          <c:invertIfNegative val="0"/>
          <c:cat>
            <c:strRef>
              <c:f>Sheet3!$I$76:$I$82</c:f>
              <c:strCache>
                <c:ptCount val="6"/>
                <c:pt idx="0">
                  <c:v>North Central</c:v>
                </c:pt>
                <c:pt idx="1">
                  <c:v>North East</c:v>
                </c:pt>
                <c:pt idx="2">
                  <c:v>North West</c:v>
                </c:pt>
                <c:pt idx="3">
                  <c:v>South East</c:v>
                </c:pt>
                <c:pt idx="4">
                  <c:v>South South</c:v>
                </c:pt>
                <c:pt idx="5">
                  <c:v>South West</c:v>
                </c:pt>
              </c:strCache>
            </c:strRef>
          </c:cat>
          <c:val>
            <c:numRef>
              <c:f>Sheet3!$J$76:$J$82</c:f>
              <c:numCache>
                <c:formatCode>[$₦-46A]#,##0</c:formatCode>
                <c:ptCount val="6"/>
                <c:pt idx="0">
                  <c:v>223948195.28969997</c:v>
                </c:pt>
                <c:pt idx="1">
                  <c:v>141679554.6661</c:v>
                </c:pt>
                <c:pt idx="2">
                  <c:v>307762296.13600004</c:v>
                </c:pt>
                <c:pt idx="3">
                  <c:v>389523392.02039999</c:v>
                </c:pt>
                <c:pt idx="4">
                  <c:v>104962791.1551</c:v>
                </c:pt>
                <c:pt idx="5">
                  <c:v>338092662.85539985</c:v>
                </c:pt>
              </c:numCache>
            </c:numRef>
          </c:val>
          <c:extLst>
            <c:ext xmlns:c16="http://schemas.microsoft.com/office/drawing/2014/chart" uri="{C3380CC4-5D6E-409C-BE32-E72D297353CC}">
              <c16:uniqueId val="{00000000-3BBA-4834-B3B0-9B08F8785C01}"/>
            </c:ext>
          </c:extLst>
        </c:ser>
        <c:ser>
          <c:idx val="1"/>
          <c:order val="1"/>
          <c:tx>
            <c:strRef>
              <c:f>Sheet3!$K$74:$K$75</c:f>
              <c:strCache>
                <c:ptCount val="1"/>
                <c:pt idx="0">
                  <c:v>GreenField Estates</c:v>
                </c:pt>
              </c:strCache>
            </c:strRef>
          </c:tx>
          <c:spPr>
            <a:solidFill>
              <a:srgbClr val="7030A0"/>
            </a:solidFill>
            <a:ln>
              <a:noFill/>
            </a:ln>
            <a:effectLst/>
          </c:spPr>
          <c:invertIfNegative val="0"/>
          <c:cat>
            <c:strRef>
              <c:f>Sheet3!$I$76:$I$82</c:f>
              <c:strCache>
                <c:ptCount val="6"/>
                <c:pt idx="0">
                  <c:v>North Central</c:v>
                </c:pt>
                <c:pt idx="1">
                  <c:v>North East</c:v>
                </c:pt>
                <c:pt idx="2">
                  <c:v>North West</c:v>
                </c:pt>
                <c:pt idx="3">
                  <c:v>South East</c:v>
                </c:pt>
                <c:pt idx="4">
                  <c:v>South South</c:v>
                </c:pt>
                <c:pt idx="5">
                  <c:v>South West</c:v>
                </c:pt>
              </c:strCache>
            </c:strRef>
          </c:cat>
          <c:val>
            <c:numRef>
              <c:f>Sheet3!$K$76:$K$82</c:f>
              <c:numCache>
                <c:formatCode>[$₦-46A]#,##0</c:formatCode>
                <c:ptCount val="6"/>
                <c:pt idx="0">
                  <c:v>156433572.9131</c:v>
                </c:pt>
                <c:pt idx="1">
                  <c:v>488374880.20720005</c:v>
                </c:pt>
                <c:pt idx="2">
                  <c:v>248441560.48680001</c:v>
                </c:pt>
                <c:pt idx="3">
                  <c:v>284573125.13709998</c:v>
                </c:pt>
                <c:pt idx="4">
                  <c:v>289835611.00320005</c:v>
                </c:pt>
                <c:pt idx="5">
                  <c:v>245723142.50600004</c:v>
                </c:pt>
              </c:numCache>
            </c:numRef>
          </c:val>
          <c:extLst>
            <c:ext xmlns:c16="http://schemas.microsoft.com/office/drawing/2014/chart" uri="{C3380CC4-5D6E-409C-BE32-E72D297353CC}">
              <c16:uniqueId val="{00000001-3BBA-4834-B3B0-9B08F8785C01}"/>
            </c:ext>
          </c:extLst>
        </c:ser>
        <c:ser>
          <c:idx val="2"/>
          <c:order val="2"/>
          <c:tx>
            <c:strRef>
              <c:f>Sheet3!$L$74:$L$75</c:f>
              <c:strCache>
                <c:ptCount val="1"/>
                <c:pt idx="0">
                  <c:v>MetroLand Developers</c:v>
                </c:pt>
              </c:strCache>
            </c:strRef>
          </c:tx>
          <c:spPr>
            <a:solidFill>
              <a:srgbClr val="00B050"/>
            </a:solidFill>
            <a:ln>
              <a:noFill/>
            </a:ln>
            <a:effectLst/>
          </c:spPr>
          <c:invertIfNegative val="0"/>
          <c:cat>
            <c:strRef>
              <c:f>Sheet3!$I$76:$I$82</c:f>
              <c:strCache>
                <c:ptCount val="6"/>
                <c:pt idx="0">
                  <c:v>North Central</c:v>
                </c:pt>
                <c:pt idx="1">
                  <c:v>North East</c:v>
                </c:pt>
                <c:pt idx="2">
                  <c:v>North West</c:v>
                </c:pt>
                <c:pt idx="3">
                  <c:v>South East</c:v>
                </c:pt>
                <c:pt idx="4">
                  <c:v>South South</c:v>
                </c:pt>
                <c:pt idx="5">
                  <c:v>South West</c:v>
                </c:pt>
              </c:strCache>
            </c:strRef>
          </c:cat>
          <c:val>
            <c:numRef>
              <c:f>Sheet3!$L$76:$L$82</c:f>
              <c:numCache>
                <c:formatCode>[$₦-46A]#,##0</c:formatCode>
                <c:ptCount val="6"/>
                <c:pt idx="0">
                  <c:v>260488025.97850001</c:v>
                </c:pt>
                <c:pt idx="1">
                  <c:v>311632608.7518</c:v>
                </c:pt>
                <c:pt idx="2">
                  <c:v>229383351.96290004</c:v>
                </c:pt>
                <c:pt idx="3">
                  <c:v>269424834.79430002</c:v>
                </c:pt>
                <c:pt idx="4">
                  <c:v>335374442.95789999</c:v>
                </c:pt>
                <c:pt idx="5">
                  <c:v>351010999.00919998</c:v>
                </c:pt>
              </c:numCache>
            </c:numRef>
          </c:val>
          <c:extLst>
            <c:ext xmlns:c16="http://schemas.microsoft.com/office/drawing/2014/chart" uri="{C3380CC4-5D6E-409C-BE32-E72D297353CC}">
              <c16:uniqueId val="{00000002-3BBA-4834-B3B0-9B08F8785C01}"/>
            </c:ext>
          </c:extLst>
        </c:ser>
        <c:ser>
          <c:idx val="3"/>
          <c:order val="3"/>
          <c:tx>
            <c:strRef>
              <c:f>Sheet3!$M$74:$M$75</c:f>
              <c:strCache>
                <c:ptCount val="1"/>
                <c:pt idx="0">
                  <c:v>PrimeLand Ltd</c:v>
                </c:pt>
              </c:strCache>
            </c:strRef>
          </c:tx>
          <c:spPr>
            <a:solidFill>
              <a:srgbClr val="FFC000"/>
            </a:solidFill>
            <a:ln>
              <a:noFill/>
            </a:ln>
            <a:effectLst/>
          </c:spPr>
          <c:invertIfNegative val="0"/>
          <c:cat>
            <c:strRef>
              <c:f>Sheet3!$I$76:$I$82</c:f>
              <c:strCache>
                <c:ptCount val="6"/>
                <c:pt idx="0">
                  <c:v>North Central</c:v>
                </c:pt>
                <c:pt idx="1">
                  <c:v>North East</c:v>
                </c:pt>
                <c:pt idx="2">
                  <c:v>North West</c:v>
                </c:pt>
                <c:pt idx="3">
                  <c:v>South East</c:v>
                </c:pt>
                <c:pt idx="4">
                  <c:v>South South</c:v>
                </c:pt>
                <c:pt idx="5">
                  <c:v>South West</c:v>
                </c:pt>
              </c:strCache>
            </c:strRef>
          </c:cat>
          <c:val>
            <c:numRef>
              <c:f>Sheet3!$M$76:$M$82</c:f>
              <c:numCache>
                <c:formatCode>[$₦-46A]#,##0</c:formatCode>
                <c:ptCount val="6"/>
                <c:pt idx="0">
                  <c:v>261549981.41510001</c:v>
                </c:pt>
                <c:pt idx="1">
                  <c:v>268082283.19730002</c:v>
                </c:pt>
                <c:pt idx="2">
                  <c:v>219584908.95789999</c:v>
                </c:pt>
                <c:pt idx="3">
                  <c:v>202653070.42300001</c:v>
                </c:pt>
                <c:pt idx="4">
                  <c:v>283997603.3215</c:v>
                </c:pt>
                <c:pt idx="5">
                  <c:v>207622763.56829998</c:v>
                </c:pt>
              </c:numCache>
            </c:numRef>
          </c:val>
          <c:extLst>
            <c:ext xmlns:c16="http://schemas.microsoft.com/office/drawing/2014/chart" uri="{C3380CC4-5D6E-409C-BE32-E72D297353CC}">
              <c16:uniqueId val="{00000003-3BBA-4834-B3B0-9B08F8785C01}"/>
            </c:ext>
          </c:extLst>
        </c:ser>
        <c:ser>
          <c:idx val="4"/>
          <c:order val="4"/>
          <c:tx>
            <c:strRef>
              <c:f>Sheet3!$N$74:$N$75</c:f>
              <c:strCache>
                <c:ptCount val="1"/>
                <c:pt idx="0">
                  <c:v>UrbanEdge Realty</c:v>
                </c:pt>
              </c:strCache>
            </c:strRef>
          </c:tx>
          <c:spPr>
            <a:solidFill>
              <a:schemeClr val="tx2">
                <a:lumMod val="60000"/>
                <a:lumOff val="40000"/>
              </a:schemeClr>
            </a:solidFill>
            <a:ln>
              <a:noFill/>
            </a:ln>
            <a:effectLst/>
          </c:spPr>
          <c:invertIfNegative val="0"/>
          <c:cat>
            <c:strRef>
              <c:f>Sheet3!$I$76:$I$82</c:f>
              <c:strCache>
                <c:ptCount val="6"/>
                <c:pt idx="0">
                  <c:v>North Central</c:v>
                </c:pt>
                <c:pt idx="1">
                  <c:v>North East</c:v>
                </c:pt>
                <c:pt idx="2">
                  <c:v>North West</c:v>
                </c:pt>
                <c:pt idx="3">
                  <c:v>South East</c:v>
                </c:pt>
                <c:pt idx="4">
                  <c:v>South South</c:v>
                </c:pt>
                <c:pt idx="5">
                  <c:v>South West</c:v>
                </c:pt>
              </c:strCache>
            </c:strRef>
          </c:cat>
          <c:val>
            <c:numRef>
              <c:f>Sheet3!$N$76:$N$82</c:f>
              <c:numCache>
                <c:formatCode>[$₦-46A]#,##0</c:formatCode>
                <c:ptCount val="6"/>
                <c:pt idx="0">
                  <c:v>213103234.42589998</c:v>
                </c:pt>
                <c:pt idx="1">
                  <c:v>270050842.46520001</c:v>
                </c:pt>
                <c:pt idx="2">
                  <c:v>134520364.43649998</c:v>
                </c:pt>
                <c:pt idx="3">
                  <c:v>227495256.8962</c:v>
                </c:pt>
                <c:pt idx="4">
                  <c:v>271233252.45569998</c:v>
                </c:pt>
                <c:pt idx="5">
                  <c:v>201728946.40980005</c:v>
                </c:pt>
              </c:numCache>
            </c:numRef>
          </c:val>
          <c:extLst>
            <c:ext xmlns:c16="http://schemas.microsoft.com/office/drawing/2014/chart" uri="{C3380CC4-5D6E-409C-BE32-E72D297353CC}">
              <c16:uniqueId val="{00000004-3BBA-4834-B3B0-9B08F8785C01}"/>
            </c:ext>
          </c:extLst>
        </c:ser>
        <c:dLbls>
          <c:showLegendKey val="0"/>
          <c:showVal val="0"/>
          <c:showCatName val="0"/>
          <c:showSerName val="0"/>
          <c:showPercent val="0"/>
          <c:showBubbleSize val="0"/>
        </c:dLbls>
        <c:gapWidth val="150"/>
        <c:overlap val="100"/>
        <c:axId val="259588431"/>
        <c:axId val="259589391"/>
      </c:barChart>
      <c:catAx>
        <c:axId val="25958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589391"/>
        <c:crosses val="autoZero"/>
        <c:auto val="1"/>
        <c:lblAlgn val="ctr"/>
        <c:lblOffset val="100"/>
        <c:noMultiLvlLbl val="0"/>
      </c:catAx>
      <c:valAx>
        <c:axId val="259589391"/>
        <c:scaling>
          <c:orientation val="minMax"/>
        </c:scaling>
        <c:delete val="0"/>
        <c:axPos val="l"/>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58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Relationship</a:t>
            </a:r>
            <a:r>
              <a:rPr lang="en-US" b="1" baseline="0">
                <a:solidFill>
                  <a:schemeClr val="tx1"/>
                </a:solidFill>
              </a:rPr>
              <a:t> between Land Size and Total Price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Sheet2!$F$2:$F$501</c:f>
              <c:numCache>
                <c:formatCode>General</c:formatCode>
                <c:ptCount val="500"/>
                <c:pt idx="0">
                  <c:v>959</c:v>
                </c:pt>
                <c:pt idx="1">
                  <c:v>484</c:v>
                </c:pt>
                <c:pt idx="2">
                  <c:v>327</c:v>
                </c:pt>
                <c:pt idx="3">
                  <c:v>366</c:v>
                </c:pt>
                <c:pt idx="4">
                  <c:v>434</c:v>
                </c:pt>
                <c:pt idx="5">
                  <c:v>638</c:v>
                </c:pt>
                <c:pt idx="6">
                  <c:v>211</c:v>
                </c:pt>
                <c:pt idx="7">
                  <c:v>823</c:v>
                </c:pt>
                <c:pt idx="8">
                  <c:v>949</c:v>
                </c:pt>
                <c:pt idx="9">
                  <c:v>648</c:v>
                </c:pt>
                <c:pt idx="10">
                  <c:v>885</c:v>
                </c:pt>
                <c:pt idx="11">
                  <c:v>262</c:v>
                </c:pt>
                <c:pt idx="12">
                  <c:v>616</c:v>
                </c:pt>
                <c:pt idx="13">
                  <c:v>262</c:v>
                </c:pt>
                <c:pt idx="14">
                  <c:v>808</c:v>
                </c:pt>
                <c:pt idx="15">
                  <c:v>669</c:v>
                </c:pt>
                <c:pt idx="16">
                  <c:v>883</c:v>
                </c:pt>
                <c:pt idx="17">
                  <c:v>294</c:v>
                </c:pt>
                <c:pt idx="18">
                  <c:v>765</c:v>
                </c:pt>
                <c:pt idx="19">
                  <c:v>621</c:v>
                </c:pt>
                <c:pt idx="20">
                  <c:v>485</c:v>
                </c:pt>
                <c:pt idx="21">
                  <c:v>723</c:v>
                </c:pt>
                <c:pt idx="22">
                  <c:v>534</c:v>
                </c:pt>
                <c:pt idx="23">
                  <c:v>652</c:v>
                </c:pt>
                <c:pt idx="24">
                  <c:v>666</c:v>
                </c:pt>
                <c:pt idx="25">
                  <c:v>324</c:v>
                </c:pt>
                <c:pt idx="26">
                  <c:v>984</c:v>
                </c:pt>
                <c:pt idx="27">
                  <c:v>617</c:v>
                </c:pt>
                <c:pt idx="28">
                  <c:v>479</c:v>
                </c:pt>
                <c:pt idx="29">
                  <c:v>466</c:v>
                </c:pt>
                <c:pt idx="30">
                  <c:v>453</c:v>
                </c:pt>
                <c:pt idx="31">
                  <c:v>792</c:v>
                </c:pt>
                <c:pt idx="32">
                  <c:v>863</c:v>
                </c:pt>
                <c:pt idx="33">
                  <c:v>676</c:v>
                </c:pt>
                <c:pt idx="34">
                  <c:v>548</c:v>
                </c:pt>
                <c:pt idx="35">
                  <c:v>879</c:v>
                </c:pt>
                <c:pt idx="36">
                  <c:v>421</c:v>
                </c:pt>
                <c:pt idx="37">
                  <c:v>305</c:v>
                </c:pt>
                <c:pt idx="38">
                  <c:v>771</c:v>
                </c:pt>
                <c:pt idx="39">
                  <c:v>876</c:v>
                </c:pt>
                <c:pt idx="40">
                  <c:v>272</c:v>
                </c:pt>
                <c:pt idx="41">
                  <c:v>495</c:v>
                </c:pt>
                <c:pt idx="42">
                  <c:v>221</c:v>
                </c:pt>
                <c:pt idx="43">
                  <c:v>537</c:v>
                </c:pt>
                <c:pt idx="44">
                  <c:v>570</c:v>
                </c:pt>
                <c:pt idx="45">
                  <c:v>295</c:v>
                </c:pt>
                <c:pt idx="46">
                  <c:v>720</c:v>
                </c:pt>
                <c:pt idx="47">
                  <c:v>981</c:v>
                </c:pt>
                <c:pt idx="48">
                  <c:v>804</c:v>
                </c:pt>
                <c:pt idx="49">
                  <c:v>536</c:v>
                </c:pt>
                <c:pt idx="50">
                  <c:v>247</c:v>
                </c:pt>
                <c:pt idx="51">
                  <c:v>797</c:v>
                </c:pt>
                <c:pt idx="52">
                  <c:v>667</c:v>
                </c:pt>
                <c:pt idx="53">
                  <c:v>820</c:v>
                </c:pt>
                <c:pt idx="54">
                  <c:v>292</c:v>
                </c:pt>
                <c:pt idx="55">
                  <c:v>574</c:v>
                </c:pt>
                <c:pt idx="56">
                  <c:v>917</c:v>
                </c:pt>
                <c:pt idx="57">
                  <c:v>624</c:v>
                </c:pt>
                <c:pt idx="58">
                  <c:v>607</c:v>
                </c:pt>
                <c:pt idx="59">
                  <c:v>992</c:v>
                </c:pt>
                <c:pt idx="60">
                  <c:v>253</c:v>
                </c:pt>
                <c:pt idx="61">
                  <c:v>636</c:v>
                </c:pt>
                <c:pt idx="62">
                  <c:v>640</c:v>
                </c:pt>
                <c:pt idx="63">
                  <c:v>583</c:v>
                </c:pt>
                <c:pt idx="64">
                  <c:v>494</c:v>
                </c:pt>
                <c:pt idx="65">
                  <c:v>226</c:v>
                </c:pt>
                <c:pt idx="66">
                  <c:v>585</c:v>
                </c:pt>
                <c:pt idx="67">
                  <c:v>479</c:v>
                </c:pt>
                <c:pt idx="68">
                  <c:v>982</c:v>
                </c:pt>
                <c:pt idx="69">
                  <c:v>520</c:v>
                </c:pt>
                <c:pt idx="70">
                  <c:v>605</c:v>
                </c:pt>
                <c:pt idx="71">
                  <c:v>381</c:v>
                </c:pt>
                <c:pt idx="72">
                  <c:v>719</c:v>
                </c:pt>
                <c:pt idx="73">
                  <c:v>305</c:v>
                </c:pt>
                <c:pt idx="74">
                  <c:v>253</c:v>
                </c:pt>
                <c:pt idx="75">
                  <c:v>517</c:v>
                </c:pt>
                <c:pt idx="76">
                  <c:v>279</c:v>
                </c:pt>
                <c:pt idx="77">
                  <c:v>620</c:v>
                </c:pt>
                <c:pt idx="78">
                  <c:v>740</c:v>
                </c:pt>
                <c:pt idx="79">
                  <c:v>647</c:v>
                </c:pt>
                <c:pt idx="80">
                  <c:v>349</c:v>
                </c:pt>
                <c:pt idx="81">
                  <c:v>443</c:v>
                </c:pt>
                <c:pt idx="82">
                  <c:v>446</c:v>
                </c:pt>
                <c:pt idx="83">
                  <c:v>990</c:v>
                </c:pt>
                <c:pt idx="84">
                  <c:v>727</c:v>
                </c:pt>
                <c:pt idx="85">
                  <c:v>731</c:v>
                </c:pt>
                <c:pt idx="86">
                  <c:v>370</c:v>
                </c:pt>
                <c:pt idx="87">
                  <c:v>268</c:v>
                </c:pt>
                <c:pt idx="88">
                  <c:v>711</c:v>
                </c:pt>
                <c:pt idx="89">
                  <c:v>926</c:v>
                </c:pt>
                <c:pt idx="90">
                  <c:v>332</c:v>
                </c:pt>
                <c:pt idx="91">
                  <c:v>386</c:v>
                </c:pt>
                <c:pt idx="92">
                  <c:v>746</c:v>
                </c:pt>
                <c:pt idx="93">
                  <c:v>709</c:v>
                </c:pt>
                <c:pt idx="94">
                  <c:v>935</c:v>
                </c:pt>
                <c:pt idx="95">
                  <c:v>363</c:v>
                </c:pt>
                <c:pt idx="96">
                  <c:v>706</c:v>
                </c:pt>
                <c:pt idx="97">
                  <c:v>982</c:v>
                </c:pt>
                <c:pt idx="98">
                  <c:v>667</c:v>
                </c:pt>
                <c:pt idx="99">
                  <c:v>889</c:v>
                </c:pt>
                <c:pt idx="100">
                  <c:v>993</c:v>
                </c:pt>
                <c:pt idx="101">
                  <c:v>682</c:v>
                </c:pt>
                <c:pt idx="102">
                  <c:v>824</c:v>
                </c:pt>
                <c:pt idx="103">
                  <c:v>787</c:v>
                </c:pt>
                <c:pt idx="104">
                  <c:v>340</c:v>
                </c:pt>
                <c:pt idx="105">
                  <c:v>688</c:v>
                </c:pt>
                <c:pt idx="106">
                  <c:v>390</c:v>
                </c:pt>
                <c:pt idx="107">
                  <c:v>366</c:v>
                </c:pt>
                <c:pt idx="108">
                  <c:v>454</c:v>
                </c:pt>
                <c:pt idx="109">
                  <c:v>906</c:v>
                </c:pt>
                <c:pt idx="110">
                  <c:v>920</c:v>
                </c:pt>
                <c:pt idx="111">
                  <c:v>722</c:v>
                </c:pt>
                <c:pt idx="112">
                  <c:v>552</c:v>
                </c:pt>
                <c:pt idx="113">
                  <c:v>336</c:v>
                </c:pt>
                <c:pt idx="114">
                  <c:v>942</c:v>
                </c:pt>
                <c:pt idx="115">
                  <c:v>649</c:v>
                </c:pt>
                <c:pt idx="116">
                  <c:v>507</c:v>
                </c:pt>
                <c:pt idx="117">
                  <c:v>972</c:v>
                </c:pt>
                <c:pt idx="118">
                  <c:v>660</c:v>
                </c:pt>
                <c:pt idx="119">
                  <c:v>510</c:v>
                </c:pt>
                <c:pt idx="120">
                  <c:v>709</c:v>
                </c:pt>
                <c:pt idx="121">
                  <c:v>502</c:v>
                </c:pt>
                <c:pt idx="122">
                  <c:v>343</c:v>
                </c:pt>
                <c:pt idx="123">
                  <c:v>717</c:v>
                </c:pt>
                <c:pt idx="124">
                  <c:v>914</c:v>
                </c:pt>
                <c:pt idx="125">
                  <c:v>869</c:v>
                </c:pt>
                <c:pt idx="126">
                  <c:v>435</c:v>
                </c:pt>
                <c:pt idx="127">
                  <c:v>780</c:v>
                </c:pt>
                <c:pt idx="128">
                  <c:v>661</c:v>
                </c:pt>
                <c:pt idx="129">
                  <c:v>524</c:v>
                </c:pt>
                <c:pt idx="130">
                  <c:v>562</c:v>
                </c:pt>
                <c:pt idx="131">
                  <c:v>704</c:v>
                </c:pt>
                <c:pt idx="132">
                  <c:v>835</c:v>
                </c:pt>
                <c:pt idx="133">
                  <c:v>789</c:v>
                </c:pt>
                <c:pt idx="134">
                  <c:v>889</c:v>
                </c:pt>
                <c:pt idx="135">
                  <c:v>808</c:v>
                </c:pt>
                <c:pt idx="136">
                  <c:v>771</c:v>
                </c:pt>
                <c:pt idx="137">
                  <c:v>411</c:v>
                </c:pt>
                <c:pt idx="138">
                  <c:v>765</c:v>
                </c:pt>
                <c:pt idx="139">
                  <c:v>485</c:v>
                </c:pt>
                <c:pt idx="140">
                  <c:v>560</c:v>
                </c:pt>
                <c:pt idx="141">
                  <c:v>628</c:v>
                </c:pt>
                <c:pt idx="142">
                  <c:v>339</c:v>
                </c:pt>
                <c:pt idx="143">
                  <c:v>960</c:v>
                </c:pt>
                <c:pt idx="144">
                  <c:v>320</c:v>
                </c:pt>
                <c:pt idx="145">
                  <c:v>531</c:v>
                </c:pt>
                <c:pt idx="146">
                  <c:v>345</c:v>
                </c:pt>
                <c:pt idx="147">
                  <c:v>264</c:v>
                </c:pt>
                <c:pt idx="148">
                  <c:v>216</c:v>
                </c:pt>
                <c:pt idx="149">
                  <c:v>605</c:v>
                </c:pt>
                <c:pt idx="150">
                  <c:v>689</c:v>
                </c:pt>
                <c:pt idx="151">
                  <c:v>559</c:v>
                </c:pt>
                <c:pt idx="152">
                  <c:v>454</c:v>
                </c:pt>
                <c:pt idx="153">
                  <c:v>740</c:v>
                </c:pt>
                <c:pt idx="154">
                  <c:v>843</c:v>
                </c:pt>
                <c:pt idx="155">
                  <c:v>517</c:v>
                </c:pt>
                <c:pt idx="156">
                  <c:v>729</c:v>
                </c:pt>
                <c:pt idx="157">
                  <c:v>370</c:v>
                </c:pt>
                <c:pt idx="158">
                  <c:v>931</c:v>
                </c:pt>
                <c:pt idx="159">
                  <c:v>992</c:v>
                </c:pt>
                <c:pt idx="160">
                  <c:v>619</c:v>
                </c:pt>
                <c:pt idx="161">
                  <c:v>295</c:v>
                </c:pt>
                <c:pt idx="162">
                  <c:v>442</c:v>
                </c:pt>
                <c:pt idx="163">
                  <c:v>323</c:v>
                </c:pt>
                <c:pt idx="164">
                  <c:v>893</c:v>
                </c:pt>
                <c:pt idx="165">
                  <c:v>796</c:v>
                </c:pt>
                <c:pt idx="166">
                  <c:v>376</c:v>
                </c:pt>
                <c:pt idx="167">
                  <c:v>592</c:v>
                </c:pt>
                <c:pt idx="168">
                  <c:v>526</c:v>
                </c:pt>
                <c:pt idx="169">
                  <c:v>563</c:v>
                </c:pt>
                <c:pt idx="170">
                  <c:v>238</c:v>
                </c:pt>
                <c:pt idx="171">
                  <c:v>921</c:v>
                </c:pt>
                <c:pt idx="172">
                  <c:v>378</c:v>
                </c:pt>
                <c:pt idx="173">
                  <c:v>708</c:v>
                </c:pt>
                <c:pt idx="174">
                  <c:v>370</c:v>
                </c:pt>
                <c:pt idx="175">
                  <c:v>949</c:v>
                </c:pt>
                <c:pt idx="176">
                  <c:v>939</c:v>
                </c:pt>
                <c:pt idx="177">
                  <c:v>411</c:v>
                </c:pt>
                <c:pt idx="178">
                  <c:v>676</c:v>
                </c:pt>
                <c:pt idx="179">
                  <c:v>786</c:v>
                </c:pt>
                <c:pt idx="180">
                  <c:v>842</c:v>
                </c:pt>
                <c:pt idx="181">
                  <c:v>353</c:v>
                </c:pt>
                <c:pt idx="182">
                  <c:v>897</c:v>
                </c:pt>
                <c:pt idx="183">
                  <c:v>992</c:v>
                </c:pt>
                <c:pt idx="184">
                  <c:v>229</c:v>
                </c:pt>
                <c:pt idx="185">
                  <c:v>447</c:v>
                </c:pt>
                <c:pt idx="186">
                  <c:v>893</c:v>
                </c:pt>
                <c:pt idx="187">
                  <c:v>670</c:v>
                </c:pt>
                <c:pt idx="188">
                  <c:v>855</c:v>
                </c:pt>
                <c:pt idx="189">
                  <c:v>628</c:v>
                </c:pt>
                <c:pt idx="190">
                  <c:v>981</c:v>
                </c:pt>
                <c:pt idx="191">
                  <c:v>399</c:v>
                </c:pt>
                <c:pt idx="192">
                  <c:v>699</c:v>
                </c:pt>
                <c:pt idx="193">
                  <c:v>688</c:v>
                </c:pt>
                <c:pt idx="194">
                  <c:v>802</c:v>
                </c:pt>
                <c:pt idx="195">
                  <c:v>219</c:v>
                </c:pt>
                <c:pt idx="196">
                  <c:v>869</c:v>
                </c:pt>
                <c:pt idx="197">
                  <c:v>820</c:v>
                </c:pt>
                <c:pt idx="198">
                  <c:v>364</c:v>
                </c:pt>
                <c:pt idx="199">
                  <c:v>503</c:v>
                </c:pt>
                <c:pt idx="200">
                  <c:v>474</c:v>
                </c:pt>
                <c:pt idx="201">
                  <c:v>894</c:v>
                </c:pt>
                <c:pt idx="202">
                  <c:v>985</c:v>
                </c:pt>
                <c:pt idx="203">
                  <c:v>211</c:v>
                </c:pt>
                <c:pt idx="204">
                  <c:v>280</c:v>
                </c:pt>
                <c:pt idx="205">
                  <c:v>411</c:v>
                </c:pt>
                <c:pt idx="206">
                  <c:v>760</c:v>
                </c:pt>
                <c:pt idx="207">
                  <c:v>326</c:v>
                </c:pt>
                <c:pt idx="208">
                  <c:v>628</c:v>
                </c:pt>
                <c:pt idx="209">
                  <c:v>839</c:v>
                </c:pt>
                <c:pt idx="210">
                  <c:v>735</c:v>
                </c:pt>
                <c:pt idx="211">
                  <c:v>663</c:v>
                </c:pt>
                <c:pt idx="212">
                  <c:v>407</c:v>
                </c:pt>
                <c:pt idx="213">
                  <c:v>485</c:v>
                </c:pt>
                <c:pt idx="214">
                  <c:v>738</c:v>
                </c:pt>
                <c:pt idx="215">
                  <c:v>774</c:v>
                </c:pt>
                <c:pt idx="216">
                  <c:v>726</c:v>
                </c:pt>
                <c:pt idx="217">
                  <c:v>410</c:v>
                </c:pt>
                <c:pt idx="218">
                  <c:v>643</c:v>
                </c:pt>
                <c:pt idx="219">
                  <c:v>590</c:v>
                </c:pt>
                <c:pt idx="220">
                  <c:v>786</c:v>
                </c:pt>
                <c:pt idx="221">
                  <c:v>274</c:v>
                </c:pt>
                <c:pt idx="222">
                  <c:v>831</c:v>
                </c:pt>
                <c:pt idx="223">
                  <c:v>993</c:v>
                </c:pt>
                <c:pt idx="224">
                  <c:v>417</c:v>
                </c:pt>
                <c:pt idx="225">
                  <c:v>975</c:v>
                </c:pt>
                <c:pt idx="226">
                  <c:v>730</c:v>
                </c:pt>
                <c:pt idx="227">
                  <c:v>457</c:v>
                </c:pt>
                <c:pt idx="228">
                  <c:v>391</c:v>
                </c:pt>
                <c:pt idx="229">
                  <c:v>844</c:v>
                </c:pt>
                <c:pt idx="230">
                  <c:v>682</c:v>
                </c:pt>
                <c:pt idx="231">
                  <c:v>335</c:v>
                </c:pt>
                <c:pt idx="232">
                  <c:v>993</c:v>
                </c:pt>
                <c:pt idx="233">
                  <c:v>812</c:v>
                </c:pt>
                <c:pt idx="234">
                  <c:v>467</c:v>
                </c:pt>
                <c:pt idx="235">
                  <c:v>875</c:v>
                </c:pt>
                <c:pt idx="236">
                  <c:v>645</c:v>
                </c:pt>
                <c:pt idx="237">
                  <c:v>492</c:v>
                </c:pt>
                <c:pt idx="238">
                  <c:v>800</c:v>
                </c:pt>
                <c:pt idx="239">
                  <c:v>379</c:v>
                </c:pt>
                <c:pt idx="240">
                  <c:v>897</c:v>
                </c:pt>
                <c:pt idx="241">
                  <c:v>295</c:v>
                </c:pt>
                <c:pt idx="242">
                  <c:v>455</c:v>
                </c:pt>
                <c:pt idx="243">
                  <c:v>607</c:v>
                </c:pt>
                <c:pt idx="244">
                  <c:v>890</c:v>
                </c:pt>
                <c:pt idx="245">
                  <c:v>573</c:v>
                </c:pt>
                <c:pt idx="246">
                  <c:v>337</c:v>
                </c:pt>
                <c:pt idx="247">
                  <c:v>568</c:v>
                </c:pt>
                <c:pt idx="248">
                  <c:v>371</c:v>
                </c:pt>
                <c:pt idx="249">
                  <c:v>623</c:v>
                </c:pt>
                <c:pt idx="250">
                  <c:v>306</c:v>
                </c:pt>
                <c:pt idx="251">
                  <c:v>478</c:v>
                </c:pt>
                <c:pt idx="252">
                  <c:v>574</c:v>
                </c:pt>
                <c:pt idx="253">
                  <c:v>582</c:v>
                </c:pt>
                <c:pt idx="254">
                  <c:v>386</c:v>
                </c:pt>
                <c:pt idx="255">
                  <c:v>438</c:v>
                </c:pt>
                <c:pt idx="256">
                  <c:v>681</c:v>
                </c:pt>
                <c:pt idx="257">
                  <c:v>598</c:v>
                </c:pt>
                <c:pt idx="258">
                  <c:v>215</c:v>
                </c:pt>
                <c:pt idx="259">
                  <c:v>564</c:v>
                </c:pt>
                <c:pt idx="260">
                  <c:v>240</c:v>
                </c:pt>
                <c:pt idx="261">
                  <c:v>575</c:v>
                </c:pt>
                <c:pt idx="262">
                  <c:v>984</c:v>
                </c:pt>
                <c:pt idx="263">
                  <c:v>232</c:v>
                </c:pt>
                <c:pt idx="264">
                  <c:v>577</c:v>
                </c:pt>
                <c:pt idx="265">
                  <c:v>872</c:v>
                </c:pt>
                <c:pt idx="266">
                  <c:v>746</c:v>
                </c:pt>
                <c:pt idx="267">
                  <c:v>200</c:v>
                </c:pt>
                <c:pt idx="268">
                  <c:v>785</c:v>
                </c:pt>
                <c:pt idx="269">
                  <c:v>694</c:v>
                </c:pt>
                <c:pt idx="270">
                  <c:v>255</c:v>
                </c:pt>
                <c:pt idx="271">
                  <c:v>284</c:v>
                </c:pt>
                <c:pt idx="272">
                  <c:v>452</c:v>
                </c:pt>
                <c:pt idx="273">
                  <c:v>373</c:v>
                </c:pt>
                <c:pt idx="274">
                  <c:v>682</c:v>
                </c:pt>
                <c:pt idx="275">
                  <c:v>254</c:v>
                </c:pt>
                <c:pt idx="276">
                  <c:v>744</c:v>
                </c:pt>
                <c:pt idx="277">
                  <c:v>840</c:v>
                </c:pt>
                <c:pt idx="278">
                  <c:v>894</c:v>
                </c:pt>
                <c:pt idx="279">
                  <c:v>516</c:v>
                </c:pt>
                <c:pt idx="280">
                  <c:v>510</c:v>
                </c:pt>
                <c:pt idx="281">
                  <c:v>337</c:v>
                </c:pt>
                <c:pt idx="282">
                  <c:v>649</c:v>
                </c:pt>
                <c:pt idx="283">
                  <c:v>750</c:v>
                </c:pt>
                <c:pt idx="284">
                  <c:v>674</c:v>
                </c:pt>
                <c:pt idx="285">
                  <c:v>908</c:v>
                </c:pt>
                <c:pt idx="286">
                  <c:v>875</c:v>
                </c:pt>
                <c:pt idx="287">
                  <c:v>709</c:v>
                </c:pt>
                <c:pt idx="288">
                  <c:v>250</c:v>
                </c:pt>
                <c:pt idx="289">
                  <c:v>876</c:v>
                </c:pt>
                <c:pt idx="290">
                  <c:v>537</c:v>
                </c:pt>
                <c:pt idx="291">
                  <c:v>332</c:v>
                </c:pt>
                <c:pt idx="292">
                  <c:v>852</c:v>
                </c:pt>
                <c:pt idx="293">
                  <c:v>830</c:v>
                </c:pt>
                <c:pt idx="294">
                  <c:v>768</c:v>
                </c:pt>
                <c:pt idx="295">
                  <c:v>922</c:v>
                </c:pt>
                <c:pt idx="296">
                  <c:v>718</c:v>
                </c:pt>
                <c:pt idx="297">
                  <c:v>903</c:v>
                </c:pt>
                <c:pt idx="298">
                  <c:v>479</c:v>
                </c:pt>
                <c:pt idx="299">
                  <c:v>518</c:v>
                </c:pt>
                <c:pt idx="300">
                  <c:v>973</c:v>
                </c:pt>
                <c:pt idx="301">
                  <c:v>916</c:v>
                </c:pt>
                <c:pt idx="302">
                  <c:v>865</c:v>
                </c:pt>
                <c:pt idx="303">
                  <c:v>878</c:v>
                </c:pt>
                <c:pt idx="304">
                  <c:v>901</c:v>
                </c:pt>
                <c:pt idx="305">
                  <c:v>506</c:v>
                </c:pt>
                <c:pt idx="306">
                  <c:v>440</c:v>
                </c:pt>
                <c:pt idx="307">
                  <c:v>273</c:v>
                </c:pt>
                <c:pt idx="308">
                  <c:v>593</c:v>
                </c:pt>
                <c:pt idx="309">
                  <c:v>794</c:v>
                </c:pt>
                <c:pt idx="310">
                  <c:v>551</c:v>
                </c:pt>
                <c:pt idx="311">
                  <c:v>844</c:v>
                </c:pt>
                <c:pt idx="312">
                  <c:v>214</c:v>
                </c:pt>
                <c:pt idx="313">
                  <c:v>988</c:v>
                </c:pt>
                <c:pt idx="314">
                  <c:v>439</c:v>
                </c:pt>
                <c:pt idx="315">
                  <c:v>543</c:v>
                </c:pt>
                <c:pt idx="316">
                  <c:v>306</c:v>
                </c:pt>
                <c:pt idx="317">
                  <c:v>389</c:v>
                </c:pt>
                <c:pt idx="318">
                  <c:v>464</c:v>
                </c:pt>
                <c:pt idx="319">
                  <c:v>235</c:v>
                </c:pt>
                <c:pt idx="320">
                  <c:v>924</c:v>
                </c:pt>
                <c:pt idx="321">
                  <c:v>574</c:v>
                </c:pt>
                <c:pt idx="322">
                  <c:v>952</c:v>
                </c:pt>
                <c:pt idx="323">
                  <c:v>615</c:v>
                </c:pt>
                <c:pt idx="324">
                  <c:v>214</c:v>
                </c:pt>
                <c:pt idx="325">
                  <c:v>532</c:v>
                </c:pt>
                <c:pt idx="326">
                  <c:v>795</c:v>
                </c:pt>
                <c:pt idx="327">
                  <c:v>908</c:v>
                </c:pt>
                <c:pt idx="328">
                  <c:v>628</c:v>
                </c:pt>
                <c:pt idx="329">
                  <c:v>380</c:v>
                </c:pt>
                <c:pt idx="330">
                  <c:v>727</c:v>
                </c:pt>
                <c:pt idx="331">
                  <c:v>584</c:v>
                </c:pt>
                <c:pt idx="332">
                  <c:v>543</c:v>
                </c:pt>
                <c:pt idx="333">
                  <c:v>766</c:v>
                </c:pt>
                <c:pt idx="334">
                  <c:v>205</c:v>
                </c:pt>
                <c:pt idx="335">
                  <c:v>423</c:v>
                </c:pt>
                <c:pt idx="336">
                  <c:v>920</c:v>
                </c:pt>
                <c:pt idx="337">
                  <c:v>890</c:v>
                </c:pt>
                <c:pt idx="338">
                  <c:v>955</c:v>
                </c:pt>
                <c:pt idx="339">
                  <c:v>681</c:v>
                </c:pt>
                <c:pt idx="340">
                  <c:v>354</c:v>
                </c:pt>
                <c:pt idx="341">
                  <c:v>792</c:v>
                </c:pt>
                <c:pt idx="342">
                  <c:v>491</c:v>
                </c:pt>
                <c:pt idx="343">
                  <c:v>578</c:v>
                </c:pt>
                <c:pt idx="344">
                  <c:v>359</c:v>
                </c:pt>
                <c:pt idx="345">
                  <c:v>425</c:v>
                </c:pt>
                <c:pt idx="346">
                  <c:v>525</c:v>
                </c:pt>
                <c:pt idx="347">
                  <c:v>959</c:v>
                </c:pt>
                <c:pt idx="348">
                  <c:v>624</c:v>
                </c:pt>
                <c:pt idx="349">
                  <c:v>327</c:v>
                </c:pt>
                <c:pt idx="350">
                  <c:v>582</c:v>
                </c:pt>
                <c:pt idx="351">
                  <c:v>496</c:v>
                </c:pt>
                <c:pt idx="352">
                  <c:v>730</c:v>
                </c:pt>
                <c:pt idx="353">
                  <c:v>556</c:v>
                </c:pt>
                <c:pt idx="354">
                  <c:v>280</c:v>
                </c:pt>
                <c:pt idx="355">
                  <c:v>972</c:v>
                </c:pt>
                <c:pt idx="356">
                  <c:v>447</c:v>
                </c:pt>
                <c:pt idx="357">
                  <c:v>914</c:v>
                </c:pt>
                <c:pt idx="358">
                  <c:v>980</c:v>
                </c:pt>
                <c:pt idx="359">
                  <c:v>213</c:v>
                </c:pt>
                <c:pt idx="360">
                  <c:v>325</c:v>
                </c:pt>
                <c:pt idx="361">
                  <c:v>456</c:v>
                </c:pt>
                <c:pt idx="362">
                  <c:v>985</c:v>
                </c:pt>
                <c:pt idx="363">
                  <c:v>233</c:v>
                </c:pt>
                <c:pt idx="364">
                  <c:v>706</c:v>
                </c:pt>
                <c:pt idx="365">
                  <c:v>257</c:v>
                </c:pt>
                <c:pt idx="366">
                  <c:v>781</c:v>
                </c:pt>
                <c:pt idx="367">
                  <c:v>829</c:v>
                </c:pt>
                <c:pt idx="368">
                  <c:v>544</c:v>
                </c:pt>
                <c:pt idx="369">
                  <c:v>457</c:v>
                </c:pt>
                <c:pt idx="370">
                  <c:v>351</c:v>
                </c:pt>
                <c:pt idx="371">
                  <c:v>444</c:v>
                </c:pt>
                <c:pt idx="372">
                  <c:v>380</c:v>
                </c:pt>
                <c:pt idx="373">
                  <c:v>314</c:v>
                </c:pt>
                <c:pt idx="374">
                  <c:v>423</c:v>
                </c:pt>
                <c:pt idx="375">
                  <c:v>348</c:v>
                </c:pt>
                <c:pt idx="376">
                  <c:v>508</c:v>
                </c:pt>
                <c:pt idx="377">
                  <c:v>267</c:v>
                </c:pt>
                <c:pt idx="378">
                  <c:v>808</c:v>
                </c:pt>
                <c:pt idx="379">
                  <c:v>862</c:v>
                </c:pt>
                <c:pt idx="380">
                  <c:v>935</c:v>
                </c:pt>
                <c:pt idx="381">
                  <c:v>628</c:v>
                </c:pt>
                <c:pt idx="382">
                  <c:v>930</c:v>
                </c:pt>
                <c:pt idx="383">
                  <c:v>335</c:v>
                </c:pt>
                <c:pt idx="384">
                  <c:v>487</c:v>
                </c:pt>
                <c:pt idx="385">
                  <c:v>681</c:v>
                </c:pt>
                <c:pt idx="386">
                  <c:v>490</c:v>
                </c:pt>
                <c:pt idx="387">
                  <c:v>491</c:v>
                </c:pt>
                <c:pt idx="388">
                  <c:v>663</c:v>
                </c:pt>
                <c:pt idx="389">
                  <c:v>413</c:v>
                </c:pt>
                <c:pt idx="390">
                  <c:v>656</c:v>
                </c:pt>
                <c:pt idx="391">
                  <c:v>707</c:v>
                </c:pt>
                <c:pt idx="392">
                  <c:v>310</c:v>
                </c:pt>
                <c:pt idx="393">
                  <c:v>521</c:v>
                </c:pt>
                <c:pt idx="394">
                  <c:v>908</c:v>
                </c:pt>
                <c:pt idx="395">
                  <c:v>865</c:v>
                </c:pt>
                <c:pt idx="396">
                  <c:v>601</c:v>
                </c:pt>
                <c:pt idx="397">
                  <c:v>523</c:v>
                </c:pt>
                <c:pt idx="398">
                  <c:v>648</c:v>
                </c:pt>
                <c:pt idx="399">
                  <c:v>883</c:v>
                </c:pt>
                <c:pt idx="400">
                  <c:v>715</c:v>
                </c:pt>
                <c:pt idx="401">
                  <c:v>885</c:v>
                </c:pt>
                <c:pt idx="402">
                  <c:v>925</c:v>
                </c:pt>
                <c:pt idx="403">
                  <c:v>569</c:v>
                </c:pt>
                <c:pt idx="404">
                  <c:v>271</c:v>
                </c:pt>
                <c:pt idx="405">
                  <c:v>552</c:v>
                </c:pt>
                <c:pt idx="406">
                  <c:v>732</c:v>
                </c:pt>
                <c:pt idx="407">
                  <c:v>465</c:v>
                </c:pt>
                <c:pt idx="408">
                  <c:v>931</c:v>
                </c:pt>
                <c:pt idx="409">
                  <c:v>279</c:v>
                </c:pt>
                <c:pt idx="410">
                  <c:v>320</c:v>
                </c:pt>
                <c:pt idx="411">
                  <c:v>512</c:v>
                </c:pt>
                <c:pt idx="412">
                  <c:v>786</c:v>
                </c:pt>
                <c:pt idx="413">
                  <c:v>547</c:v>
                </c:pt>
                <c:pt idx="414">
                  <c:v>975</c:v>
                </c:pt>
                <c:pt idx="415">
                  <c:v>703</c:v>
                </c:pt>
                <c:pt idx="416">
                  <c:v>617</c:v>
                </c:pt>
                <c:pt idx="417">
                  <c:v>970</c:v>
                </c:pt>
                <c:pt idx="418">
                  <c:v>767</c:v>
                </c:pt>
                <c:pt idx="419">
                  <c:v>662</c:v>
                </c:pt>
                <c:pt idx="420">
                  <c:v>365</c:v>
                </c:pt>
                <c:pt idx="421">
                  <c:v>415</c:v>
                </c:pt>
                <c:pt idx="422">
                  <c:v>231</c:v>
                </c:pt>
                <c:pt idx="423">
                  <c:v>396</c:v>
                </c:pt>
                <c:pt idx="424">
                  <c:v>374</c:v>
                </c:pt>
                <c:pt idx="425">
                  <c:v>909</c:v>
                </c:pt>
                <c:pt idx="426">
                  <c:v>630</c:v>
                </c:pt>
                <c:pt idx="427">
                  <c:v>691</c:v>
                </c:pt>
                <c:pt idx="428">
                  <c:v>982</c:v>
                </c:pt>
                <c:pt idx="429">
                  <c:v>611</c:v>
                </c:pt>
                <c:pt idx="430">
                  <c:v>397</c:v>
                </c:pt>
                <c:pt idx="431">
                  <c:v>245</c:v>
                </c:pt>
                <c:pt idx="432">
                  <c:v>873</c:v>
                </c:pt>
                <c:pt idx="433">
                  <c:v>909</c:v>
                </c:pt>
                <c:pt idx="434">
                  <c:v>388</c:v>
                </c:pt>
                <c:pt idx="435">
                  <c:v>547</c:v>
                </c:pt>
                <c:pt idx="436">
                  <c:v>739</c:v>
                </c:pt>
                <c:pt idx="437">
                  <c:v>535</c:v>
                </c:pt>
                <c:pt idx="438">
                  <c:v>710</c:v>
                </c:pt>
                <c:pt idx="439">
                  <c:v>635</c:v>
                </c:pt>
                <c:pt idx="440">
                  <c:v>636</c:v>
                </c:pt>
                <c:pt idx="441">
                  <c:v>483</c:v>
                </c:pt>
                <c:pt idx="442">
                  <c:v>970</c:v>
                </c:pt>
                <c:pt idx="443">
                  <c:v>765</c:v>
                </c:pt>
                <c:pt idx="444">
                  <c:v>547</c:v>
                </c:pt>
                <c:pt idx="445">
                  <c:v>590</c:v>
                </c:pt>
                <c:pt idx="446">
                  <c:v>271</c:v>
                </c:pt>
                <c:pt idx="447">
                  <c:v>598</c:v>
                </c:pt>
                <c:pt idx="448">
                  <c:v>819</c:v>
                </c:pt>
                <c:pt idx="449">
                  <c:v>593</c:v>
                </c:pt>
                <c:pt idx="450">
                  <c:v>324</c:v>
                </c:pt>
                <c:pt idx="451">
                  <c:v>399</c:v>
                </c:pt>
                <c:pt idx="452">
                  <c:v>218</c:v>
                </c:pt>
                <c:pt idx="453">
                  <c:v>421</c:v>
                </c:pt>
                <c:pt idx="454">
                  <c:v>631</c:v>
                </c:pt>
                <c:pt idx="455">
                  <c:v>839</c:v>
                </c:pt>
                <c:pt idx="456">
                  <c:v>577</c:v>
                </c:pt>
                <c:pt idx="457">
                  <c:v>540</c:v>
                </c:pt>
                <c:pt idx="458">
                  <c:v>834</c:v>
                </c:pt>
                <c:pt idx="459">
                  <c:v>733</c:v>
                </c:pt>
                <c:pt idx="460">
                  <c:v>703</c:v>
                </c:pt>
                <c:pt idx="461">
                  <c:v>634</c:v>
                </c:pt>
                <c:pt idx="462">
                  <c:v>978</c:v>
                </c:pt>
                <c:pt idx="463">
                  <c:v>273</c:v>
                </c:pt>
                <c:pt idx="464">
                  <c:v>272</c:v>
                </c:pt>
                <c:pt idx="465">
                  <c:v>634</c:v>
                </c:pt>
                <c:pt idx="466">
                  <c:v>607</c:v>
                </c:pt>
                <c:pt idx="467">
                  <c:v>851</c:v>
                </c:pt>
                <c:pt idx="468">
                  <c:v>920</c:v>
                </c:pt>
                <c:pt idx="469">
                  <c:v>500</c:v>
                </c:pt>
                <c:pt idx="470">
                  <c:v>584</c:v>
                </c:pt>
                <c:pt idx="471">
                  <c:v>942</c:v>
                </c:pt>
                <c:pt idx="472">
                  <c:v>246</c:v>
                </c:pt>
                <c:pt idx="473">
                  <c:v>232</c:v>
                </c:pt>
                <c:pt idx="474">
                  <c:v>364</c:v>
                </c:pt>
                <c:pt idx="475">
                  <c:v>869</c:v>
                </c:pt>
                <c:pt idx="476">
                  <c:v>263</c:v>
                </c:pt>
                <c:pt idx="477">
                  <c:v>424</c:v>
                </c:pt>
                <c:pt idx="478">
                  <c:v>541</c:v>
                </c:pt>
                <c:pt idx="479">
                  <c:v>740</c:v>
                </c:pt>
                <c:pt idx="480">
                  <c:v>414</c:v>
                </c:pt>
                <c:pt idx="481">
                  <c:v>865</c:v>
                </c:pt>
                <c:pt idx="482">
                  <c:v>481</c:v>
                </c:pt>
                <c:pt idx="483">
                  <c:v>860</c:v>
                </c:pt>
                <c:pt idx="484">
                  <c:v>971</c:v>
                </c:pt>
                <c:pt idx="485">
                  <c:v>327</c:v>
                </c:pt>
                <c:pt idx="486">
                  <c:v>722</c:v>
                </c:pt>
                <c:pt idx="487">
                  <c:v>276</c:v>
                </c:pt>
                <c:pt idx="488">
                  <c:v>931</c:v>
                </c:pt>
                <c:pt idx="489">
                  <c:v>571</c:v>
                </c:pt>
                <c:pt idx="490">
                  <c:v>488</c:v>
                </c:pt>
                <c:pt idx="491">
                  <c:v>254</c:v>
                </c:pt>
                <c:pt idx="492">
                  <c:v>292</c:v>
                </c:pt>
                <c:pt idx="493">
                  <c:v>727</c:v>
                </c:pt>
                <c:pt idx="494">
                  <c:v>276</c:v>
                </c:pt>
                <c:pt idx="495">
                  <c:v>955</c:v>
                </c:pt>
                <c:pt idx="496">
                  <c:v>611</c:v>
                </c:pt>
                <c:pt idx="497">
                  <c:v>386</c:v>
                </c:pt>
                <c:pt idx="498">
                  <c:v>232</c:v>
                </c:pt>
                <c:pt idx="499">
                  <c:v>329</c:v>
                </c:pt>
              </c:numCache>
            </c:numRef>
          </c:xVal>
          <c:yVal>
            <c:numRef>
              <c:f>Sheet2!$H$2:$H$501</c:f>
              <c:numCache>
                <c:formatCode>[$₦-46A]#,##0</c:formatCode>
                <c:ptCount val="500"/>
                <c:pt idx="0">
                  <c:v>19203016</c:v>
                </c:pt>
                <c:pt idx="1">
                  <c:v>1173700</c:v>
                </c:pt>
                <c:pt idx="2">
                  <c:v>8765889</c:v>
                </c:pt>
                <c:pt idx="3">
                  <c:v>9611160</c:v>
                </c:pt>
                <c:pt idx="4">
                  <c:v>1780702</c:v>
                </c:pt>
                <c:pt idx="5">
                  <c:v>25674396</c:v>
                </c:pt>
                <c:pt idx="6">
                  <c:v>9829013</c:v>
                </c:pt>
                <c:pt idx="7">
                  <c:v>12373805</c:v>
                </c:pt>
                <c:pt idx="8">
                  <c:v>32122701</c:v>
                </c:pt>
                <c:pt idx="9">
                  <c:v>23275512</c:v>
                </c:pt>
                <c:pt idx="10">
                  <c:v>29923620</c:v>
                </c:pt>
                <c:pt idx="11">
                  <c:v>7437132</c:v>
                </c:pt>
                <c:pt idx="12">
                  <c:v>20836816</c:v>
                </c:pt>
                <c:pt idx="13">
                  <c:v>5908624</c:v>
                </c:pt>
                <c:pt idx="14">
                  <c:v>3720032</c:v>
                </c:pt>
                <c:pt idx="15">
                  <c:v>28571652</c:v>
                </c:pt>
                <c:pt idx="16">
                  <c:v>33859518</c:v>
                </c:pt>
                <c:pt idx="17">
                  <c:v>12808992</c:v>
                </c:pt>
                <c:pt idx="18">
                  <c:v>8954325</c:v>
                </c:pt>
                <c:pt idx="19">
                  <c:v>28505763</c:v>
                </c:pt>
                <c:pt idx="20">
                  <c:v>3176265</c:v>
                </c:pt>
                <c:pt idx="21">
                  <c:v>6924894</c:v>
                </c:pt>
                <c:pt idx="22">
                  <c:v>15150114</c:v>
                </c:pt>
                <c:pt idx="23">
                  <c:v>30172604</c:v>
                </c:pt>
                <c:pt idx="24">
                  <c:v>19420560</c:v>
                </c:pt>
                <c:pt idx="25">
                  <c:v>10340136</c:v>
                </c:pt>
                <c:pt idx="26">
                  <c:v>35584392</c:v>
                </c:pt>
                <c:pt idx="27">
                  <c:v>14613028</c:v>
                </c:pt>
                <c:pt idx="28">
                  <c:v>14639198</c:v>
                </c:pt>
                <c:pt idx="29">
                  <c:v>12509304</c:v>
                </c:pt>
                <c:pt idx="30">
                  <c:v>6824445</c:v>
                </c:pt>
                <c:pt idx="31">
                  <c:v>2916144</c:v>
                </c:pt>
                <c:pt idx="32">
                  <c:v>21024406</c:v>
                </c:pt>
                <c:pt idx="33">
                  <c:v>20648420</c:v>
                </c:pt>
                <c:pt idx="34">
                  <c:v>11139196</c:v>
                </c:pt>
                <c:pt idx="35">
                  <c:v>35258448</c:v>
                </c:pt>
                <c:pt idx="36">
                  <c:v>14201172</c:v>
                </c:pt>
                <c:pt idx="37">
                  <c:v>854915</c:v>
                </c:pt>
                <c:pt idx="38">
                  <c:v>22570254</c:v>
                </c:pt>
                <c:pt idx="39">
                  <c:v>6412320</c:v>
                </c:pt>
                <c:pt idx="40">
                  <c:v>12797056</c:v>
                </c:pt>
                <c:pt idx="41">
                  <c:v>15236100</c:v>
                </c:pt>
                <c:pt idx="42">
                  <c:v>10178818</c:v>
                </c:pt>
                <c:pt idx="43">
                  <c:v>15560649</c:v>
                </c:pt>
                <c:pt idx="44">
                  <c:v>24398280</c:v>
                </c:pt>
                <c:pt idx="45">
                  <c:v>4933875</c:v>
                </c:pt>
                <c:pt idx="46">
                  <c:v>7881120</c:v>
                </c:pt>
                <c:pt idx="47">
                  <c:v>36899334</c:v>
                </c:pt>
                <c:pt idx="48">
                  <c:v>19100628</c:v>
                </c:pt>
                <c:pt idx="49">
                  <c:v>24759984</c:v>
                </c:pt>
                <c:pt idx="50">
                  <c:v>5744726</c:v>
                </c:pt>
                <c:pt idx="51">
                  <c:v>9069063</c:v>
                </c:pt>
                <c:pt idx="52">
                  <c:v>14539933</c:v>
                </c:pt>
                <c:pt idx="53">
                  <c:v>28333460</c:v>
                </c:pt>
                <c:pt idx="54">
                  <c:v>6231280</c:v>
                </c:pt>
                <c:pt idx="55">
                  <c:v>4544932</c:v>
                </c:pt>
                <c:pt idx="56">
                  <c:v>19994268</c:v>
                </c:pt>
                <c:pt idx="57">
                  <c:v>28030080</c:v>
                </c:pt>
                <c:pt idx="58">
                  <c:v>12188560</c:v>
                </c:pt>
                <c:pt idx="59">
                  <c:v>11576640</c:v>
                </c:pt>
                <c:pt idx="60">
                  <c:v>2607671</c:v>
                </c:pt>
                <c:pt idx="61">
                  <c:v>29869104</c:v>
                </c:pt>
                <c:pt idx="62">
                  <c:v>5439360</c:v>
                </c:pt>
                <c:pt idx="63">
                  <c:v>6997749</c:v>
                </c:pt>
                <c:pt idx="64">
                  <c:v>20425912</c:v>
                </c:pt>
                <c:pt idx="65">
                  <c:v>9471886</c:v>
                </c:pt>
                <c:pt idx="66">
                  <c:v>17265690</c:v>
                </c:pt>
                <c:pt idx="67">
                  <c:v>7724833</c:v>
                </c:pt>
                <c:pt idx="68">
                  <c:v>18407590</c:v>
                </c:pt>
                <c:pt idx="69">
                  <c:v>20660640</c:v>
                </c:pt>
                <c:pt idx="70">
                  <c:v>13512070</c:v>
                </c:pt>
                <c:pt idx="71">
                  <c:v>16441293</c:v>
                </c:pt>
                <c:pt idx="72">
                  <c:v>4933778</c:v>
                </c:pt>
                <c:pt idx="73">
                  <c:v>7474635</c:v>
                </c:pt>
                <c:pt idx="74">
                  <c:v>10966285</c:v>
                </c:pt>
                <c:pt idx="75">
                  <c:v>19971193</c:v>
                </c:pt>
                <c:pt idx="76">
                  <c:v>5966415</c:v>
                </c:pt>
                <c:pt idx="77">
                  <c:v>16041880</c:v>
                </c:pt>
                <c:pt idx="78">
                  <c:v>21783380</c:v>
                </c:pt>
                <c:pt idx="79">
                  <c:v>5182470</c:v>
                </c:pt>
                <c:pt idx="80">
                  <c:v>3844933</c:v>
                </c:pt>
                <c:pt idx="81">
                  <c:v>9629048</c:v>
                </c:pt>
                <c:pt idx="82">
                  <c:v>17571954</c:v>
                </c:pt>
                <c:pt idx="83">
                  <c:v>39733650</c:v>
                </c:pt>
                <c:pt idx="84">
                  <c:v>20427246</c:v>
                </c:pt>
                <c:pt idx="85">
                  <c:v>14239149</c:v>
                </c:pt>
                <c:pt idx="86">
                  <c:v>17465480</c:v>
                </c:pt>
                <c:pt idx="87">
                  <c:v>4680888</c:v>
                </c:pt>
                <c:pt idx="88">
                  <c:v>25546230</c:v>
                </c:pt>
                <c:pt idx="89">
                  <c:v>5792130</c:v>
                </c:pt>
                <c:pt idx="90">
                  <c:v>13978528</c:v>
                </c:pt>
                <c:pt idx="91">
                  <c:v>4036016</c:v>
                </c:pt>
                <c:pt idx="92">
                  <c:v>6059012</c:v>
                </c:pt>
                <c:pt idx="93">
                  <c:v>30558609</c:v>
                </c:pt>
                <c:pt idx="94">
                  <c:v>21435810</c:v>
                </c:pt>
                <c:pt idx="95">
                  <c:v>8515254</c:v>
                </c:pt>
                <c:pt idx="96">
                  <c:v>29057548</c:v>
                </c:pt>
                <c:pt idx="97">
                  <c:v>37350370</c:v>
                </c:pt>
                <c:pt idx="98">
                  <c:v>7843920</c:v>
                </c:pt>
                <c:pt idx="99">
                  <c:v>8163687</c:v>
                </c:pt>
                <c:pt idx="100">
                  <c:v>26727588</c:v>
                </c:pt>
                <c:pt idx="101">
                  <c:v>33875622</c:v>
                </c:pt>
                <c:pt idx="102">
                  <c:v>27794344</c:v>
                </c:pt>
                <c:pt idx="103">
                  <c:v>36471941</c:v>
                </c:pt>
                <c:pt idx="104">
                  <c:v>3113720</c:v>
                </c:pt>
                <c:pt idx="105">
                  <c:v>30707504</c:v>
                </c:pt>
                <c:pt idx="106">
                  <c:v>8178300</c:v>
                </c:pt>
                <c:pt idx="107">
                  <c:v>18268524</c:v>
                </c:pt>
                <c:pt idx="108">
                  <c:v>1110938</c:v>
                </c:pt>
                <c:pt idx="109">
                  <c:v>8782764</c:v>
                </c:pt>
                <c:pt idx="110">
                  <c:v>23652280</c:v>
                </c:pt>
                <c:pt idx="111">
                  <c:v>22522790</c:v>
                </c:pt>
                <c:pt idx="112">
                  <c:v>26440800</c:v>
                </c:pt>
                <c:pt idx="113">
                  <c:v>15062880</c:v>
                </c:pt>
                <c:pt idx="114">
                  <c:v>8850090</c:v>
                </c:pt>
                <c:pt idx="115">
                  <c:v>11264693</c:v>
                </c:pt>
                <c:pt idx="116">
                  <c:v>10156224</c:v>
                </c:pt>
                <c:pt idx="117">
                  <c:v>36209916</c:v>
                </c:pt>
                <c:pt idx="118">
                  <c:v>17369880</c:v>
                </c:pt>
                <c:pt idx="119">
                  <c:v>1532040</c:v>
                </c:pt>
                <c:pt idx="120">
                  <c:v>23070860</c:v>
                </c:pt>
                <c:pt idx="121">
                  <c:v>6017976</c:v>
                </c:pt>
                <c:pt idx="122">
                  <c:v>16877658</c:v>
                </c:pt>
                <c:pt idx="123">
                  <c:v>22861545</c:v>
                </c:pt>
                <c:pt idx="124">
                  <c:v>42202122</c:v>
                </c:pt>
                <c:pt idx="125">
                  <c:v>38749579</c:v>
                </c:pt>
                <c:pt idx="126">
                  <c:v>6896925</c:v>
                </c:pt>
                <c:pt idx="127">
                  <c:v>21452340</c:v>
                </c:pt>
                <c:pt idx="128">
                  <c:v>22574472</c:v>
                </c:pt>
                <c:pt idx="129">
                  <c:v>13434312</c:v>
                </c:pt>
                <c:pt idx="130">
                  <c:v>21536402</c:v>
                </c:pt>
                <c:pt idx="131">
                  <c:v>8140352</c:v>
                </c:pt>
                <c:pt idx="132">
                  <c:v>22458160</c:v>
                </c:pt>
                <c:pt idx="133">
                  <c:v>14112843</c:v>
                </c:pt>
                <c:pt idx="134">
                  <c:v>30867858</c:v>
                </c:pt>
                <c:pt idx="135">
                  <c:v>35408984</c:v>
                </c:pt>
                <c:pt idx="136">
                  <c:v>30873924</c:v>
                </c:pt>
                <c:pt idx="137">
                  <c:v>14858061</c:v>
                </c:pt>
                <c:pt idx="138">
                  <c:v>9557910</c:v>
                </c:pt>
                <c:pt idx="139">
                  <c:v>23338685</c:v>
                </c:pt>
                <c:pt idx="140">
                  <c:v>17923360</c:v>
                </c:pt>
                <c:pt idx="141">
                  <c:v>25802636</c:v>
                </c:pt>
                <c:pt idx="142">
                  <c:v>5012793</c:v>
                </c:pt>
                <c:pt idx="143">
                  <c:v>33081600</c:v>
                </c:pt>
                <c:pt idx="144">
                  <c:v>5608960</c:v>
                </c:pt>
                <c:pt idx="145">
                  <c:v>25562340</c:v>
                </c:pt>
                <c:pt idx="146">
                  <c:v>13745490</c:v>
                </c:pt>
                <c:pt idx="147">
                  <c:v>9774336</c:v>
                </c:pt>
                <c:pt idx="148">
                  <c:v>2190672</c:v>
                </c:pt>
                <c:pt idx="149">
                  <c:v>26014395</c:v>
                </c:pt>
                <c:pt idx="150">
                  <c:v>4575649</c:v>
                </c:pt>
                <c:pt idx="151">
                  <c:v>27583855</c:v>
                </c:pt>
                <c:pt idx="152">
                  <c:v>17373218</c:v>
                </c:pt>
                <c:pt idx="153">
                  <c:v>2064600</c:v>
                </c:pt>
                <c:pt idx="154">
                  <c:v>41055786</c:v>
                </c:pt>
                <c:pt idx="155">
                  <c:v>24706396</c:v>
                </c:pt>
                <c:pt idx="156">
                  <c:v>35893044</c:v>
                </c:pt>
                <c:pt idx="157">
                  <c:v>9655520</c:v>
                </c:pt>
                <c:pt idx="158">
                  <c:v>41868932</c:v>
                </c:pt>
                <c:pt idx="159">
                  <c:v>22182112</c:v>
                </c:pt>
                <c:pt idx="160">
                  <c:v>2207354</c:v>
                </c:pt>
                <c:pt idx="161">
                  <c:v>1438715</c:v>
                </c:pt>
                <c:pt idx="162">
                  <c:v>9332830</c:v>
                </c:pt>
                <c:pt idx="163">
                  <c:v>11990406</c:v>
                </c:pt>
                <c:pt idx="164">
                  <c:v>19274512</c:v>
                </c:pt>
                <c:pt idx="165">
                  <c:v>32167156</c:v>
                </c:pt>
                <c:pt idx="166">
                  <c:v>9473696</c:v>
                </c:pt>
                <c:pt idx="167">
                  <c:v>6507856</c:v>
                </c:pt>
                <c:pt idx="168">
                  <c:v>21635432</c:v>
                </c:pt>
                <c:pt idx="169">
                  <c:v>7535192</c:v>
                </c:pt>
                <c:pt idx="170">
                  <c:v>1883770</c:v>
                </c:pt>
                <c:pt idx="171">
                  <c:v>10391643</c:v>
                </c:pt>
                <c:pt idx="172">
                  <c:v>18274410</c:v>
                </c:pt>
                <c:pt idx="173">
                  <c:v>7941636</c:v>
                </c:pt>
                <c:pt idx="174">
                  <c:v>10779210</c:v>
                </c:pt>
                <c:pt idx="175">
                  <c:v>6562335</c:v>
                </c:pt>
                <c:pt idx="176">
                  <c:v>46798821</c:v>
                </c:pt>
                <c:pt idx="177">
                  <c:v>5423145</c:v>
                </c:pt>
                <c:pt idx="178">
                  <c:v>13021112</c:v>
                </c:pt>
                <c:pt idx="179">
                  <c:v>13710198</c:v>
                </c:pt>
                <c:pt idx="180">
                  <c:v>9843822</c:v>
                </c:pt>
                <c:pt idx="181">
                  <c:v>4134336</c:v>
                </c:pt>
                <c:pt idx="182">
                  <c:v>42570723</c:v>
                </c:pt>
                <c:pt idx="183">
                  <c:v>22843776</c:v>
                </c:pt>
                <c:pt idx="184">
                  <c:v>3065394</c:v>
                </c:pt>
                <c:pt idx="185">
                  <c:v>11804823</c:v>
                </c:pt>
                <c:pt idx="186">
                  <c:v>13884364</c:v>
                </c:pt>
                <c:pt idx="187">
                  <c:v>12404380</c:v>
                </c:pt>
                <c:pt idx="188">
                  <c:v>19928340</c:v>
                </c:pt>
                <c:pt idx="189">
                  <c:v>17907420</c:v>
                </c:pt>
                <c:pt idx="190">
                  <c:v>13731057</c:v>
                </c:pt>
                <c:pt idx="191">
                  <c:v>13884801</c:v>
                </c:pt>
                <c:pt idx="192">
                  <c:v>16635501</c:v>
                </c:pt>
                <c:pt idx="193">
                  <c:v>18659248</c:v>
                </c:pt>
                <c:pt idx="194">
                  <c:v>17692922</c:v>
                </c:pt>
                <c:pt idx="195">
                  <c:v>3716211</c:v>
                </c:pt>
                <c:pt idx="196">
                  <c:v>2861617</c:v>
                </c:pt>
                <c:pt idx="197">
                  <c:v>39296040</c:v>
                </c:pt>
                <c:pt idx="198">
                  <c:v>1667848</c:v>
                </c:pt>
                <c:pt idx="199">
                  <c:v>9712427</c:v>
                </c:pt>
                <c:pt idx="200">
                  <c:v>3835134</c:v>
                </c:pt>
                <c:pt idx="201">
                  <c:v>27459210</c:v>
                </c:pt>
                <c:pt idx="202">
                  <c:v>39194135</c:v>
                </c:pt>
                <c:pt idx="203">
                  <c:v>9318815</c:v>
                </c:pt>
                <c:pt idx="204">
                  <c:v>8984360</c:v>
                </c:pt>
                <c:pt idx="205">
                  <c:v>18453489</c:v>
                </c:pt>
                <c:pt idx="206">
                  <c:v>27518080</c:v>
                </c:pt>
                <c:pt idx="207">
                  <c:v>10276824</c:v>
                </c:pt>
                <c:pt idx="208">
                  <c:v>26320108</c:v>
                </c:pt>
                <c:pt idx="209">
                  <c:v>40957463</c:v>
                </c:pt>
                <c:pt idx="210">
                  <c:v>6598095</c:v>
                </c:pt>
                <c:pt idx="211">
                  <c:v>5778708</c:v>
                </c:pt>
                <c:pt idx="212">
                  <c:v>17366283</c:v>
                </c:pt>
                <c:pt idx="213">
                  <c:v>18661345</c:v>
                </c:pt>
                <c:pt idx="214">
                  <c:v>12114270</c:v>
                </c:pt>
                <c:pt idx="215">
                  <c:v>34483248</c:v>
                </c:pt>
                <c:pt idx="216">
                  <c:v>25656840</c:v>
                </c:pt>
                <c:pt idx="217">
                  <c:v>15269220</c:v>
                </c:pt>
                <c:pt idx="218">
                  <c:v>14618605</c:v>
                </c:pt>
                <c:pt idx="219">
                  <c:v>16457460</c:v>
                </c:pt>
                <c:pt idx="220">
                  <c:v>32306172</c:v>
                </c:pt>
                <c:pt idx="221">
                  <c:v>5767152</c:v>
                </c:pt>
                <c:pt idx="222">
                  <c:v>37573665</c:v>
                </c:pt>
                <c:pt idx="223">
                  <c:v>21864867</c:v>
                </c:pt>
                <c:pt idx="224">
                  <c:v>1835634</c:v>
                </c:pt>
                <c:pt idx="225">
                  <c:v>34801650</c:v>
                </c:pt>
                <c:pt idx="226">
                  <c:v>18742020</c:v>
                </c:pt>
                <c:pt idx="227">
                  <c:v>12184991</c:v>
                </c:pt>
                <c:pt idx="228">
                  <c:v>4813992</c:v>
                </c:pt>
                <c:pt idx="229">
                  <c:v>30043024</c:v>
                </c:pt>
                <c:pt idx="230">
                  <c:v>22892012</c:v>
                </c:pt>
                <c:pt idx="231">
                  <c:v>3053525</c:v>
                </c:pt>
                <c:pt idx="232">
                  <c:v>46144710</c:v>
                </c:pt>
                <c:pt idx="233">
                  <c:v>30557996</c:v>
                </c:pt>
                <c:pt idx="234">
                  <c:v>17341578</c:v>
                </c:pt>
                <c:pt idx="235">
                  <c:v>8578500</c:v>
                </c:pt>
                <c:pt idx="236">
                  <c:v>5015520</c:v>
                </c:pt>
                <c:pt idx="237">
                  <c:v>7262904</c:v>
                </c:pt>
                <c:pt idx="238">
                  <c:v>12101600</c:v>
                </c:pt>
                <c:pt idx="239">
                  <c:v>10870099</c:v>
                </c:pt>
                <c:pt idx="240">
                  <c:v>28877121</c:v>
                </c:pt>
                <c:pt idx="241">
                  <c:v>8302480</c:v>
                </c:pt>
                <c:pt idx="242">
                  <c:v>19355700</c:v>
                </c:pt>
                <c:pt idx="243">
                  <c:v>10048885</c:v>
                </c:pt>
                <c:pt idx="244">
                  <c:v>14071790</c:v>
                </c:pt>
                <c:pt idx="245">
                  <c:v>16188969</c:v>
                </c:pt>
                <c:pt idx="246">
                  <c:v>14602210</c:v>
                </c:pt>
                <c:pt idx="247">
                  <c:v>21994664</c:v>
                </c:pt>
                <c:pt idx="248">
                  <c:v>16316951</c:v>
                </c:pt>
                <c:pt idx="249">
                  <c:v>8077195</c:v>
                </c:pt>
                <c:pt idx="250">
                  <c:v>5875200</c:v>
                </c:pt>
                <c:pt idx="251">
                  <c:v>18139622</c:v>
                </c:pt>
                <c:pt idx="252">
                  <c:v>16654036</c:v>
                </c:pt>
                <c:pt idx="253">
                  <c:v>8356356</c:v>
                </c:pt>
                <c:pt idx="254">
                  <c:v>4227858</c:v>
                </c:pt>
                <c:pt idx="255">
                  <c:v>3465018</c:v>
                </c:pt>
                <c:pt idx="256">
                  <c:v>9466581</c:v>
                </c:pt>
                <c:pt idx="257">
                  <c:v>27902082</c:v>
                </c:pt>
                <c:pt idx="258">
                  <c:v>2788120</c:v>
                </c:pt>
                <c:pt idx="259">
                  <c:v>24952488</c:v>
                </c:pt>
                <c:pt idx="260">
                  <c:v>8112960</c:v>
                </c:pt>
                <c:pt idx="261">
                  <c:v>18260850</c:v>
                </c:pt>
                <c:pt idx="262">
                  <c:v>37529760</c:v>
                </c:pt>
                <c:pt idx="263">
                  <c:v>9145672</c:v>
                </c:pt>
                <c:pt idx="264">
                  <c:v>27942379</c:v>
                </c:pt>
                <c:pt idx="265">
                  <c:v>15959344</c:v>
                </c:pt>
                <c:pt idx="266">
                  <c:v>30821736</c:v>
                </c:pt>
                <c:pt idx="267">
                  <c:v>9919800</c:v>
                </c:pt>
                <c:pt idx="268">
                  <c:v>9529115</c:v>
                </c:pt>
                <c:pt idx="269">
                  <c:v>9251714</c:v>
                </c:pt>
                <c:pt idx="270">
                  <c:v>5603370</c:v>
                </c:pt>
                <c:pt idx="271">
                  <c:v>9424540</c:v>
                </c:pt>
                <c:pt idx="272">
                  <c:v>8081760</c:v>
                </c:pt>
                <c:pt idx="273">
                  <c:v>9294787</c:v>
                </c:pt>
                <c:pt idx="274">
                  <c:v>2380180</c:v>
                </c:pt>
                <c:pt idx="275">
                  <c:v>8247634</c:v>
                </c:pt>
                <c:pt idx="276">
                  <c:v>5779392</c:v>
                </c:pt>
                <c:pt idx="277">
                  <c:v>18322920</c:v>
                </c:pt>
                <c:pt idx="278">
                  <c:v>37670478</c:v>
                </c:pt>
                <c:pt idx="279">
                  <c:v>24315468</c:v>
                </c:pt>
                <c:pt idx="280">
                  <c:v>15826320</c:v>
                </c:pt>
                <c:pt idx="281">
                  <c:v>11768040</c:v>
                </c:pt>
                <c:pt idx="282">
                  <c:v>27542911</c:v>
                </c:pt>
                <c:pt idx="283">
                  <c:v>20944500</c:v>
                </c:pt>
                <c:pt idx="284">
                  <c:v>29886508</c:v>
                </c:pt>
                <c:pt idx="285">
                  <c:v>40410540</c:v>
                </c:pt>
                <c:pt idx="286">
                  <c:v>10356500</c:v>
                </c:pt>
                <c:pt idx="287">
                  <c:v>24587411</c:v>
                </c:pt>
                <c:pt idx="288">
                  <c:v>3528250</c:v>
                </c:pt>
                <c:pt idx="289">
                  <c:v>41451444</c:v>
                </c:pt>
                <c:pt idx="290">
                  <c:v>19621980</c:v>
                </c:pt>
                <c:pt idx="291">
                  <c:v>14029656</c:v>
                </c:pt>
                <c:pt idx="292">
                  <c:v>13559580</c:v>
                </c:pt>
                <c:pt idx="293">
                  <c:v>3243640</c:v>
                </c:pt>
                <c:pt idx="294">
                  <c:v>28507392</c:v>
                </c:pt>
                <c:pt idx="295">
                  <c:v>20847342</c:v>
                </c:pt>
                <c:pt idx="296">
                  <c:v>2609212</c:v>
                </c:pt>
                <c:pt idx="297">
                  <c:v>36975141</c:v>
                </c:pt>
                <c:pt idx="298">
                  <c:v>5645015</c:v>
                </c:pt>
                <c:pt idx="299">
                  <c:v>21854420</c:v>
                </c:pt>
                <c:pt idx="300">
                  <c:v>31640987</c:v>
                </c:pt>
                <c:pt idx="301">
                  <c:v>41763188</c:v>
                </c:pt>
                <c:pt idx="302">
                  <c:v>5750520</c:v>
                </c:pt>
                <c:pt idx="303">
                  <c:v>40285274</c:v>
                </c:pt>
                <c:pt idx="304">
                  <c:v>37018486</c:v>
                </c:pt>
                <c:pt idx="305">
                  <c:v>19922738</c:v>
                </c:pt>
                <c:pt idx="306">
                  <c:v>13328480</c:v>
                </c:pt>
                <c:pt idx="307">
                  <c:v>12146316</c:v>
                </c:pt>
                <c:pt idx="308">
                  <c:v>14994005</c:v>
                </c:pt>
                <c:pt idx="309">
                  <c:v>26644258</c:v>
                </c:pt>
                <c:pt idx="310">
                  <c:v>20421713</c:v>
                </c:pt>
                <c:pt idx="311">
                  <c:v>27859596</c:v>
                </c:pt>
                <c:pt idx="312">
                  <c:v>1992340</c:v>
                </c:pt>
                <c:pt idx="313">
                  <c:v>26785668</c:v>
                </c:pt>
                <c:pt idx="314">
                  <c:v>11804710</c:v>
                </c:pt>
                <c:pt idx="315">
                  <c:v>10705788</c:v>
                </c:pt>
                <c:pt idx="316">
                  <c:v>14358744</c:v>
                </c:pt>
                <c:pt idx="317">
                  <c:v>3603696</c:v>
                </c:pt>
                <c:pt idx="318">
                  <c:v>8976080</c:v>
                </c:pt>
                <c:pt idx="319">
                  <c:v>1592830</c:v>
                </c:pt>
                <c:pt idx="320">
                  <c:v>31561068</c:v>
                </c:pt>
                <c:pt idx="321">
                  <c:v>21259238</c:v>
                </c:pt>
                <c:pt idx="322">
                  <c:v>13724032</c:v>
                </c:pt>
                <c:pt idx="323">
                  <c:v>5993175</c:v>
                </c:pt>
                <c:pt idx="324">
                  <c:v>2843632</c:v>
                </c:pt>
                <c:pt idx="325">
                  <c:v>5275312</c:v>
                </c:pt>
                <c:pt idx="326">
                  <c:v>3710265</c:v>
                </c:pt>
                <c:pt idx="327">
                  <c:v>9366928</c:v>
                </c:pt>
                <c:pt idx="328">
                  <c:v>1443772</c:v>
                </c:pt>
                <c:pt idx="329">
                  <c:v>4738600</c:v>
                </c:pt>
                <c:pt idx="330">
                  <c:v>6983562</c:v>
                </c:pt>
                <c:pt idx="331">
                  <c:v>9613224</c:v>
                </c:pt>
                <c:pt idx="332">
                  <c:v>5612448</c:v>
                </c:pt>
                <c:pt idx="333">
                  <c:v>13062598</c:v>
                </c:pt>
                <c:pt idx="334">
                  <c:v>6022695</c:v>
                </c:pt>
                <c:pt idx="335">
                  <c:v>4524831</c:v>
                </c:pt>
                <c:pt idx="336">
                  <c:v>40029200</c:v>
                </c:pt>
                <c:pt idx="337">
                  <c:v>23010060</c:v>
                </c:pt>
                <c:pt idx="338">
                  <c:v>38217190</c:v>
                </c:pt>
                <c:pt idx="339">
                  <c:v>33041439</c:v>
                </c:pt>
                <c:pt idx="340">
                  <c:v>5446644</c:v>
                </c:pt>
                <c:pt idx="341">
                  <c:v>19376280</c:v>
                </c:pt>
                <c:pt idx="342">
                  <c:v>15652589</c:v>
                </c:pt>
                <c:pt idx="343">
                  <c:v>8144598</c:v>
                </c:pt>
                <c:pt idx="344">
                  <c:v>818879</c:v>
                </c:pt>
                <c:pt idx="345">
                  <c:v>13271475</c:v>
                </c:pt>
                <c:pt idx="346">
                  <c:v>21802725</c:v>
                </c:pt>
                <c:pt idx="347">
                  <c:v>28038283</c:v>
                </c:pt>
                <c:pt idx="348">
                  <c:v>8399664</c:v>
                </c:pt>
                <c:pt idx="349">
                  <c:v>14665296</c:v>
                </c:pt>
                <c:pt idx="350">
                  <c:v>20712216</c:v>
                </c:pt>
                <c:pt idx="351">
                  <c:v>10472544</c:v>
                </c:pt>
                <c:pt idx="352">
                  <c:v>14922660</c:v>
                </c:pt>
                <c:pt idx="353">
                  <c:v>12464964</c:v>
                </c:pt>
                <c:pt idx="354">
                  <c:v>8355200</c:v>
                </c:pt>
                <c:pt idx="355">
                  <c:v>8090928</c:v>
                </c:pt>
                <c:pt idx="356">
                  <c:v>15684783</c:v>
                </c:pt>
                <c:pt idx="357">
                  <c:v>37131250</c:v>
                </c:pt>
                <c:pt idx="358">
                  <c:v>25160520</c:v>
                </c:pt>
                <c:pt idx="359">
                  <c:v>9836553</c:v>
                </c:pt>
                <c:pt idx="360">
                  <c:v>5609825</c:v>
                </c:pt>
                <c:pt idx="361">
                  <c:v>15535464</c:v>
                </c:pt>
                <c:pt idx="362">
                  <c:v>33742160</c:v>
                </c:pt>
                <c:pt idx="363">
                  <c:v>3166703</c:v>
                </c:pt>
                <c:pt idx="364">
                  <c:v>28758204</c:v>
                </c:pt>
                <c:pt idx="365">
                  <c:v>11651095</c:v>
                </c:pt>
                <c:pt idx="366">
                  <c:v>27909035</c:v>
                </c:pt>
                <c:pt idx="367">
                  <c:v>17930441</c:v>
                </c:pt>
                <c:pt idx="368">
                  <c:v>10833760</c:v>
                </c:pt>
                <c:pt idx="369">
                  <c:v>19631349</c:v>
                </c:pt>
                <c:pt idx="370">
                  <c:v>6231303</c:v>
                </c:pt>
                <c:pt idx="371">
                  <c:v>4192248</c:v>
                </c:pt>
                <c:pt idx="372">
                  <c:v>16805120</c:v>
                </c:pt>
                <c:pt idx="373">
                  <c:v>12377566</c:v>
                </c:pt>
                <c:pt idx="374">
                  <c:v>4845465</c:v>
                </c:pt>
                <c:pt idx="375">
                  <c:v>8974572</c:v>
                </c:pt>
                <c:pt idx="376">
                  <c:v>4020312</c:v>
                </c:pt>
                <c:pt idx="377">
                  <c:v>6690753</c:v>
                </c:pt>
                <c:pt idx="378">
                  <c:v>37928328</c:v>
                </c:pt>
                <c:pt idx="379">
                  <c:v>36297096</c:v>
                </c:pt>
                <c:pt idx="380">
                  <c:v>34091035</c:v>
                </c:pt>
                <c:pt idx="381">
                  <c:v>8678960</c:v>
                </c:pt>
                <c:pt idx="382">
                  <c:v>25232760</c:v>
                </c:pt>
                <c:pt idx="383">
                  <c:v>12954785</c:v>
                </c:pt>
                <c:pt idx="384">
                  <c:v>12482297</c:v>
                </c:pt>
                <c:pt idx="385">
                  <c:v>12975774</c:v>
                </c:pt>
                <c:pt idx="386">
                  <c:v>6781110</c:v>
                </c:pt>
                <c:pt idx="387">
                  <c:v>22905150</c:v>
                </c:pt>
                <c:pt idx="388">
                  <c:v>15443259</c:v>
                </c:pt>
                <c:pt idx="389">
                  <c:v>5236014</c:v>
                </c:pt>
                <c:pt idx="390">
                  <c:v>17996048</c:v>
                </c:pt>
                <c:pt idx="391">
                  <c:v>25844385</c:v>
                </c:pt>
                <c:pt idx="392">
                  <c:v>10994460</c:v>
                </c:pt>
                <c:pt idx="393">
                  <c:v>21091643</c:v>
                </c:pt>
                <c:pt idx="394">
                  <c:v>25921584</c:v>
                </c:pt>
                <c:pt idx="395">
                  <c:v>15435925</c:v>
                </c:pt>
                <c:pt idx="396">
                  <c:v>3207537</c:v>
                </c:pt>
                <c:pt idx="397">
                  <c:v>20008934</c:v>
                </c:pt>
                <c:pt idx="398">
                  <c:v>11152728</c:v>
                </c:pt>
                <c:pt idx="399">
                  <c:v>29709418</c:v>
                </c:pt>
                <c:pt idx="400">
                  <c:v>2927925</c:v>
                </c:pt>
                <c:pt idx="401">
                  <c:v>7810125</c:v>
                </c:pt>
                <c:pt idx="402">
                  <c:v>28614875</c:v>
                </c:pt>
                <c:pt idx="403">
                  <c:v>24609819</c:v>
                </c:pt>
                <c:pt idx="404">
                  <c:v>2047676</c:v>
                </c:pt>
                <c:pt idx="405">
                  <c:v>1389384</c:v>
                </c:pt>
                <c:pt idx="406">
                  <c:v>27406812</c:v>
                </c:pt>
                <c:pt idx="407">
                  <c:v>20036850</c:v>
                </c:pt>
                <c:pt idx="408">
                  <c:v>24904250</c:v>
                </c:pt>
                <c:pt idx="409">
                  <c:v>7310358</c:v>
                </c:pt>
                <c:pt idx="410">
                  <c:v>15203840</c:v>
                </c:pt>
                <c:pt idx="411">
                  <c:v>13588480</c:v>
                </c:pt>
                <c:pt idx="412">
                  <c:v>17524656</c:v>
                </c:pt>
                <c:pt idx="413">
                  <c:v>20487338</c:v>
                </c:pt>
                <c:pt idx="414">
                  <c:v>5328375</c:v>
                </c:pt>
                <c:pt idx="415">
                  <c:v>2477372</c:v>
                </c:pt>
                <c:pt idx="416">
                  <c:v>28673841</c:v>
                </c:pt>
                <c:pt idx="417">
                  <c:v>39891250</c:v>
                </c:pt>
                <c:pt idx="418">
                  <c:v>30998305</c:v>
                </c:pt>
                <c:pt idx="419">
                  <c:v>3136556</c:v>
                </c:pt>
                <c:pt idx="420">
                  <c:v>13505730</c:v>
                </c:pt>
                <c:pt idx="421">
                  <c:v>13335195</c:v>
                </c:pt>
                <c:pt idx="422">
                  <c:v>10629234</c:v>
                </c:pt>
                <c:pt idx="423">
                  <c:v>3126816</c:v>
                </c:pt>
                <c:pt idx="424">
                  <c:v>14272214</c:v>
                </c:pt>
                <c:pt idx="425">
                  <c:v>42192144</c:v>
                </c:pt>
                <c:pt idx="426">
                  <c:v>23241960</c:v>
                </c:pt>
                <c:pt idx="427">
                  <c:v>20942828</c:v>
                </c:pt>
                <c:pt idx="428">
                  <c:v>8120158</c:v>
                </c:pt>
                <c:pt idx="429">
                  <c:v>5059080</c:v>
                </c:pt>
                <c:pt idx="430">
                  <c:v>3603966</c:v>
                </c:pt>
                <c:pt idx="431">
                  <c:v>1461180</c:v>
                </c:pt>
                <c:pt idx="432">
                  <c:v>40553469</c:v>
                </c:pt>
                <c:pt idx="433">
                  <c:v>21544209</c:v>
                </c:pt>
                <c:pt idx="434">
                  <c:v>946720</c:v>
                </c:pt>
                <c:pt idx="435">
                  <c:v>20971980</c:v>
                </c:pt>
                <c:pt idx="436">
                  <c:v>31660238</c:v>
                </c:pt>
                <c:pt idx="437">
                  <c:v>9735930</c:v>
                </c:pt>
                <c:pt idx="438">
                  <c:v>25564260</c:v>
                </c:pt>
                <c:pt idx="439">
                  <c:v>16962120</c:v>
                </c:pt>
                <c:pt idx="440">
                  <c:v>20075976</c:v>
                </c:pt>
                <c:pt idx="441">
                  <c:v>8174775</c:v>
                </c:pt>
                <c:pt idx="442">
                  <c:v>47466950</c:v>
                </c:pt>
                <c:pt idx="443">
                  <c:v>25030035</c:v>
                </c:pt>
                <c:pt idx="444">
                  <c:v>9177019</c:v>
                </c:pt>
                <c:pt idx="445">
                  <c:v>9075380</c:v>
                </c:pt>
                <c:pt idx="446">
                  <c:v>7395319</c:v>
                </c:pt>
                <c:pt idx="447">
                  <c:v>9287538</c:v>
                </c:pt>
                <c:pt idx="448">
                  <c:v>14886144</c:v>
                </c:pt>
                <c:pt idx="449">
                  <c:v>26799449</c:v>
                </c:pt>
                <c:pt idx="450">
                  <c:v>8477460</c:v>
                </c:pt>
                <c:pt idx="451">
                  <c:v>11170404</c:v>
                </c:pt>
                <c:pt idx="452">
                  <c:v>9107822</c:v>
                </c:pt>
                <c:pt idx="453">
                  <c:v>13038370</c:v>
                </c:pt>
                <c:pt idx="454">
                  <c:v>2417361</c:v>
                </c:pt>
                <c:pt idx="455">
                  <c:v>13065747</c:v>
                </c:pt>
                <c:pt idx="456">
                  <c:v>2815183</c:v>
                </c:pt>
                <c:pt idx="457">
                  <c:v>7284600</c:v>
                </c:pt>
                <c:pt idx="458">
                  <c:v>6006468</c:v>
                </c:pt>
                <c:pt idx="459">
                  <c:v>21396270</c:v>
                </c:pt>
                <c:pt idx="460">
                  <c:v>4629958</c:v>
                </c:pt>
                <c:pt idx="461">
                  <c:v>8598308</c:v>
                </c:pt>
                <c:pt idx="462">
                  <c:v>11946270</c:v>
                </c:pt>
                <c:pt idx="463">
                  <c:v>6507774</c:v>
                </c:pt>
                <c:pt idx="464">
                  <c:v>7830880</c:v>
                </c:pt>
                <c:pt idx="465">
                  <c:v>11521682</c:v>
                </c:pt>
                <c:pt idx="466">
                  <c:v>29301104</c:v>
                </c:pt>
                <c:pt idx="467">
                  <c:v>33636626</c:v>
                </c:pt>
                <c:pt idx="468">
                  <c:v>9938760</c:v>
                </c:pt>
                <c:pt idx="469">
                  <c:v>3808000</c:v>
                </c:pt>
                <c:pt idx="470">
                  <c:v>24245928</c:v>
                </c:pt>
                <c:pt idx="471">
                  <c:v>10456200</c:v>
                </c:pt>
                <c:pt idx="472">
                  <c:v>5739918</c:v>
                </c:pt>
                <c:pt idx="473">
                  <c:v>2407928</c:v>
                </c:pt>
                <c:pt idx="474">
                  <c:v>8516508</c:v>
                </c:pt>
                <c:pt idx="475">
                  <c:v>38305520</c:v>
                </c:pt>
                <c:pt idx="476">
                  <c:v>10696210</c:v>
                </c:pt>
                <c:pt idx="477">
                  <c:v>14736968</c:v>
                </c:pt>
                <c:pt idx="478">
                  <c:v>6495787</c:v>
                </c:pt>
                <c:pt idx="479">
                  <c:v>36724720</c:v>
                </c:pt>
                <c:pt idx="480">
                  <c:v>6746130</c:v>
                </c:pt>
                <c:pt idx="481">
                  <c:v>20918295</c:v>
                </c:pt>
                <c:pt idx="482">
                  <c:v>20894640</c:v>
                </c:pt>
                <c:pt idx="483">
                  <c:v>41326440</c:v>
                </c:pt>
                <c:pt idx="484">
                  <c:v>15143716</c:v>
                </c:pt>
                <c:pt idx="485">
                  <c:v>11500590</c:v>
                </c:pt>
                <c:pt idx="486">
                  <c:v>11372944</c:v>
                </c:pt>
                <c:pt idx="487">
                  <c:v>10497384</c:v>
                </c:pt>
                <c:pt idx="488">
                  <c:v>24567228</c:v>
                </c:pt>
                <c:pt idx="489">
                  <c:v>13622347</c:v>
                </c:pt>
                <c:pt idx="490">
                  <c:v>18614760</c:v>
                </c:pt>
                <c:pt idx="491">
                  <c:v>12583414</c:v>
                </c:pt>
                <c:pt idx="492">
                  <c:v>12729448</c:v>
                </c:pt>
                <c:pt idx="493">
                  <c:v>34096300</c:v>
                </c:pt>
                <c:pt idx="494">
                  <c:v>7191180</c:v>
                </c:pt>
                <c:pt idx="495">
                  <c:v>41412620</c:v>
                </c:pt>
                <c:pt idx="496">
                  <c:v>15417974</c:v>
                </c:pt>
                <c:pt idx="497">
                  <c:v>14341830</c:v>
                </c:pt>
                <c:pt idx="498">
                  <c:v>2901392</c:v>
                </c:pt>
                <c:pt idx="499">
                  <c:v>4011497</c:v>
                </c:pt>
              </c:numCache>
            </c:numRef>
          </c:yVal>
          <c:smooth val="0"/>
          <c:extLst>
            <c:ext xmlns:c16="http://schemas.microsoft.com/office/drawing/2014/chart" uri="{C3380CC4-5D6E-409C-BE32-E72D297353CC}">
              <c16:uniqueId val="{00000000-6955-4F1D-A855-7C21F91B31E4}"/>
            </c:ext>
          </c:extLst>
        </c:ser>
        <c:dLbls>
          <c:showLegendKey val="0"/>
          <c:showVal val="0"/>
          <c:showCatName val="0"/>
          <c:showSerName val="0"/>
          <c:showPercent val="0"/>
          <c:showBubbleSize val="0"/>
        </c:dLbls>
        <c:axId val="1016012271"/>
        <c:axId val="1016013711"/>
      </c:scatterChart>
      <c:valAx>
        <c:axId val="1016012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Land</a:t>
                </a:r>
                <a:r>
                  <a:rPr lang="en-US" baseline="0"/>
                  <a:t> size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013711"/>
        <c:crosses val="autoZero"/>
        <c:crossBetween val="midCat"/>
      </c:valAx>
      <c:valAx>
        <c:axId val="10160137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prize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6A]#,##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0122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Real Estate Project.xlsx]Sheet3!PivotTable46</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a:t>
            </a:r>
            <a:r>
              <a:rPr lang="en-US" b="1" baseline="0">
                <a:solidFill>
                  <a:schemeClr val="tx1"/>
                </a:solidFill>
              </a:rPr>
              <a:t> Revenue by Region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3300"/>
          </a:solidFill>
          <a:ln>
            <a:noFill/>
          </a:ln>
          <a:effectLst/>
        </c:spPr>
      </c:pivotFmt>
      <c:pivotFmt>
        <c:idx val="4"/>
        <c:spPr>
          <a:solidFill>
            <a:schemeClr val="accent2">
              <a:lumMod val="75000"/>
            </a:schemeClr>
          </a:solidFill>
          <a:ln>
            <a:noFill/>
          </a:ln>
          <a:effectLst/>
        </c:spPr>
      </c:pivotFmt>
      <c:pivotFmt>
        <c:idx val="5"/>
        <c:spPr>
          <a:solidFill>
            <a:schemeClr val="accent3">
              <a:lumMod val="50000"/>
            </a:schemeClr>
          </a:solidFill>
          <a:ln>
            <a:noFill/>
          </a:ln>
          <a:effectLst/>
        </c:spPr>
      </c:pivotFmt>
      <c:pivotFmt>
        <c:idx val="6"/>
        <c:spPr>
          <a:solidFill>
            <a:schemeClr val="accent5">
              <a:lumMod val="75000"/>
            </a:schemeClr>
          </a:solidFill>
          <a:ln>
            <a:noFill/>
          </a:ln>
          <a:effectLst/>
        </c:spPr>
      </c:pivotFmt>
      <c:pivotFmt>
        <c:idx val="7"/>
        <c:spPr>
          <a:solidFill>
            <a:schemeClr val="tx1">
              <a:lumMod val="65000"/>
              <a:lumOff val="35000"/>
            </a:schemeClr>
          </a:solidFill>
          <a:ln>
            <a:noFill/>
          </a:ln>
          <a:effectLst/>
        </c:spPr>
      </c:pivotFmt>
      <c:pivotFmt>
        <c:idx val="8"/>
        <c:spPr>
          <a:solidFill>
            <a:srgbClr val="99FF66"/>
          </a:solidFill>
          <a:ln>
            <a:noFill/>
          </a:ln>
          <a:effectLst/>
        </c:spPr>
      </c:pivotFmt>
    </c:pivotFmts>
    <c:plotArea>
      <c:layout/>
      <c:barChart>
        <c:barDir val="col"/>
        <c:grouping val="clustered"/>
        <c:varyColors val="0"/>
        <c:ser>
          <c:idx val="0"/>
          <c:order val="0"/>
          <c:tx>
            <c:strRef>
              <c:f>Sheet3!$V$30</c:f>
              <c:strCache>
                <c:ptCount val="1"/>
                <c:pt idx="0">
                  <c:v>Total</c:v>
                </c:pt>
              </c:strCache>
            </c:strRef>
          </c:tx>
          <c:spPr>
            <a:solidFill>
              <a:schemeClr val="accent1"/>
            </a:solidFill>
            <a:ln>
              <a:noFill/>
            </a:ln>
            <a:effectLst/>
          </c:spPr>
          <c:invertIfNegative val="0"/>
          <c:dPt>
            <c:idx val="0"/>
            <c:invertIfNegative val="0"/>
            <c:bubble3D val="0"/>
            <c:spPr>
              <a:solidFill>
                <a:srgbClr val="FF3300"/>
              </a:solidFill>
              <a:ln>
                <a:noFill/>
              </a:ln>
              <a:effectLst/>
            </c:spPr>
            <c:extLst>
              <c:ext xmlns:c16="http://schemas.microsoft.com/office/drawing/2014/chart" uri="{C3380CC4-5D6E-409C-BE32-E72D297353CC}">
                <c16:uniqueId val="{00000001-8A12-45E3-A438-444B1B28EA08}"/>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2-8A12-45E3-A438-444B1B28EA08}"/>
              </c:ext>
            </c:extLst>
          </c:dPt>
          <c:dPt>
            <c:idx val="2"/>
            <c:invertIfNegative val="0"/>
            <c:bubble3D val="0"/>
            <c:spPr>
              <a:solidFill>
                <a:schemeClr val="accent3">
                  <a:lumMod val="50000"/>
                </a:schemeClr>
              </a:solidFill>
              <a:ln>
                <a:noFill/>
              </a:ln>
              <a:effectLst/>
            </c:spPr>
            <c:extLst>
              <c:ext xmlns:c16="http://schemas.microsoft.com/office/drawing/2014/chart" uri="{C3380CC4-5D6E-409C-BE32-E72D297353CC}">
                <c16:uniqueId val="{00000003-8A12-45E3-A438-444B1B28EA0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8A12-45E3-A438-444B1B28EA08}"/>
              </c:ext>
            </c:extLst>
          </c:dPt>
          <c:dPt>
            <c:idx val="4"/>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5-8A12-45E3-A438-444B1B28EA08}"/>
              </c:ext>
            </c:extLst>
          </c:dPt>
          <c:dPt>
            <c:idx val="5"/>
            <c:invertIfNegative val="0"/>
            <c:bubble3D val="0"/>
            <c:spPr>
              <a:solidFill>
                <a:srgbClr val="99FF66"/>
              </a:solidFill>
              <a:ln>
                <a:noFill/>
              </a:ln>
              <a:effectLst/>
            </c:spPr>
            <c:extLst>
              <c:ext xmlns:c16="http://schemas.microsoft.com/office/drawing/2014/chart" uri="{C3380CC4-5D6E-409C-BE32-E72D297353CC}">
                <c16:uniqueId val="{00000006-8A12-45E3-A438-444B1B28EA08}"/>
              </c:ext>
            </c:extLst>
          </c:dPt>
          <c:cat>
            <c:strRef>
              <c:f>Sheet3!$U$31:$U$37</c:f>
              <c:strCache>
                <c:ptCount val="6"/>
                <c:pt idx="0">
                  <c:v>North Central</c:v>
                </c:pt>
                <c:pt idx="1">
                  <c:v>North East</c:v>
                </c:pt>
                <c:pt idx="2">
                  <c:v>North West</c:v>
                </c:pt>
                <c:pt idx="3">
                  <c:v>South East</c:v>
                </c:pt>
                <c:pt idx="4">
                  <c:v>South South</c:v>
                </c:pt>
                <c:pt idx="5">
                  <c:v>South West</c:v>
                </c:pt>
              </c:strCache>
            </c:strRef>
          </c:cat>
          <c:val>
            <c:numRef>
              <c:f>Sheet3!$V$31:$V$37</c:f>
              <c:numCache>
                <c:formatCode>[$₦-46A]#,##0</c:formatCode>
                <c:ptCount val="6"/>
                <c:pt idx="0">
                  <c:v>1115523010.0222998</c:v>
                </c:pt>
                <c:pt idx="1">
                  <c:v>1479820169.2875998</c:v>
                </c:pt>
                <c:pt idx="2">
                  <c:v>1139692481.9801002</c:v>
                </c:pt>
                <c:pt idx="3">
                  <c:v>1373669679.2710001</c:v>
                </c:pt>
                <c:pt idx="4">
                  <c:v>1285403700.8934</c:v>
                </c:pt>
                <c:pt idx="5">
                  <c:v>1344178514.3487</c:v>
                </c:pt>
              </c:numCache>
            </c:numRef>
          </c:val>
          <c:extLst>
            <c:ext xmlns:c16="http://schemas.microsoft.com/office/drawing/2014/chart" uri="{C3380CC4-5D6E-409C-BE32-E72D297353CC}">
              <c16:uniqueId val="{00000000-8A12-45E3-A438-444B1B28EA08}"/>
            </c:ext>
          </c:extLst>
        </c:ser>
        <c:dLbls>
          <c:showLegendKey val="0"/>
          <c:showVal val="0"/>
          <c:showCatName val="0"/>
          <c:showSerName val="0"/>
          <c:showPercent val="0"/>
          <c:showBubbleSize val="0"/>
        </c:dLbls>
        <c:gapWidth val="150"/>
        <c:axId val="403990128"/>
        <c:axId val="403990608"/>
      </c:barChart>
      <c:catAx>
        <c:axId val="4039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990608"/>
        <c:crosses val="autoZero"/>
        <c:auto val="1"/>
        <c:lblAlgn val="ctr"/>
        <c:lblOffset val="100"/>
        <c:noMultiLvlLbl val="0"/>
      </c:catAx>
      <c:valAx>
        <c:axId val="403990608"/>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9901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Real Estate Project.xlsx]Sheet3!PivotTable21</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Average Price per</a:t>
            </a:r>
            <a:r>
              <a:rPr lang="en-US" b="1" baseline="0">
                <a:solidFill>
                  <a:schemeClr val="tx1"/>
                </a:solidFill>
              </a:rPr>
              <a:t> SQM by Property Type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385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55F43"/>
          </a:solidFill>
          <a:ln>
            <a:noFill/>
          </a:ln>
          <a:effectLst/>
        </c:spPr>
      </c:pivotFmt>
      <c:pivotFmt>
        <c:idx val="4"/>
        <c:spPr>
          <a:solidFill>
            <a:srgbClr val="D23A36"/>
          </a:solidFill>
          <a:ln>
            <a:noFill/>
          </a:ln>
          <a:effectLst/>
        </c:spPr>
      </c:pivotFmt>
      <c:pivotFmt>
        <c:idx val="5"/>
        <c:spPr>
          <a:solidFill>
            <a:srgbClr val="CC0097"/>
          </a:solidFill>
          <a:ln>
            <a:noFill/>
          </a:ln>
          <a:effectLst/>
        </c:spPr>
      </c:pivotFmt>
    </c:pivotFmts>
    <c:plotArea>
      <c:layout/>
      <c:barChart>
        <c:barDir val="col"/>
        <c:grouping val="clustered"/>
        <c:varyColors val="0"/>
        <c:ser>
          <c:idx val="0"/>
          <c:order val="0"/>
          <c:tx>
            <c:strRef>
              <c:f>Sheet3!$D$111</c:f>
              <c:strCache>
                <c:ptCount val="1"/>
                <c:pt idx="0">
                  <c:v>Total</c:v>
                </c:pt>
              </c:strCache>
            </c:strRef>
          </c:tx>
          <c:spPr>
            <a:solidFill>
              <a:srgbClr val="D38583"/>
            </a:solidFill>
            <a:ln>
              <a:noFill/>
            </a:ln>
            <a:effectLst/>
          </c:spPr>
          <c:invertIfNegative val="0"/>
          <c:dPt>
            <c:idx val="0"/>
            <c:invertIfNegative val="0"/>
            <c:bubble3D val="0"/>
            <c:spPr>
              <a:solidFill>
                <a:srgbClr val="155F43"/>
              </a:solidFill>
              <a:ln>
                <a:noFill/>
              </a:ln>
              <a:effectLst/>
            </c:spPr>
            <c:extLst>
              <c:ext xmlns:c16="http://schemas.microsoft.com/office/drawing/2014/chart" uri="{C3380CC4-5D6E-409C-BE32-E72D297353CC}">
                <c16:uniqueId val="{00000001-7A39-4B29-BD1C-D7019D46DF24}"/>
              </c:ext>
            </c:extLst>
          </c:dPt>
          <c:dPt>
            <c:idx val="1"/>
            <c:invertIfNegative val="0"/>
            <c:bubble3D val="0"/>
            <c:spPr>
              <a:solidFill>
                <a:srgbClr val="D23A36"/>
              </a:solidFill>
              <a:ln>
                <a:noFill/>
              </a:ln>
              <a:effectLst/>
            </c:spPr>
            <c:extLst>
              <c:ext xmlns:c16="http://schemas.microsoft.com/office/drawing/2014/chart" uri="{C3380CC4-5D6E-409C-BE32-E72D297353CC}">
                <c16:uniqueId val="{00000002-7A39-4B29-BD1C-D7019D46DF24}"/>
              </c:ext>
            </c:extLst>
          </c:dPt>
          <c:dPt>
            <c:idx val="2"/>
            <c:invertIfNegative val="0"/>
            <c:bubble3D val="0"/>
            <c:spPr>
              <a:solidFill>
                <a:srgbClr val="CC0097"/>
              </a:solidFill>
              <a:ln>
                <a:noFill/>
              </a:ln>
              <a:effectLst/>
            </c:spPr>
            <c:extLst>
              <c:ext xmlns:c16="http://schemas.microsoft.com/office/drawing/2014/chart" uri="{C3380CC4-5D6E-409C-BE32-E72D297353CC}">
                <c16:uniqueId val="{00000003-7A39-4B29-BD1C-D7019D46DF24}"/>
              </c:ext>
            </c:extLst>
          </c:dPt>
          <c:cat>
            <c:strRef>
              <c:f>Sheet3!$C$112:$C$115</c:f>
              <c:strCache>
                <c:ptCount val="3"/>
                <c:pt idx="0">
                  <c:v>Commercial Land</c:v>
                </c:pt>
                <c:pt idx="1">
                  <c:v>Mixed-use Land</c:v>
                </c:pt>
                <c:pt idx="2">
                  <c:v>Residential Land</c:v>
                </c:pt>
              </c:strCache>
            </c:strRef>
          </c:cat>
          <c:val>
            <c:numRef>
              <c:f>Sheet3!$D$112:$D$115</c:f>
              <c:numCache>
                <c:formatCode>0.00</c:formatCode>
                <c:ptCount val="3"/>
                <c:pt idx="0">
                  <c:v>608.65895953757229</c:v>
                </c:pt>
                <c:pt idx="1">
                  <c:v>586.21341463414637</c:v>
                </c:pt>
                <c:pt idx="2">
                  <c:v>616.43558282208585</c:v>
                </c:pt>
              </c:numCache>
            </c:numRef>
          </c:val>
          <c:extLst>
            <c:ext xmlns:c16="http://schemas.microsoft.com/office/drawing/2014/chart" uri="{C3380CC4-5D6E-409C-BE32-E72D297353CC}">
              <c16:uniqueId val="{00000000-7A39-4B29-BD1C-D7019D46DF24}"/>
            </c:ext>
          </c:extLst>
        </c:ser>
        <c:dLbls>
          <c:showLegendKey val="0"/>
          <c:showVal val="0"/>
          <c:showCatName val="0"/>
          <c:showSerName val="0"/>
          <c:showPercent val="0"/>
          <c:showBubbleSize val="0"/>
        </c:dLbls>
        <c:gapWidth val="150"/>
        <c:axId val="565803024"/>
        <c:axId val="565804464"/>
      </c:barChart>
      <c:catAx>
        <c:axId val="56580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804464"/>
        <c:crosses val="autoZero"/>
        <c:auto val="1"/>
        <c:lblAlgn val="ctr"/>
        <c:lblOffset val="100"/>
        <c:noMultiLvlLbl val="0"/>
      </c:catAx>
      <c:valAx>
        <c:axId val="565804464"/>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8030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259080</xdr:colOff>
      <xdr:row>3</xdr:row>
      <xdr:rowOff>53340</xdr:rowOff>
    </xdr:from>
    <xdr:to>
      <xdr:col>3</xdr:col>
      <xdr:colOff>548640</xdr:colOff>
      <xdr:row>8</xdr:row>
      <xdr:rowOff>45720</xdr:rowOff>
    </xdr:to>
    <xdr:grpSp>
      <xdr:nvGrpSpPr>
        <xdr:cNvPr id="17" name="Group 16">
          <a:extLst>
            <a:ext uri="{FF2B5EF4-FFF2-40B4-BE49-F238E27FC236}">
              <a16:creationId xmlns:a16="http://schemas.microsoft.com/office/drawing/2014/main" id="{A4C1F736-BE18-3573-AAFE-9731CA3ADC9C}"/>
            </a:ext>
          </a:extLst>
        </xdr:cNvPr>
        <xdr:cNvGrpSpPr/>
      </xdr:nvGrpSpPr>
      <xdr:grpSpPr>
        <a:xfrm>
          <a:off x="259080" y="612680"/>
          <a:ext cx="2113496" cy="924614"/>
          <a:chOff x="259080" y="601980"/>
          <a:chExt cx="2118360" cy="906780"/>
        </a:xfrm>
      </xdr:grpSpPr>
      <xdr:sp macro="" textlink="">
        <xdr:nvSpPr>
          <xdr:cNvPr id="2" name="Rectangle: Rounded Corners 1">
            <a:extLst>
              <a:ext uri="{FF2B5EF4-FFF2-40B4-BE49-F238E27FC236}">
                <a16:creationId xmlns:a16="http://schemas.microsoft.com/office/drawing/2014/main" id="{C9FF3856-B1F2-DD08-F6E3-AE5D7DB4AC62}"/>
              </a:ext>
            </a:extLst>
          </xdr:cNvPr>
          <xdr:cNvSpPr/>
        </xdr:nvSpPr>
        <xdr:spPr>
          <a:xfrm>
            <a:off x="259080" y="624840"/>
            <a:ext cx="2118360" cy="883920"/>
          </a:xfrm>
          <a:prstGeom prst="roundRect">
            <a:avLst/>
          </a:prstGeom>
          <a:solidFill>
            <a:schemeClr val="accent6">
              <a:lumMod val="20000"/>
              <a:lumOff val="80000"/>
            </a:schemeClr>
          </a:solidFill>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6F4360EE-5B4C-96A6-FF09-174D86F578BD}"/>
              </a:ext>
            </a:extLst>
          </xdr:cNvPr>
          <xdr:cNvSpPr txBox="1"/>
        </xdr:nvSpPr>
        <xdr:spPr>
          <a:xfrm>
            <a:off x="331470" y="601980"/>
            <a:ext cx="197358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a:solidFill>
                  <a:schemeClr val="accent6">
                    <a:lumMod val="75000"/>
                  </a:schemeClr>
                </a:solidFill>
                <a:latin typeface="Arial Black" panose="020B0A04020102020204" pitchFamily="34" charset="0"/>
              </a:rPr>
              <a:t>TOTAL</a:t>
            </a:r>
            <a:r>
              <a:rPr lang="en-US" sz="1400" b="1" i="0">
                <a:solidFill>
                  <a:schemeClr val="accent6">
                    <a:lumMod val="50000"/>
                  </a:schemeClr>
                </a:solidFill>
                <a:latin typeface="Arial Black" panose="020B0A04020102020204" pitchFamily="34" charset="0"/>
              </a:rPr>
              <a:t> </a:t>
            </a:r>
            <a:r>
              <a:rPr lang="en-US" sz="1400" b="1" i="0">
                <a:solidFill>
                  <a:schemeClr val="accent6">
                    <a:lumMod val="75000"/>
                  </a:schemeClr>
                </a:solidFill>
                <a:latin typeface="Arial Black" panose="020B0A04020102020204" pitchFamily="34" charset="0"/>
              </a:rPr>
              <a:t>REVENUE</a:t>
            </a:r>
          </a:p>
        </xdr:txBody>
      </xdr:sp>
      <xdr:sp macro="" textlink="Sheet3!H33">
        <xdr:nvSpPr>
          <xdr:cNvPr id="4" name="TextBox 3">
            <a:extLst>
              <a:ext uri="{FF2B5EF4-FFF2-40B4-BE49-F238E27FC236}">
                <a16:creationId xmlns:a16="http://schemas.microsoft.com/office/drawing/2014/main" id="{8F3C1938-41B1-602B-9A64-DC9D4D64AA82}"/>
              </a:ext>
            </a:extLst>
          </xdr:cNvPr>
          <xdr:cNvSpPr txBox="1"/>
        </xdr:nvSpPr>
        <xdr:spPr>
          <a:xfrm>
            <a:off x="396240" y="906780"/>
            <a:ext cx="184404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D1C28D-516F-4C27-A7AB-681A5CF702DF}" type="TxLink">
              <a:rPr lang="en-US" sz="1600" b="1" i="0" u="none" strike="noStrike">
                <a:ln>
                  <a:noFill/>
                </a:ln>
                <a:solidFill>
                  <a:schemeClr val="accent6"/>
                </a:solidFill>
                <a:latin typeface="Aptos" panose="020B0004020202020204" pitchFamily="34" charset="0"/>
                <a:ea typeface="Calibri"/>
                <a:cs typeface="Calibri"/>
              </a:rPr>
              <a:pPr algn="ctr"/>
              <a:t>₦7,738,287,556</a:t>
            </a:fld>
            <a:endParaRPr lang="en-US" sz="1600" b="1">
              <a:ln>
                <a:noFill/>
              </a:ln>
              <a:solidFill>
                <a:schemeClr val="accent6"/>
              </a:solidFill>
              <a:latin typeface="Aptos" panose="020B0004020202020204" pitchFamily="34" charset="0"/>
            </a:endParaRPr>
          </a:p>
        </xdr:txBody>
      </xdr:sp>
    </xdr:grpSp>
    <xdr:clientData/>
  </xdr:twoCellAnchor>
  <xdr:twoCellAnchor>
    <xdr:from>
      <xdr:col>4</xdr:col>
      <xdr:colOff>234315</xdr:colOff>
      <xdr:row>3</xdr:row>
      <xdr:rowOff>41910</xdr:rowOff>
    </xdr:from>
    <xdr:to>
      <xdr:col>9</xdr:col>
      <xdr:colOff>5715</xdr:colOff>
      <xdr:row>8</xdr:row>
      <xdr:rowOff>30480</xdr:rowOff>
    </xdr:to>
    <xdr:grpSp>
      <xdr:nvGrpSpPr>
        <xdr:cNvPr id="16" name="Group 15">
          <a:extLst>
            <a:ext uri="{FF2B5EF4-FFF2-40B4-BE49-F238E27FC236}">
              <a16:creationId xmlns:a16="http://schemas.microsoft.com/office/drawing/2014/main" id="{8C9B574B-E965-236E-BE9B-8528468DE608}"/>
            </a:ext>
          </a:extLst>
        </xdr:cNvPr>
        <xdr:cNvGrpSpPr/>
      </xdr:nvGrpSpPr>
      <xdr:grpSpPr>
        <a:xfrm>
          <a:off x="2666230" y="601250"/>
          <a:ext cx="2811294" cy="920804"/>
          <a:chOff x="2672715" y="590550"/>
          <a:chExt cx="2819400" cy="902970"/>
        </a:xfrm>
      </xdr:grpSpPr>
      <xdr:sp macro="" textlink="">
        <xdr:nvSpPr>
          <xdr:cNvPr id="7" name="Rectangle: Rounded Corners 6">
            <a:extLst>
              <a:ext uri="{FF2B5EF4-FFF2-40B4-BE49-F238E27FC236}">
                <a16:creationId xmlns:a16="http://schemas.microsoft.com/office/drawing/2014/main" id="{C1DF782D-721B-9A93-35B4-2AFE972A69A5}"/>
              </a:ext>
            </a:extLst>
          </xdr:cNvPr>
          <xdr:cNvSpPr/>
        </xdr:nvSpPr>
        <xdr:spPr>
          <a:xfrm>
            <a:off x="2672715" y="609600"/>
            <a:ext cx="2819400" cy="883920"/>
          </a:xfrm>
          <a:prstGeom prst="roundRect">
            <a:avLst/>
          </a:prstGeom>
          <a:solidFill>
            <a:schemeClr val="accent2">
              <a:lumMod val="40000"/>
              <a:lumOff val="60000"/>
            </a:schemeClr>
          </a:solidFill>
          <a:effectLst>
            <a:glow rad="1016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A7D88094-AF1E-2418-1C24-144E8381DFC5}"/>
              </a:ext>
            </a:extLst>
          </xdr:cNvPr>
          <xdr:cNvSpPr txBox="1"/>
        </xdr:nvSpPr>
        <xdr:spPr>
          <a:xfrm>
            <a:off x="2823210" y="590550"/>
            <a:ext cx="251841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a:solidFill>
                  <a:schemeClr val="accent2">
                    <a:lumMod val="50000"/>
                  </a:schemeClr>
                </a:solidFill>
                <a:latin typeface="Arial Black" panose="020B0A04020102020204" pitchFamily="34" charset="0"/>
              </a:rPr>
              <a:t>TOTAL</a:t>
            </a:r>
            <a:r>
              <a:rPr lang="en-US" sz="1400" b="1" i="0">
                <a:solidFill>
                  <a:schemeClr val="bg1"/>
                </a:solidFill>
                <a:latin typeface="Arial Black" panose="020B0A04020102020204" pitchFamily="34" charset="0"/>
              </a:rPr>
              <a:t> </a:t>
            </a:r>
            <a:r>
              <a:rPr lang="en-US" sz="1400" b="1" i="0">
                <a:solidFill>
                  <a:schemeClr val="accent2">
                    <a:lumMod val="50000"/>
                  </a:schemeClr>
                </a:solidFill>
                <a:latin typeface="Arial Black" panose="020B0A04020102020204" pitchFamily="34" charset="0"/>
              </a:rPr>
              <a:t>TRANSACTIONS</a:t>
            </a:r>
          </a:p>
        </xdr:txBody>
      </xdr:sp>
      <xdr:sp macro="" textlink="Sheet3!H41">
        <xdr:nvSpPr>
          <xdr:cNvPr id="9" name="TextBox 8">
            <a:extLst>
              <a:ext uri="{FF2B5EF4-FFF2-40B4-BE49-F238E27FC236}">
                <a16:creationId xmlns:a16="http://schemas.microsoft.com/office/drawing/2014/main" id="{856F41CE-D42A-16EC-1352-A08775203F97}"/>
              </a:ext>
            </a:extLst>
          </xdr:cNvPr>
          <xdr:cNvSpPr txBox="1"/>
        </xdr:nvSpPr>
        <xdr:spPr>
          <a:xfrm>
            <a:off x="3160395" y="899160"/>
            <a:ext cx="184404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762458-0771-445A-AF68-5FBB5D5AC421}" type="TxLink">
              <a:rPr lang="en-US" sz="1600" b="1" i="0" u="none" strike="noStrike">
                <a:ln>
                  <a:noFill/>
                </a:ln>
                <a:solidFill>
                  <a:schemeClr val="accent2">
                    <a:lumMod val="75000"/>
                  </a:schemeClr>
                </a:solidFill>
                <a:latin typeface="Aptos" panose="020B0004020202020204" pitchFamily="34" charset="0"/>
                <a:ea typeface="Calibri"/>
                <a:cs typeface="Calibri"/>
              </a:rPr>
              <a:pPr algn="ctr"/>
              <a:t>500</a:t>
            </a:fld>
            <a:endParaRPr lang="en-US" sz="1600" b="1">
              <a:ln>
                <a:noFill/>
              </a:ln>
              <a:solidFill>
                <a:schemeClr val="accent2">
                  <a:lumMod val="75000"/>
                </a:schemeClr>
              </a:solidFill>
              <a:latin typeface="Aptos" panose="020B0004020202020204" pitchFamily="34" charset="0"/>
            </a:endParaRPr>
          </a:p>
        </xdr:txBody>
      </xdr:sp>
    </xdr:grpSp>
    <xdr:clientData/>
  </xdr:twoCellAnchor>
  <xdr:twoCellAnchor>
    <xdr:from>
      <xdr:col>9</xdr:col>
      <xdr:colOff>411480</xdr:colOff>
      <xdr:row>3</xdr:row>
      <xdr:rowOff>60960</xdr:rowOff>
    </xdr:from>
    <xdr:to>
      <xdr:col>12</xdr:col>
      <xdr:colOff>1402080</xdr:colOff>
      <xdr:row>8</xdr:row>
      <xdr:rowOff>41910</xdr:rowOff>
    </xdr:to>
    <xdr:grpSp>
      <xdr:nvGrpSpPr>
        <xdr:cNvPr id="22" name="Group 21">
          <a:extLst>
            <a:ext uri="{FF2B5EF4-FFF2-40B4-BE49-F238E27FC236}">
              <a16:creationId xmlns:a16="http://schemas.microsoft.com/office/drawing/2014/main" id="{90B72916-1BFE-5AD2-4099-7E798E1D668E}"/>
            </a:ext>
          </a:extLst>
        </xdr:cNvPr>
        <xdr:cNvGrpSpPr/>
      </xdr:nvGrpSpPr>
      <xdr:grpSpPr>
        <a:xfrm>
          <a:off x="5883289" y="620300"/>
          <a:ext cx="3252280" cy="913184"/>
          <a:chOff x="6332220" y="594360"/>
          <a:chExt cx="3253740" cy="895350"/>
        </a:xfrm>
      </xdr:grpSpPr>
      <xdr:sp macro="" textlink="">
        <xdr:nvSpPr>
          <xdr:cNvPr id="13" name="Rectangle: Rounded Corners 12">
            <a:extLst>
              <a:ext uri="{FF2B5EF4-FFF2-40B4-BE49-F238E27FC236}">
                <a16:creationId xmlns:a16="http://schemas.microsoft.com/office/drawing/2014/main" id="{2E75BD13-1109-4AAF-B2B9-0E1C5AF494B6}"/>
              </a:ext>
            </a:extLst>
          </xdr:cNvPr>
          <xdr:cNvSpPr/>
        </xdr:nvSpPr>
        <xdr:spPr>
          <a:xfrm>
            <a:off x="6332220" y="605790"/>
            <a:ext cx="3253740" cy="883920"/>
          </a:xfrm>
          <a:prstGeom prst="roundRect">
            <a:avLst/>
          </a:prstGeom>
          <a:solidFill>
            <a:schemeClr val="accent3">
              <a:lumMod val="20000"/>
              <a:lumOff val="80000"/>
            </a:schemeClr>
          </a:solidFill>
          <a:effectLst>
            <a:glow rad="1016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a:extLst>
              <a:ext uri="{FF2B5EF4-FFF2-40B4-BE49-F238E27FC236}">
                <a16:creationId xmlns:a16="http://schemas.microsoft.com/office/drawing/2014/main" id="{0F916BB3-67AC-5EEC-5BBB-AA549AB036E8}"/>
              </a:ext>
            </a:extLst>
          </xdr:cNvPr>
          <xdr:cNvSpPr txBox="1"/>
        </xdr:nvSpPr>
        <xdr:spPr>
          <a:xfrm>
            <a:off x="6381750" y="594360"/>
            <a:ext cx="315468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a:solidFill>
                  <a:schemeClr val="accent3">
                    <a:lumMod val="50000"/>
                  </a:schemeClr>
                </a:solidFill>
                <a:latin typeface="Arial Black" panose="020B0A04020102020204" pitchFamily="34" charset="0"/>
              </a:rPr>
              <a:t>AVG</a:t>
            </a:r>
            <a:r>
              <a:rPr lang="en-US" sz="1400" b="1" i="0" baseline="0">
                <a:solidFill>
                  <a:schemeClr val="accent3">
                    <a:lumMod val="50000"/>
                  </a:schemeClr>
                </a:solidFill>
                <a:latin typeface="Arial Black" panose="020B0A04020102020204" pitchFamily="34" charset="0"/>
              </a:rPr>
              <a:t> TRANSACTION PRICE</a:t>
            </a:r>
            <a:endParaRPr lang="en-US" sz="1400" b="1" i="0">
              <a:solidFill>
                <a:schemeClr val="accent3">
                  <a:lumMod val="50000"/>
                </a:schemeClr>
              </a:solidFill>
              <a:latin typeface="Arial Black" panose="020B0A04020102020204" pitchFamily="34" charset="0"/>
            </a:endParaRPr>
          </a:p>
        </xdr:txBody>
      </xdr:sp>
      <xdr:sp macro="" textlink="Sheet3!E34">
        <xdr:nvSpPr>
          <xdr:cNvPr id="15" name="TextBox 14">
            <a:extLst>
              <a:ext uri="{FF2B5EF4-FFF2-40B4-BE49-F238E27FC236}">
                <a16:creationId xmlns:a16="http://schemas.microsoft.com/office/drawing/2014/main" id="{877E56B3-6C94-DD77-05B2-CF160B3C7DEB}"/>
              </a:ext>
            </a:extLst>
          </xdr:cNvPr>
          <xdr:cNvSpPr txBox="1"/>
        </xdr:nvSpPr>
        <xdr:spPr>
          <a:xfrm>
            <a:off x="6568584" y="895350"/>
            <a:ext cx="2781012"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89EDB4-8652-4E44-9799-520E9F70528C}" type="TxLink">
              <a:rPr lang="en-US" sz="1600" b="1" i="0" u="none" strike="noStrike">
                <a:ln>
                  <a:noFill/>
                </a:ln>
                <a:solidFill>
                  <a:schemeClr val="accent3">
                    <a:lumMod val="75000"/>
                  </a:schemeClr>
                </a:solidFill>
                <a:latin typeface="Aptos" panose="020B0004020202020204" pitchFamily="34" charset="0"/>
                <a:ea typeface="Cambria" panose="02040503050406030204" pitchFamily="18" charset="0"/>
                <a:cs typeface="Calibri"/>
              </a:rPr>
              <a:pPr algn="ctr"/>
              <a:t>₦15,476,575</a:t>
            </a:fld>
            <a:endParaRPr lang="en-US" sz="1600" b="1">
              <a:ln>
                <a:noFill/>
              </a:ln>
              <a:solidFill>
                <a:schemeClr val="accent3">
                  <a:lumMod val="75000"/>
                </a:schemeClr>
              </a:solidFill>
              <a:latin typeface="Aptos" panose="020B0004020202020204" pitchFamily="34" charset="0"/>
              <a:ea typeface="Cambria" panose="02040503050406030204" pitchFamily="18" charset="0"/>
            </a:endParaRPr>
          </a:p>
        </xdr:txBody>
      </xdr:sp>
    </xdr:grpSp>
    <xdr:clientData/>
  </xdr:twoCellAnchor>
  <xdr:twoCellAnchor>
    <xdr:from>
      <xdr:col>13</xdr:col>
      <xdr:colOff>304800</xdr:colOff>
      <xdr:row>3</xdr:row>
      <xdr:rowOff>80010</xdr:rowOff>
    </xdr:from>
    <xdr:to>
      <xdr:col>16</xdr:col>
      <xdr:colOff>441960</xdr:colOff>
      <xdr:row>8</xdr:row>
      <xdr:rowOff>49530</xdr:rowOff>
    </xdr:to>
    <xdr:sp macro="" textlink="">
      <xdr:nvSpPr>
        <xdr:cNvPr id="18" name="Rectangle: Rounded Corners 17">
          <a:extLst>
            <a:ext uri="{FF2B5EF4-FFF2-40B4-BE49-F238E27FC236}">
              <a16:creationId xmlns:a16="http://schemas.microsoft.com/office/drawing/2014/main" id="{A30B8337-E272-C749-6AA4-68AEA64EFCEF}"/>
            </a:ext>
          </a:extLst>
        </xdr:cNvPr>
        <xdr:cNvSpPr/>
      </xdr:nvSpPr>
      <xdr:spPr>
        <a:xfrm>
          <a:off x="9662160" y="628650"/>
          <a:ext cx="1965960" cy="883920"/>
        </a:xfrm>
        <a:prstGeom prst="roundRect">
          <a:avLst/>
        </a:prstGeom>
        <a:solidFill>
          <a:schemeClr val="accent5">
            <a:lumMod val="20000"/>
            <a:lumOff val="80000"/>
          </a:schemeClr>
        </a:solidFill>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312420</xdr:colOff>
      <xdr:row>3</xdr:row>
      <xdr:rowOff>68580</xdr:rowOff>
    </xdr:from>
    <xdr:to>
      <xdr:col>16</xdr:col>
      <xdr:colOff>434341</xdr:colOff>
      <xdr:row>6</xdr:row>
      <xdr:rowOff>121920</xdr:rowOff>
    </xdr:to>
    <xdr:sp macro="" textlink="">
      <xdr:nvSpPr>
        <xdr:cNvPr id="19" name="TextBox 18">
          <a:extLst>
            <a:ext uri="{FF2B5EF4-FFF2-40B4-BE49-F238E27FC236}">
              <a16:creationId xmlns:a16="http://schemas.microsoft.com/office/drawing/2014/main" id="{0B575292-1508-20AC-259A-9D4620E29464}"/>
            </a:ext>
          </a:extLst>
        </xdr:cNvPr>
        <xdr:cNvSpPr txBox="1"/>
      </xdr:nvSpPr>
      <xdr:spPr>
        <a:xfrm>
          <a:off x="9669780" y="617220"/>
          <a:ext cx="1950721"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a:solidFill>
                <a:schemeClr val="accent5">
                  <a:lumMod val="50000"/>
                </a:schemeClr>
              </a:solidFill>
              <a:latin typeface="Arial Black" panose="020B0A04020102020204" pitchFamily="34" charset="0"/>
            </a:rPr>
            <a:t>AVG</a:t>
          </a:r>
          <a:r>
            <a:rPr lang="en-US" sz="1400" b="1" i="0" baseline="0">
              <a:solidFill>
                <a:schemeClr val="accent5">
                  <a:lumMod val="50000"/>
                </a:schemeClr>
              </a:solidFill>
              <a:latin typeface="Arial Black" panose="020B0A04020102020204" pitchFamily="34" charset="0"/>
            </a:rPr>
            <a:t> LAND SIZE</a:t>
          </a:r>
          <a:endParaRPr lang="en-US" sz="1400" b="1" i="0">
            <a:solidFill>
              <a:schemeClr val="accent5">
                <a:lumMod val="50000"/>
              </a:schemeClr>
            </a:solidFill>
            <a:latin typeface="Arial Black" panose="020B0A04020102020204" pitchFamily="34" charset="0"/>
          </a:endParaRPr>
        </a:p>
      </xdr:txBody>
    </xdr:sp>
    <xdr:clientData/>
  </xdr:twoCellAnchor>
  <xdr:twoCellAnchor>
    <xdr:from>
      <xdr:col>13</xdr:col>
      <xdr:colOff>365760</xdr:colOff>
      <xdr:row>5</xdr:row>
      <xdr:rowOff>3810</xdr:rowOff>
    </xdr:from>
    <xdr:to>
      <xdr:col>16</xdr:col>
      <xdr:colOff>381000</xdr:colOff>
      <xdr:row>8</xdr:row>
      <xdr:rowOff>34290</xdr:rowOff>
    </xdr:to>
    <xdr:sp macro="" textlink="Sheet3!E45">
      <xdr:nvSpPr>
        <xdr:cNvPr id="20" name="TextBox 19">
          <a:extLst>
            <a:ext uri="{FF2B5EF4-FFF2-40B4-BE49-F238E27FC236}">
              <a16:creationId xmlns:a16="http://schemas.microsoft.com/office/drawing/2014/main" id="{E9F7F3A7-72AF-C6EA-8F65-742DCCFD9BD0}"/>
            </a:ext>
          </a:extLst>
        </xdr:cNvPr>
        <xdr:cNvSpPr txBox="1"/>
      </xdr:nvSpPr>
      <xdr:spPr>
        <a:xfrm>
          <a:off x="9723120" y="918210"/>
          <a:ext cx="184404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77E5C5-3B1D-4D10-9482-ACC64B267D5C}" type="TxLink">
            <a:rPr lang="en-US" sz="1600" b="1" i="0" u="none" strike="noStrike">
              <a:ln>
                <a:noFill/>
              </a:ln>
              <a:solidFill>
                <a:schemeClr val="accent5">
                  <a:lumMod val="75000"/>
                </a:schemeClr>
              </a:solidFill>
              <a:latin typeface="Aptos" panose="020B0004020202020204" pitchFamily="34" charset="0"/>
              <a:ea typeface="Calibri"/>
              <a:cs typeface="Calibri"/>
            </a:rPr>
            <a:pPr algn="ctr"/>
            <a:t>603.83</a:t>
          </a:fld>
          <a:endParaRPr lang="en-US" sz="1600" b="1">
            <a:ln>
              <a:noFill/>
            </a:ln>
            <a:solidFill>
              <a:schemeClr val="accent5">
                <a:lumMod val="75000"/>
              </a:schemeClr>
            </a:solidFill>
            <a:latin typeface="Aptos" panose="020B0004020202020204" pitchFamily="34" charset="0"/>
          </a:endParaRPr>
        </a:p>
      </xdr:txBody>
    </xdr:sp>
    <xdr:clientData/>
  </xdr:twoCellAnchor>
  <xdr:twoCellAnchor>
    <xdr:from>
      <xdr:col>17</xdr:col>
      <xdr:colOff>281940</xdr:colOff>
      <xdr:row>3</xdr:row>
      <xdr:rowOff>110490</xdr:rowOff>
    </xdr:from>
    <xdr:to>
      <xdr:col>21</xdr:col>
      <xdr:colOff>152400</xdr:colOff>
      <xdr:row>8</xdr:row>
      <xdr:rowOff>80010</xdr:rowOff>
    </xdr:to>
    <xdr:sp macro="" textlink="">
      <xdr:nvSpPr>
        <xdr:cNvPr id="23" name="Rectangle: Rounded Corners 22">
          <a:extLst>
            <a:ext uri="{FF2B5EF4-FFF2-40B4-BE49-F238E27FC236}">
              <a16:creationId xmlns:a16="http://schemas.microsoft.com/office/drawing/2014/main" id="{236602B0-6884-E19C-D079-5DFF7952F969}"/>
            </a:ext>
          </a:extLst>
        </xdr:cNvPr>
        <xdr:cNvSpPr/>
      </xdr:nvSpPr>
      <xdr:spPr>
        <a:xfrm>
          <a:off x="12077700" y="659130"/>
          <a:ext cx="2308860" cy="883920"/>
        </a:xfrm>
        <a:prstGeom prst="roundRect">
          <a:avLst/>
        </a:prstGeom>
        <a:solidFill>
          <a:schemeClr val="accent4">
            <a:lumMod val="20000"/>
            <a:lumOff val="80000"/>
          </a:schemeClr>
        </a:solidFill>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340520</xdr:colOff>
      <xdr:row>3</xdr:row>
      <xdr:rowOff>76200</xdr:rowOff>
    </xdr:from>
    <xdr:to>
      <xdr:col>21</xdr:col>
      <xdr:colOff>93821</xdr:colOff>
      <xdr:row>6</xdr:row>
      <xdr:rowOff>129540</xdr:rowOff>
    </xdr:to>
    <xdr:sp macro="" textlink="">
      <xdr:nvSpPr>
        <xdr:cNvPr id="24" name="TextBox 23">
          <a:extLst>
            <a:ext uri="{FF2B5EF4-FFF2-40B4-BE49-F238E27FC236}">
              <a16:creationId xmlns:a16="http://schemas.microsoft.com/office/drawing/2014/main" id="{55B2B17C-5C60-6560-FCAA-93139D6814BB}"/>
            </a:ext>
          </a:extLst>
        </xdr:cNvPr>
        <xdr:cNvSpPr txBox="1"/>
      </xdr:nvSpPr>
      <xdr:spPr>
        <a:xfrm>
          <a:off x="12136280" y="624840"/>
          <a:ext cx="2191701"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a:solidFill>
                <a:schemeClr val="accent4">
                  <a:lumMod val="50000"/>
                </a:schemeClr>
              </a:solidFill>
              <a:latin typeface="Arial Black" panose="020B0A04020102020204" pitchFamily="34" charset="0"/>
            </a:rPr>
            <a:t>AVG</a:t>
          </a:r>
          <a:r>
            <a:rPr lang="en-US" sz="1400" b="1" i="0" baseline="0">
              <a:solidFill>
                <a:schemeClr val="accent4">
                  <a:lumMod val="50000"/>
                </a:schemeClr>
              </a:solidFill>
              <a:latin typeface="Arial Black" panose="020B0A04020102020204" pitchFamily="34" charset="0"/>
            </a:rPr>
            <a:t> PRICE BY SQM</a:t>
          </a:r>
          <a:endParaRPr lang="en-US" sz="1400" b="1" i="0">
            <a:solidFill>
              <a:schemeClr val="accent4">
                <a:lumMod val="50000"/>
              </a:schemeClr>
            </a:solidFill>
            <a:latin typeface="Arial Black" panose="020B0A04020102020204" pitchFamily="34" charset="0"/>
          </a:endParaRPr>
        </a:p>
      </xdr:txBody>
    </xdr:sp>
    <xdr:clientData/>
  </xdr:twoCellAnchor>
  <xdr:twoCellAnchor>
    <xdr:from>
      <xdr:col>17</xdr:col>
      <xdr:colOff>514350</xdr:colOff>
      <xdr:row>5</xdr:row>
      <xdr:rowOff>19050</xdr:rowOff>
    </xdr:from>
    <xdr:to>
      <xdr:col>20</xdr:col>
      <xdr:colOff>529590</xdr:colOff>
      <xdr:row>8</xdr:row>
      <xdr:rowOff>49530</xdr:rowOff>
    </xdr:to>
    <xdr:sp macro="" textlink="Sheet3!E53">
      <xdr:nvSpPr>
        <xdr:cNvPr id="25" name="TextBox 24">
          <a:extLst>
            <a:ext uri="{FF2B5EF4-FFF2-40B4-BE49-F238E27FC236}">
              <a16:creationId xmlns:a16="http://schemas.microsoft.com/office/drawing/2014/main" id="{491BA66E-B91A-CEFC-892F-AB6F7ADD7E34}"/>
            </a:ext>
          </a:extLst>
        </xdr:cNvPr>
        <xdr:cNvSpPr txBox="1"/>
      </xdr:nvSpPr>
      <xdr:spPr>
        <a:xfrm>
          <a:off x="12310110" y="933450"/>
          <a:ext cx="184404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327877-3273-47E6-A7B6-1B8AAC768954}" type="TxLink">
            <a:rPr lang="en-US" sz="1600" b="1" i="0" u="none" strike="noStrike">
              <a:ln>
                <a:noFill/>
              </a:ln>
              <a:solidFill>
                <a:schemeClr val="accent4">
                  <a:lumMod val="75000"/>
                </a:schemeClr>
              </a:solidFill>
              <a:latin typeface="Aptos" panose="020B0004020202020204" pitchFamily="34" charset="0"/>
              <a:ea typeface="Calibri"/>
              <a:cs typeface="Calibri"/>
            </a:rPr>
            <a:pPr algn="ctr"/>
            <a:t>₦26,923</a:t>
          </a:fld>
          <a:endParaRPr lang="en-US" sz="1600" b="1">
            <a:ln>
              <a:noFill/>
            </a:ln>
            <a:solidFill>
              <a:schemeClr val="accent4">
                <a:lumMod val="75000"/>
              </a:schemeClr>
            </a:solidFill>
            <a:latin typeface="Aptos" panose="020B0004020202020204" pitchFamily="34" charset="0"/>
          </a:endParaRPr>
        </a:p>
      </xdr:txBody>
    </xdr:sp>
    <xdr:clientData/>
  </xdr:twoCellAnchor>
  <xdr:twoCellAnchor>
    <xdr:from>
      <xdr:col>12</xdr:col>
      <xdr:colOff>7620</xdr:colOff>
      <xdr:row>11</xdr:row>
      <xdr:rowOff>0</xdr:rowOff>
    </xdr:from>
    <xdr:to>
      <xdr:col>22</xdr:col>
      <xdr:colOff>152400</xdr:colOff>
      <xdr:row>29</xdr:row>
      <xdr:rowOff>160020</xdr:rowOff>
    </xdr:to>
    <xdr:graphicFrame macro="">
      <xdr:nvGraphicFramePr>
        <xdr:cNvPr id="34" name="Chart 33">
          <a:extLst>
            <a:ext uri="{FF2B5EF4-FFF2-40B4-BE49-F238E27FC236}">
              <a16:creationId xmlns:a16="http://schemas.microsoft.com/office/drawing/2014/main" id="{ACB9D49E-85D3-437E-9930-D6D64F950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35</xdr:row>
      <xdr:rowOff>0</xdr:rowOff>
    </xdr:from>
    <xdr:to>
      <xdr:col>9</xdr:col>
      <xdr:colOff>15240</xdr:colOff>
      <xdr:row>50</xdr:row>
      <xdr:rowOff>0</xdr:rowOff>
    </xdr:to>
    <xdr:graphicFrame macro="">
      <xdr:nvGraphicFramePr>
        <xdr:cNvPr id="35" name="Chart 34">
          <a:extLst>
            <a:ext uri="{FF2B5EF4-FFF2-40B4-BE49-F238E27FC236}">
              <a16:creationId xmlns:a16="http://schemas.microsoft.com/office/drawing/2014/main" id="{5E8E0F96-1739-437F-8197-64F9EB6F51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35</xdr:row>
      <xdr:rowOff>0</xdr:rowOff>
    </xdr:from>
    <xdr:to>
      <xdr:col>26</xdr:col>
      <xdr:colOff>7620</xdr:colOff>
      <xdr:row>51</xdr:row>
      <xdr:rowOff>160020</xdr:rowOff>
    </xdr:to>
    <xdr:graphicFrame macro="">
      <xdr:nvGraphicFramePr>
        <xdr:cNvPr id="10" name="Chart 9">
          <a:extLst>
            <a:ext uri="{FF2B5EF4-FFF2-40B4-BE49-F238E27FC236}">
              <a16:creationId xmlns:a16="http://schemas.microsoft.com/office/drawing/2014/main" id="{A9C59245-5C6B-42EA-AA57-04DE39418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54</xdr:row>
      <xdr:rowOff>0</xdr:rowOff>
    </xdr:from>
    <xdr:to>
      <xdr:col>10</xdr:col>
      <xdr:colOff>0</xdr:colOff>
      <xdr:row>72</xdr:row>
      <xdr:rowOff>121920</xdr:rowOff>
    </xdr:to>
    <xdr:graphicFrame macro="">
      <xdr:nvGraphicFramePr>
        <xdr:cNvPr id="43" name="Chart 42">
          <a:extLst>
            <a:ext uri="{FF2B5EF4-FFF2-40B4-BE49-F238E27FC236}">
              <a16:creationId xmlns:a16="http://schemas.microsoft.com/office/drawing/2014/main" id="{B15936DE-46DF-4EBF-BC5A-149F32BA6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0</xdr:colOff>
      <xdr:row>54</xdr:row>
      <xdr:rowOff>0</xdr:rowOff>
    </xdr:from>
    <xdr:to>
      <xdr:col>28</xdr:col>
      <xdr:colOff>30480</xdr:colOff>
      <xdr:row>71</xdr:row>
      <xdr:rowOff>0</xdr:rowOff>
    </xdr:to>
    <xdr:graphicFrame macro="">
      <xdr:nvGraphicFramePr>
        <xdr:cNvPr id="45" name="Chart 44">
          <a:extLst>
            <a:ext uri="{FF2B5EF4-FFF2-40B4-BE49-F238E27FC236}">
              <a16:creationId xmlns:a16="http://schemas.microsoft.com/office/drawing/2014/main" id="{1BB0386E-C7B9-476A-8DE3-5F1A441D2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76</xdr:row>
      <xdr:rowOff>0</xdr:rowOff>
    </xdr:from>
    <xdr:to>
      <xdr:col>9</xdr:col>
      <xdr:colOff>601980</xdr:colOff>
      <xdr:row>93</xdr:row>
      <xdr:rowOff>160020</xdr:rowOff>
    </xdr:to>
    <xdr:graphicFrame macro="">
      <xdr:nvGraphicFramePr>
        <xdr:cNvPr id="48" name="Chart 47">
          <a:extLst>
            <a:ext uri="{FF2B5EF4-FFF2-40B4-BE49-F238E27FC236}">
              <a16:creationId xmlns:a16="http://schemas.microsoft.com/office/drawing/2014/main" id="{48199EBC-7538-4D93-9C3D-CC9280B36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0</xdr:colOff>
      <xdr:row>76</xdr:row>
      <xdr:rowOff>0</xdr:rowOff>
    </xdr:from>
    <xdr:to>
      <xdr:col>19</xdr:col>
      <xdr:colOff>579120</xdr:colOff>
      <xdr:row>93</xdr:row>
      <xdr:rowOff>175260</xdr:rowOff>
    </xdr:to>
    <xdr:graphicFrame macro="">
      <xdr:nvGraphicFramePr>
        <xdr:cNvPr id="49" name="Chart 48">
          <a:extLst>
            <a:ext uri="{FF2B5EF4-FFF2-40B4-BE49-F238E27FC236}">
              <a16:creationId xmlns:a16="http://schemas.microsoft.com/office/drawing/2014/main" id="{A260074E-80F2-43E7-AC3F-005FDE4AE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0</xdr:colOff>
      <xdr:row>76</xdr:row>
      <xdr:rowOff>0</xdr:rowOff>
    </xdr:from>
    <xdr:to>
      <xdr:col>24</xdr:col>
      <xdr:colOff>0</xdr:colOff>
      <xdr:row>89</xdr:row>
      <xdr:rowOff>89535</xdr:rowOff>
    </xdr:to>
    <mc:AlternateContent xmlns:mc="http://schemas.openxmlformats.org/markup-compatibility/2006" xmlns:a14="http://schemas.microsoft.com/office/drawing/2010/main">
      <mc:Choice Requires="a14">
        <xdr:graphicFrame macro="">
          <xdr:nvGraphicFramePr>
            <xdr:cNvPr id="50" name="Customer_Type">
              <a:extLst>
                <a:ext uri="{FF2B5EF4-FFF2-40B4-BE49-F238E27FC236}">
                  <a16:creationId xmlns:a16="http://schemas.microsoft.com/office/drawing/2014/main" id="{3DCE6DD5-1185-498D-B88B-B14BF3905BDC}"/>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2801600" y="138988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0</xdr:colOff>
      <xdr:row>76</xdr:row>
      <xdr:rowOff>0</xdr:rowOff>
    </xdr:from>
    <xdr:to>
      <xdr:col>28</xdr:col>
      <xdr:colOff>0</xdr:colOff>
      <xdr:row>89</xdr:row>
      <xdr:rowOff>89535</xdr:rowOff>
    </xdr:to>
    <mc:AlternateContent xmlns:mc="http://schemas.openxmlformats.org/markup-compatibility/2006" xmlns:a14="http://schemas.microsoft.com/office/drawing/2010/main">
      <mc:Choice Requires="a14">
        <xdr:graphicFrame macro="">
          <xdr:nvGraphicFramePr>
            <xdr:cNvPr id="51" name="Region">
              <a:extLst>
                <a:ext uri="{FF2B5EF4-FFF2-40B4-BE49-F238E27FC236}">
                  <a16:creationId xmlns:a16="http://schemas.microsoft.com/office/drawing/2014/main" id="{555D1A5E-D1D3-43FA-A1A6-DD7CA610652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000" y="138988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0</xdr:colOff>
      <xdr:row>76</xdr:row>
      <xdr:rowOff>0</xdr:rowOff>
    </xdr:from>
    <xdr:to>
      <xdr:col>32</xdr:col>
      <xdr:colOff>0</xdr:colOff>
      <xdr:row>89</xdr:row>
      <xdr:rowOff>89535</xdr:rowOff>
    </xdr:to>
    <mc:AlternateContent xmlns:mc="http://schemas.openxmlformats.org/markup-compatibility/2006" xmlns:a14="http://schemas.microsoft.com/office/drawing/2010/main">
      <mc:Choice Requires="a14">
        <xdr:graphicFrame macro="">
          <xdr:nvGraphicFramePr>
            <xdr:cNvPr id="52" name="Payment_Type">
              <a:extLst>
                <a:ext uri="{FF2B5EF4-FFF2-40B4-BE49-F238E27FC236}">
                  <a16:creationId xmlns:a16="http://schemas.microsoft.com/office/drawing/2014/main" id="{32A9258E-EFAF-44BD-AE93-90D87322DAAD}"/>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17678400" y="138988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92</xdr:row>
      <xdr:rowOff>0</xdr:rowOff>
    </xdr:from>
    <xdr:to>
      <xdr:col>24</xdr:col>
      <xdr:colOff>0</xdr:colOff>
      <xdr:row>105</xdr:row>
      <xdr:rowOff>89535</xdr:rowOff>
    </xdr:to>
    <mc:AlternateContent xmlns:mc="http://schemas.openxmlformats.org/markup-compatibility/2006" xmlns:a14="http://schemas.microsoft.com/office/drawing/2010/main">
      <mc:Choice Requires="a14">
        <xdr:graphicFrame macro="">
          <xdr:nvGraphicFramePr>
            <xdr:cNvPr id="53" name="Property_Type">
              <a:extLst>
                <a:ext uri="{FF2B5EF4-FFF2-40B4-BE49-F238E27FC236}">
                  <a16:creationId xmlns:a16="http://schemas.microsoft.com/office/drawing/2014/main" id="{AC0595D5-57BF-4DF1-A4C7-7DCD49A2EE8F}"/>
                </a:ext>
              </a:extLst>
            </xdr:cNvPr>
            <xdr:cNvGraphicFramePr/>
          </xdr:nvGraphicFramePr>
          <xdr:xfrm>
            <a:off x="0" y="0"/>
            <a:ext cx="0" cy="0"/>
          </xdr:xfrm>
          <a:graphic>
            <a:graphicData uri="http://schemas.microsoft.com/office/drawing/2010/slicer">
              <sle:slicer xmlns:sle="http://schemas.microsoft.com/office/drawing/2010/slicer" name="Property_Type"/>
            </a:graphicData>
          </a:graphic>
        </xdr:graphicFrame>
      </mc:Choice>
      <mc:Fallback xmlns="">
        <xdr:sp macro="" textlink="">
          <xdr:nvSpPr>
            <xdr:cNvPr id="0" name=""/>
            <xdr:cNvSpPr>
              <a:spLocks noTextEdit="1"/>
            </xdr:cNvSpPr>
          </xdr:nvSpPr>
          <xdr:spPr>
            <a:xfrm>
              <a:off x="12801600" y="168249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0</xdr:colOff>
      <xdr:row>92</xdr:row>
      <xdr:rowOff>0</xdr:rowOff>
    </xdr:from>
    <xdr:to>
      <xdr:col>28</xdr:col>
      <xdr:colOff>0</xdr:colOff>
      <xdr:row>105</xdr:row>
      <xdr:rowOff>89535</xdr:rowOff>
    </xdr:to>
    <mc:AlternateContent xmlns:mc="http://schemas.openxmlformats.org/markup-compatibility/2006" xmlns:a14="http://schemas.microsoft.com/office/drawing/2010/main">
      <mc:Choice Requires="a14">
        <xdr:graphicFrame macro="">
          <xdr:nvGraphicFramePr>
            <xdr:cNvPr id="54" name="Real_Estate_Company">
              <a:extLst>
                <a:ext uri="{FF2B5EF4-FFF2-40B4-BE49-F238E27FC236}">
                  <a16:creationId xmlns:a16="http://schemas.microsoft.com/office/drawing/2014/main" id="{CFC13C14-A40C-4638-B9E5-4E1B969F07C7}"/>
                </a:ext>
              </a:extLst>
            </xdr:cNvPr>
            <xdr:cNvGraphicFramePr/>
          </xdr:nvGraphicFramePr>
          <xdr:xfrm>
            <a:off x="0" y="0"/>
            <a:ext cx="0" cy="0"/>
          </xdr:xfrm>
          <a:graphic>
            <a:graphicData uri="http://schemas.microsoft.com/office/drawing/2010/slicer">
              <sle:slicer xmlns:sle="http://schemas.microsoft.com/office/drawing/2010/slicer" name="Real_Estate_Company"/>
            </a:graphicData>
          </a:graphic>
        </xdr:graphicFrame>
      </mc:Choice>
      <mc:Fallback xmlns="">
        <xdr:sp macro="" textlink="">
          <xdr:nvSpPr>
            <xdr:cNvPr id="0" name=""/>
            <xdr:cNvSpPr>
              <a:spLocks noTextEdit="1"/>
            </xdr:cNvSpPr>
          </xdr:nvSpPr>
          <xdr:spPr>
            <a:xfrm>
              <a:off x="15240000" y="168249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594360</xdr:colOff>
      <xdr:row>11</xdr:row>
      <xdr:rowOff>7620</xdr:rowOff>
    </xdr:from>
    <xdr:to>
      <xdr:col>10</xdr:col>
      <xdr:colOff>15240</xdr:colOff>
      <xdr:row>30</xdr:row>
      <xdr:rowOff>0</xdr:rowOff>
    </xdr:to>
    <xdr:graphicFrame macro="">
      <xdr:nvGraphicFramePr>
        <xdr:cNvPr id="6" name="Chart 5">
          <a:extLst>
            <a:ext uri="{FF2B5EF4-FFF2-40B4-BE49-F238E27FC236}">
              <a16:creationId xmlns:a16="http://schemas.microsoft.com/office/drawing/2014/main" id="{AB88D9F8-9740-4427-8387-B5766DE3E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0</xdr:colOff>
      <xdr:row>54</xdr:row>
      <xdr:rowOff>0</xdr:rowOff>
    </xdr:from>
    <xdr:to>
      <xdr:col>16</xdr:col>
      <xdr:colOff>518160</xdr:colOff>
      <xdr:row>72</xdr:row>
      <xdr:rowOff>99060</xdr:rowOff>
    </xdr:to>
    <xdr:graphicFrame macro="">
      <xdr:nvGraphicFramePr>
        <xdr:cNvPr id="12" name="Chart 11">
          <a:extLst>
            <a:ext uri="{FF2B5EF4-FFF2-40B4-BE49-F238E27FC236}">
              <a16:creationId xmlns:a16="http://schemas.microsoft.com/office/drawing/2014/main" id="{1285D4F0-C2AC-4989-8F63-11EB6A286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88.227939699071" createdVersion="8" refreshedVersion="8" minRefreshableVersion="3" recordCount="500" xr:uid="{CF5A4ACC-F7E8-41D7-BC7F-F88E41E354F9}">
  <cacheSource type="worksheet">
    <worksheetSource name="Table1"/>
  </cacheSource>
  <cacheFields count="32">
    <cacheField name="Transaction_ID" numFmtId="0">
      <sharedItems count="500">
        <s v="TRX-0001"/>
        <s v="TRX-0002"/>
        <s v="TRX-0003"/>
        <s v="TRX-0004"/>
        <s v="TRX-0005"/>
        <s v="TRX-0006"/>
        <s v="TRX-0007"/>
        <s v="TRX-0008"/>
        <s v="TRX-0009"/>
        <s v="TRX-0010"/>
        <s v="TRX-0011"/>
        <s v="TRX-0012"/>
        <s v="TRX-0013"/>
        <s v="TRX-0014"/>
        <s v="TRX-0015"/>
        <s v="TRX-0016"/>
        <s v="TRX-0017"/>
        <s v="TRX-0018"/>
        <s v="TRX-0019"/>
        <s v="TRX-0020"/>
        <s v="TRX-0021"/>
        <s v="TRX-0022"/>
        <s v="TRX-0023"/>
        <s v="TRX-0024"/>
        <s v="TRX-0025"/>
        <s v="TRX-0026"/>
        <s v="TRX-0027"/>
        <s v="TRX-0028"/>
        <s v="TRX-0029"/>
        <s v="TRX-0030"/>
        <s v="TRX-0031"/>
        <s v="TRX-0032"/>
        <s v="TRX-0033"/>
        <s v="TRX-0034"/>
        <s v="TRX-0035"/>
        <s v="TRX-0036"/>
        <s v="TRX-0037"/>
        <s v="TRX-0038"/>
        <s v="TRX-0039"/>
        <s v="TRX-0040"/>
        <s v="TRX-0041"/>
        <s v="TRX-0042"/>
        <s v="TRX-0043"/>
        <s v="TRX-0044"/>
        <s v="TRX-0045"/>
        <s v="TRX-0046"/>
        <s v="TRX-0047"/>
        <s v="TRX-0048"/>
        <s v="TRX-0049"/>
        <s v="TRX-0050"/>
        <s v="TRX-0051"/>
        <s v="TRX-0052"/>
        <s v="TRX-0053"/>
        <s v="TRX-0054"/>
        <s v="TRX-0055"/>
        <s v="TRX-0056"/>
        <s v="TRX-0057"/>
        <s v="TRX-0058"/>
        <s v="TRX-0059"/>
        <s v="TRX-0060"/>
        <s v="TRX-0061"/>
        <s v="TRX-0062"/>
        <s v="TRX-0063"/>
        <s v="TRX-0064"/>
        <s v="TRX-0065"/>
        <s v="TRX-0066"/>
        <s v="TRX-0067"/>
        <s v="TRX-0068"/>
        <s v="TRX-0069"/>
        <s v="TRX-0070"/>
        <s v="TRX-0071"/>
        <s v="TRX-0072"/>
        <s v="TRX-0073"/>
        <s v="TRX-0074"/>
        <s v="TRX-0075"/>
        <s v="TRX-0076"/>
        <s v="TRX-0077"/>
        <s v="TRX-0078"/>
        <s v="TRX-0079"/>
        <s v="TRX-0080"/>
        <s v="TRX-0081"/>
        <s v="TRX-0082"/>
        <s v="TRX-0083"/>
        <s v="TRX-0084"/>
        <s v="TRX-0085"/>
        <s v="TRX-0086"/>
        <s v="TRX-0087"/>
        <s v="TRX-0088"/>
        <s v="TRX-0089"/>
        <s v="TRX-0090"/>
        <s v="TRX-0091"/>
        <s v="TRX-0092"/>
        <s v="TRX-0093"/>
        <s v="TRX-0094"/>
        <s v="TRX-0095"/>
        <s v="TRX-0096"/>
        <s v="TRX-0097"/>
        <s v="TRX-0098"/>
        <s v="TRX-0099"/>
        <s v="TRX-0100"/>
        <s v="TRX-0101"/>
        <s v="TRX-0102"/>
        <s v="TRX-0103"/>
        <s v="TRX-0104"/>
        <s v="TRX-0105"/>
        <s v="TRX-0106"/>
        <s v="TRX-0107"/>
        <s v="TRX-0108"/>
        <s v="TRX-0109"/>
        <s v="TRX-0110"/>
        <s v="TRX-0111"/>
        <s v="TRX-0112"/>
        <s v="TRX-0113"/>
        <s v="TRX-0114"/>
        <s v="TRX-0115"/>
        <s v="TRX-0116"/>
        <s v="TRX-0117"/>
        <s v="TRX-0118"/>
        <s v="TRX-0119"/>
        <s v="TRX-0120"/>
        <s v="TRX-0121"/>
        <s v="TRX-0122"/>
        <s v="TRX-0123"/>
        <s v="TRX-0124"/>
        <s v="TRX-0125"/>
        <s v="TRX-0126"/>
        <s v="TRX-0127"/>
        <s v="TRX-0128"/>
        <s v="TRX-0129"/>
        <s v="TRX-0130"/>
        <s v="TRX-0131"/>
        <s v="TRX-0132"/>
        <s v="TRX-0133"/>
        <s v="TRX-0134"/>
        <s v="TRX-0135"/>
        <s v="TRX-0136"/>
        <s v="TRX-0137"/>
        <s v="TRX-0138"/>
        <s v="TRX-0139"/>
        <s v="TRX-0140"/>
        <s v="TRX-0141"/>
        <s v="TRX-0142"/>
        <s v="TRX-0143"/>
        <s v="TRX-0144"/>
        <s v="TRX-0145"/>
        <s v="TRX-0146"/>
        <s v="TRX-0147"/>
        <s v="TRX-0148"/>
        <s v="TRX-0149"/>
        <s v="TRX-0150"/>
        <s v="TRX-0151"/>
        <s v="TRX-0152"/>
        <s v="TRX-0153"/>
        <s v="TRX-0154"/>
        <s v="TRX-0155"/>
        <s v="TRX-0156"/>
        <s v="TRX-0157"/>
        <s v="TRX-0158"/>
        <s v="TRX-0159"/>
        <s v="TRX-0160"/>
        <s v="TRX-0161"/>
        <s v="TRX-0162"/>
        <s v="TRX-0163"/>
        <s v="TRX-0164"/>
        <s v="TRX-0165"/>
        <s v="TRX-0166"/>
        <s v="TRX-0167"/>
        <s v="TRX-0168"/>
        <s v="TRX-0169"/>
        <s v="TRX-0170"/>
        <s v="TRX-0171"/>
        <s v="TRX-0172"/>
        <s v="TRX-0173"/>
        <s v="TRX-0174"/>
        <s v="TRX-0175"/>
        <s v="TRX-0176"/>
        <s v="TRX-0177"/>
        <s v="TRX-0178"/>
        <s v="TRX-0179"/>
        <s v="TRX-0180"/>
        <s v="TRX-0181"/>
        <s v="TRX-0182"/>
        <s v="TRX-0183"/>
        <s v="TRX-0184"/>
        <s v="TRX-0185"/>
        <s v="TRX-0186"/>
        <s v="TRX-0187"/>
        <s v="TRX-0188"/>
        <s v="TRX-0189"/>
        <s v="TRX-0190"/>
        <s v="TRX-0191"/>
        <s v="TRX-0192"/>
        <s v="TRX-0193"/>
        <s v="TRX-0194"/>
        <s v="TRX-0195"/>
        <s v="TRX-0196"/>
        <s v="TRX-0197"/>
        <s v="TRX-0198"/>
        <s v="TRX-0199"/>
        <s v="TRX-0200"/>
        <s v="TRX-0201"/>
        <s v="TRX-0202"/>
        <s v="TRX-0203"/>
        <s v="TRX-0204"/>
        <s v="TRX-0205"/>
        <s v="TRX-0206"/>
        <s v="TRX-0207"/>
        <s v="TRX-0208"/>
        <s v="TRX-0209"/>
        <s v="TRX-0210"/>
        <s v="TRX-0211"/>
        <s v="TRX-0212"/>
        <s v="TRX-0213"/>
        <s v="TRX-0214"/>
        <s v="TRX-0215"/>
        <s v="TRX-0216"/>
        <s v="TRX-0217"/>
        <s v="TRX-0218"/>
        <s v="TRX-0219"/>
        <s v="TRX-0220"/>
        <s v="TRX-0221"/>
        <s v="TRX-0222"/>
        <s v="TRX-0223"/>
        <s v="TRX-0224"/>
        <s v="TRX-0225"/>
        <s v="TRX-0226"/>
        <s v="TRX-0227"/>
        <s v="TRX-0228"/>
        <s v="TRX-0229"/>
        <s v="TRX-0230"/>
        <s v="TRX-0231"/>
        <s v="TRX-0232"/>
        <s v="TRX-0233"/>
        <s v="TRX-0234"/>
        <s v="TRX-0235"/>
        <s v="TRX-0236"/>
        <s v="TRX-0237"/>
        <s v="TRX-0238"/>
        <s v="TRX-0239"/>
        <s v="TRX-0240"/>
        <s v="TRX-0241"/>
        <s v="TRX-0242"/>
        <s v="TRX-0243"/>
        <s v="TRX-0244"/>
        <s v="TRX-0245"/>
        <s v="TRX-0246"/>
        <s v="TRX-0247"/>
        <s v="TRX-0248"/>
        <s v="TRX-0249"/>
        <s v="TRX-0250"/>
        <s v="TRX-0251"/>
        <s v="TRX-0252"/>
        <s v="TRX-0253"/>
        <s v="TRX-0254"/>
        <s v="TRX-0255"/>
        <s v="TRX-0256"/>
        <s v="TRX-0257"/>
        <s v="TRX-0258"/>
        <s v="TRX-0259"/>
        <s v="TRX-0260"/>
        <s v="TRX-0261"/>
        <s v="TRX-0262"/>
        <s v="TRX-0263"/>
        <s v="TRX-0264"/>
        <s v="TRX-0265"/>
        <s v="TRX-0266"/>
        <s v="TRX-0267"/>
        <s v="TRX-0268"/>
        <s v="TRX-0269"/>
        <s v="TRX-0270"/>
        <s v="TRX-0271"/>
        <s v="TRX-0272"/>
        <s v="TRX-0273"/>
        <s v="TRX-0274"/>
        <s v="TRX-0275"/>
        <s v="TRX-0276"/>
        <s v="TRX-0277"/>
        <s v="TRX-0278"/>
        <s v="TRX-0279"/>
        <s v="TRX-0280"/>
        <s v="TRX-0281"/>
        <s v="TRX-0282"/>
        <s v="TRX-0283"/>
        <s v="TRX-0284"/>
        <s v="TRX-0285"/>
        <s v="TRX-0286"/>
        <s v="TRX-0287"/>
        <s v="TRX-0288"/>
        <s v="TRX-0289"/>
        <s v="TRX-0290"/>
        <s v="TRX-0291"/>
        <s v="TRX-0292"/>
        <s v="TRX-0293"/>
        <s v="TRX-0294"/>
        <s v="TRX-0295"/>
        <s v="TRX-0296"/>
        <s v="TRX-0297"/>
        <s v="TRX-0298"/>
        <s v="TRX-0299"/>
        <s v="TRX-0300"/>
        <s v="TRX-0301"/>
        <s v="TRX-0302"/>
        <s v="TRX-0303"/>
        <s v="TRX-0304"/>
        <s v="TRX-0305"/>
        <s v="TRX-0306"/>
        <s v="TRX-0307"/>
        <s v="TRX-0308"/>
        <s v="TRX-0309"/>
        <s v="TRX-0310"/>
        <s v="TRX-0311"/>
        <s v="TRX-0312"/>
        <s v="TRX-0313"/>
        <s v="TRX-0314"/>
        <s v="TRX-0315"/>
        <s v="TRX-0316"/>
        <s v="TRX-0317"/>
        <s v="TRX-0318"/>
        <s v="TRX-0319"/>
        <s v="TRX-0320"/>
        <s v="TRX-0321"/>
        <s v="TRX-0322"/>
        <s v="TRX-0323"/>
        <s v="TRX-0324"/>
        <s v="TRX-0325"/>
        <s v="TRX-0326"/>
        <s v="TRX-0327"/>
        <s v="TRX-0328"/>
        <s v="TRX-0329"/>
        <s v="TRX-0330"/>
        <s v="TRX-0331"/>
        <s v="TRX-0332"/>
        <s v="TRX-0333"/>
        <s v="TRX-0334"/>
        <s v="TRX-0335"/>
        <s v="TRX-0336"/>
        <s v="TRX-0337"/>
        <s v="TRX-0338"/>
        <s v="TRX-0339"/>
        <s v="TRX-0340"/>
        <s v="TRX-0341"/>
        <s v="TRX-0342"/>
        <s v="TRX-0343"/>
        <s v="TRX-0344"/>
        <s v="TRX-0345"/>
        <s v="TRX-0346"/>
        <s v="TRX-0347"/>
        <s v="TRX-0348"/>
        <s v="TRX-0349"/>
        <s v="TRX-0350"/>
        <s v="TRX-0351"/>
        <s v="TRX-0352"/>
        <s v="TRX-0353"/>
        <s v="TRX-0354"/>
        <s v="TRX-0355"/>
        <s v="TRX-0356"/>
        <s v="TRX-0357"/>
        <s v="TRX-0358"/>
        <s v="TRX-0359"/>
        <s v="TRX-0360"/>
        <s v="TRX-0361"/>
        <s v="TRX-0362"/>
        <s v="TRX-0363"/>
        <s v="TRX-0364"/>
        <s v="TRX-0365"/>
        <s v="TRX-0366"/>
        <s v="TRX-0367"/>
        <s v="TRX-0368"/>
        <s v="TRX-0369"/>
        <s v="TRX-0370"/>
        <s v="TRX-0371"/>
        <s v="TRX-0372"/>
        <s v="TRX-0373"/>
        <s v="TRX-0374"/>
        <s v="TRX-0375"/>
        <s v="TRX-0376"/>
        <s v="TRX-0377"/>
        <s v="TRX-0378"/>
        <s v="TRX-0379"/>
        <s v="TRX-0380"/>
        <s v="TRX-0381"/>
        <s v="TRX-0382"/>
        <s v="TRX-0383"/>
        <s v="TRX-0384"/>
        <s v="TRX-0385"/>
        <s v="TRX-0386"/>
        <s v="TRX-0387"/>
        <s v="TRX-0388"/>
        <s v="TRX-0389"/>
        <s v="TRX-0390"/>
        <s v="TRX-0391"/>
        <s v="TRX-0392"/>
        <s v="TRX-0393"/>
        <s v="TRX-0394"/>
        <s v="TRX-0395"/>
        <s v="TRX-0396"/>
        <s v="TRX-0397"/>
        <s v="TRX-0398"/>
        <s v="TRX-0399"/>
        <s v="TRX-0400"/>
        <s v="TRX-0401"/>
        <s v="TRX-0402"/>
        <s v="TRX-0403"/>
        <s v="TRX-0404"/>
        <s v="TRX-0405"/>
        <s v="TRX-0406"/>
        <s v="TRX-0407"/>
        <s v="TRX-0408"/>
        <s v="TRX-0409"/>
        <s v="TRX-0410"/>
        <s v="TRX-0411"/>
        <s v="TRX-0412"/>
        <s v="TRX-0413"/>
        <s v="TRX-0414"/>
        <s v="TRX-0415"/>
        <s v="TRX-0416"/>
        <s v="TRX-0417"/>
        <s v="TRX-0418"/>
        <s v="TRX-0419"/>
        <s v="TRX-0420"/>
        <s v="TRX-0421"/>
        <s v="TRX-0422"/>
        <s v="TRX-0423"/>
        <s v="TRX-0424"/>
        <s v="TRX-0425"/>
        <s v="TRX-0426"/>
        <s v="TRX-0427"/>
        <s v="TRX-0428"/>
        <s v="TRX-0429"/>
        <s v="TRX-0430"/>
        <s v="TRX-0431"/>
        <s v="TRX-0432"/>
        <s v="TRX-0433"/>
        <s v="TRX-0434"/>
        <s v="TRX-0435"/>
        <s v="TRX-0436"/>
        <s v="TRX-0437"/>
        <s v="TRX-0438"/>
        <s v="TRX-0439"/>
        <s v="TRX-0440"/>
        <s v="TRX-0441"/>
        <s v="TRX-0442"/>
        <s v="TRX-0443"/>
        <s v="TRX-0444"/>
        <s v="TRX-0445"/>
        <s v="TRX-0446"/>
        <s v="TRX-0447"/>
        <s v="TRX-0448"/>
        <s v="TRX-0449"/>
        <s v="TRX-0450"/>
        <s v="TRX-0451"/>
        <s v="TRX-0452"/>
        <s v="TRX-0453"/>
        <s v="TRX-0454"/>
        <s v="TRX-0455"/>
        <s v="TRX-0456"/>
        <s v="TRX-0457"/>
        <s v="TRX-0458"/>
        <s v="TRX-0459"/>
        <s v="TRX-0460"/>
        <s v="TRX-0461"/>
        <s v="TRX-0462"/>
        <s v="TRX-0463"/>
        <s v="TRX-0464"/>
        <s v="TRX-0465"/>
        <s v="TRX-0466"/>
        <s v="TRX-0467"/>
        <s v="TRX-0468"/>
        <s v="TRX-0469"/>
        <s v="TRX-0470"/>
        <s v="TRX-0471"/>
        <s v="TRX-0472"/>
        <s v="TRX-0473"/>
        <s v="TRX-0474"/>
        <s v="TRX-0475"/>
        <s v="TRX-0476"/>
        <s v="TRX-0477"/>
        <s v="TRX-0478"/>
        <s v="TRX-0479"/>
        <s v="TRX-0480"/>
        <s v="TRX-0481"/>
        <s v="TRX-0482"/>
        <s v="TRX-0483"/>
        <s v="TRX-0484"/>
        <s v="TRX-0485"/>
        <s v="TRX-0486"/>
        <s v="TRX-0487"/>
        <s v="TRX-0488"/>
        <s v="TRX-0489"/>
        <s v="TRX-0490"/>
        <s v="TRX-0491"/>
        <s v="TRX-0492"/>
        <s v="TRX-0493"/>
        <s v="TRX-0494"/>
        <s v="TRX-0495"/>
        <s v="TRX-0496"/>
        <s v="TRX-0497"/>
        <s v="TRX-0498"/>
        <s v="TRX-0499"/>
        <s v="TRX-0500"/>
      </sharedItems>
    </cacheField>
    <cacheField name="Customer_Name" numFmtId="0">
      <sharedItems/>
    </cacheField>
    <cacheField name="Gender" numFmtId="0">
      <sharedItems/>
    </cacheField>
    <cacheField name="Age" numFmtId="0">
      <sharedItems containsSemiMixedTypes="0" containsString="0" containsNumber="1" containsInteger="1" minValue="20" maxValue="65" count="46">
        <n v="22"/>
        <n v="41"/>
        <n v="65"/>
        <n v="54"/>
        <n v="45"/>
        <n v="27"/>
        <n v="38"/>
        <n v="58"/>
        <n v="55"/>
        <n v="57"/>
        <n v="50"/>
        <n v="37"/>
        <n v="36"/>
        <n v="23"/>
        <n v="42"/>
        <n v="62"/>
        <n v="43"/>
        <n v="25"/>
        <n v="29"/>
        <n v="48"/>
        <n v="40"/>
        <n v="59"/>
        <n v="56"/>
        <n v="64"/>
        <n v="60"/>
        <n v="49"/>
        <n v="39"/>
        <n v="24"/>
        <n v="46"/>
        <n v="52"/>
        <n v="20"/>
        <n v="34"/>
        <n v="35"/>
        <n v="53"/>
        <n v="63"/>
        <n v="30"/>
        <n v="31"/>
        <n v="61"/>
        <n v="44"/>
        <n v="51"/>
        <n v="32"/>
        <n v="21"/>
        <n v="33"/>
        <n v="26"/>
        <n v="47"/>
        <n v="28"/>
      </sharedItems>
      <fieldGroup base="3">
        <rangePr startNum="20" endNum="65" groupInterval="10"/>
        <groupItems count="7">
          <s v="&lt;20"/>
          <s v="20-29"/>
          <s v="30-39"/>
          <s v="40-49"/>
          <s v="50-59"/>
          <s v="60-69"/>
          <s v="&gt;70"/>
        </groupItems>
      </fieldGroup>
    </cacheField>
    <cacheField name="Property_Type" numFmtId="0">
      <sharedItems count="3">
        <s v="Residential Land"/>
        <s v="Mixed-use Land"/>
        <s v="Commercial Land"/>
      </sharedItems>
    </cacheField>
    <cacheField name="Land_Size_SQM" numFmtId="0">
      <sharedItems containsSemiMixedTypes="0" containsString="0" containsNumber="1" containsInteger="1" minValue="200" maxValue="993" count="358">
        <n v="959"/>
        <n v="484"/>
        <n v="327"/>
        <n v="366"/>
        <n v="434"/>
        <n v="638"/>
        <n v="211"/>
        <n v="823"/>
        <n v="949"/>
        <n v="648"/>
        <n v="885"/>
        <n v="262"/>
        <n v="616"/>
        <n v="808"/>
        <n v="669"/>
        <n v="883"/>
        <n v="294"/>
        <n v="765"/>
        <n v="621"/>
        <n v="485"/>
        <n v="723"/>
        <n v="534"/>
        <n v="652"/>
        <n v="666"/>
        <n v="324"/>
        <n v="984"/>
        <n v="617"/>
        <n v="479"/>
        <n v="466"/>
        <n v="453"/>
        <n v="792"/>
        <n v="863"/>
        <n v="676"/>
        <n v="548"/>
        <n v="879"/>
        <n v="421"/>
        <n v="305"/>
        <n v="771"/>
        <n v="876"/>
        <n v="272"/>
        <n v="495"/>
        <n v="221"/>
        <n v="537"/>
        <n v="570"/>
        <n v="295"/>
        <n v="720"/>
        <n v="981"/>
        <n v="804"/>
        <n v="536"/>
        <n v="247"/>
        <n v="797"/>
        <n v="667"/>
        <n v="820"/>
        <n v="292"/>
        <n v="574"/>
        <n v="917"/>
        <n v="624"/>
        <n v="607"/>
        <n v="992"/>
        <n v="253"/>
        <n v="636"/>
        <n v="640"/>
        <n v="583"/>
        <n v="494"/>
        <n v="226"/>
        <n v="585"/>
        <n v="982"/>
        <n v="520"/>
        <n v="605"/>
        <n v="381"/>
        <n v="719"/>
        <n v="517"/>
        <n v="279"/>
        <n v="620"/>
        <n v="740"/>
        <n v="647"/>
        <n v="349"/>
        <n v="443"/>
        <n v="446"/>
        <n v="990"/>
        <n v="727"/>
        <n v="731"/>
        <n v="370"/>
        <n v="268"/>
        <n v="711"/>
        <n v="926"/>
        <n v="332"/>
        <n v="386"/>
        <n v="746"/>
        <n v="709"/>
        <n v="935"/>
        <n v="363"/>
        <n v="706"/>
        <n v="889"/>
        <n v="993"/>
        <n v="682"/>
        <n v="824"/>
        <n v="787"/>
        <n v="340"/>
        <n v="688"/>
        <n v="390"/>
        <n v="454"/>
        <n v="906"/>
        <n v="920"/>
        <n v="722"/>
        <n v="552"/>
        <n v="336"/>
        <n v="942"/>
        <n v="649"/>
        <n v="507"/>
        <n v="972"/>
        <n v="660"/>
        <n v="510"/>
        <n v="502"/>
        <n v="343"/>
        <n v="717"/>
        <n v="914"/>
        <n v="869"/>
        <n v="435"/>
        <n v="780"/>
        <n v="661"/>
        <n v="524"/>
        <n v="562"/>
        <n v="704"/>
        <n v="835"/>
        <n v="789"/>
        <n v="411"/>
        <n v="560"/>
        <n v="628"/>
        <n v="339"/>
        <n v="960"/>
        <n v="320"/>
        <n v="531"/>
        <n v="345"/>
        <n v="264"/>
        <n v="216"/>
        <n v="689"/>
        <n v="559"/>
        <n v="843"/>
        <n v="729"/>
        <n v="931"/>
        <n v="619"/>
        <n v="442"/>
        <n v="323"/>
        <n v="893"/>
        <n v="796"/>
        <n v="376"/>
        <n v="592"/>
        <n v="526"/>
        <n v="563"/>
        <n v="238"/>
        <n v="921"/>
        <n v="378"/>
        <n v="708"/>
        <n v="939"/>
        <n v="786"/>
        <n v="842"/>
        <n v="353"/>
        <n v="897"/>
        <n v="229"/>
        <n v="447"/>
        <n v="670"/>
        <n v="855"/>
        <n v="399"/>
        <n v="699"/>
        <n v="802"/>
        <n v="219"/>
        <n v="364"/>
        <n v="503"/>
        <n v="474"/>
        <n v="894"/>
        <n v="985"/>
        <n v="280"/>
        <n v="760"/>
        <n v="326"/>
        <n v="839"/>
        <n v="735"/>
        <n v="663"/>
        <n v="407"/>
        <n v="738"/>
        <n v="774"/>
        <n v="726"/>
        <n v="410"/>
        <n v="643"/>
        <n v="590"/>
        <n v="274"/>
        <n v="831"/>
        <n v="417"/>
        <n v="975"/>
        <n v="730"/>
        <n v="457"/>
        <n v="391"/>
        <n v="844"/>
        <n v="335"/>
        <n v="812"/>
        <n v="467"/>
        <n v="875"/>
        <n v="645"/>
        <n v="492"/>
        <n v="800"/>
        <n v="379"/>
        <n v="455"/>
        <n v="890"/>
        <n v="573"/>
        <n v="337"/>
        <n v="568"/>
        <n v="371"/>
        <n v="623"/>
        <n v="306"/>
        <n v="478"/>
        <n v="582"/>
        <n v="438"/>
        <n v="681"/>
        <n v="598"/>
        <n v="215"/>
        <n v="564"/>
        <n v="240"/>
        <n v="575"/>
        <n v="232"/>
        <n v="577"/>
        <n v="872"/>
        <n v="200"/>
        <n v="785"/>
        <n v="694"/>
        <n v="255"/>
        <n v="284"/>
        <n v="452"/>
        <n v="373"/>
        <n v="254"/>
        <n v="744"/>
        <n v="840"/>
        <n v="516"/>
        <n v="750"/>
        <n v="674"/>
        <n v="908"/>
        <n v="250"/>
        <n v="852"/>
        <n v="830"/>
        <n v="768"/>
        <n v="922"/>
        <n v="718"/>
        <n v="903"/>
        <n v="518"/>
        <n v="973"/>
        <n v="916"/>
        <n v="865"/>
        <n v="878"/>
        <n v="901"/>
        <n v="506"/>
        <n v="440"/>
        <n v="273"/>
        <n v="593"/>
        <n v="794"/>
        <n v="551"/>
        <n v="214"/>
        <n v="988"/>
        <n v="439"/>
        <n v="543"/>
        <n v="389"/>
        <n v="464"/>
        <n v="235"/>
        <n v="924"/>
        <n v="952"/>
        <n v="615"/>
        <n v="532"/>
        <n v="795"/>
        <n v="380"/>
        <n v="584"/>
        <n v="766"/>
        <n v="205"/>
        <n v="423"/>
        <n v="955"/>
        <n v="354"/>
        <n v="491"/>
        <n v="578"/>
        <n v="359"/>
        <n v="425"/>
        <n v="525"/>
        <n v="496"/>
        <n v="556"/>
        <n v="980"/>
        <n v="213"/>
        <n v="325"/>
        <n v="456"/>
        <n v="233"/>
        <n v="257"/>
        <n v="781"/>
        <n v="829"/>
        <n v="544"/>
        <n v="351"/>
        <n v="444"/>
        <n v="314"/>
        <n v="348"/>
        <n v="508"/>
        <n v="267"/>
        <n v="862"/>
        <n v="930"/>
        <n v="487"/>
        <n v="490"/>
        <n v="413"/>
        <n v="656"/>
        <n v="707"/>
        <n v="310"/>
        <n v="521"/>
        <n v="601"/>
        <n v="523"/>
        <n v="715"/>
        <n v="925"/>
        <n v="569"/>
        <n v="271"/>
        <n v="732"/>
        <n v="465"/>
        <n v="512"/>
        <n v="547"/>
        <n v="703"/>
        <n v="970"/>
        <n v="767"/>
        <n v="662"/>
        <n v="365"/>
        <n v="415"/>
        <n v="231"/>
        <n v="396"/>
        <n v="374"/>
        <n v="909"/>
        <n v="630"/>
        <n v="691"/>
        <n v="611"/>
        <n v="397"/>
        <n v="245"/>
        <n v="873"/>
        <n v="388"/>
        <n v="739"/>
        <n v="535"/>
        <n v="710"/>
        <n v="635"/>
        <n v="483"/>
        <n v="819"/>
        <n v="218"/>
        <n v="631"/>
        <n v="540"/>
        <n v="834"/>
        <n v="733"/>
        <n v="634"/>
        <n v="978"/>
        <n v="851"/>
        <n v="500"/>
        <n v="246"/>
        <n v="263"/>
        <n v="424"/>
        <n v="541"/>
        <n v="414"/>
        <n v="481"/>
        <n v="860"/>
        <n v="971"/>
        <n v="276"/>
        <n v="571"/>
        <n v="488"/>
        <n v="329"/>
      </sharedItems>
      <fieldGroup base="5">
        <rangePr startNum="200" endNum="993" groupInterval="265"/>
        <groupItems count="5">
          <s v="&lt;200"/>
          <s v="200-464"/>
          <s v="465-729"/>
          <s v="730-994"/>
          <s v="&gt;995"/>
        </groupItems>
      </fieldGroup>
    </cacheField>
    <cacheField name="Price_per_SQM" numFmtId="164">
      <sharedItems containsSemiMixedTypes="0" containsString="0" containsNumber="1" containsInteger="1" minValue="2281" maxValue="49914"/>
    </cacheField>
    <cacheField name="Total_Price" numFmtId="164">
      <sharedItems containsSemiMixedTypes="0" containsString="0" containsNumber="1" containsInteger="1" minValue="818879" maxValue="47466950"/>
    </cacheField>
    <cacheField name="State" numFmtId="0">
      <sharedItems/>
    </cacheField>
    <cacheField name="Region" numFmtId="0">
      <sharedItems count="6">
        <s v="North East"/>
        <s v="South East"/>
        <s v="North Central"/>
        <s v="South South"/>
        <s v="North West"/>
        <s v="South West"/>
      </sharedItems>
    </cacheField>
    <cacheField name="City" numFmtId="0">
      <sharedItems/>
    </cacheField>
    <cacheField name="Area_Type" numFmtId="0">
      <sharedItems count="3">
        <s v="Urban"/>
        <s v="Semi-Urban"/>
        <s v="Rural"/>
      </sharedItems>
    </cacheField>
    <cacheField name="Real_Estate_Company" numFmtId="0">
      <sharedItems count="5">
        <s v="GreenField Estates"/>
        <s v="GoldenPlots Nigeria"/>
        <s v="PrimeLand Ltd"/>
        <s v="MetroLand Developers"/>
        <s v="UrbanEdge Realty"/>
      </sharedItems>
    </cacheField>
    <cacheField name="Sales_Agent" numFmtId="0">
      <sharedItems/>
    </cacheField>
    <cacheField name="Payment_Type" numFmtId="0">
      <sharedItems count="2">
        <s v="Outright"/>
        <s v="Installment"/>
      </sharedItems>
    </cacheField>
    <cacheField name="Initial_Deposit" numFmtId="164">
      <sharedItems containsSemiMixedTypes="0" containsString="0" containsNumber="1" containsInteger="1" minValue="210285" maxValue="41451444"/>
    </cacheField>
    <cacheField name="Installment_Duration" numFmtId="0">
      <sharedItems containsSemiMixedTypes="0" containsString="0" containsNumber="1" containsInteger="1" minValue="0" maxValue="24"/>
    </cacheField>
    <cacheField name="Discount_%" numFmtId="2">
      <sharedItems containsSemiMixedTypes="0" containsString="0" containsNumber="1" minValue="0" maxValue="9.99"/>
    </cacheField>
    <cacheField name="Discount 2" numFmtId="10">
      <sharedItems containsSemiMixedTypes="0" containsString="0" containsNumber="1" minValue="0" maxValue="9.9900000000000003E-2"/>
    </cacheField>
    <cacheField name="Transaction_Date" numFmtId="14">
      <sharedItems/>
    </cacheField>
    <cacheField name="Month" numFmtId="0">
      <sharedItems count="12">
        <s v="February"/>
        <s v="June"/>
        <s v="November"/>
        <s v="December"/>
        <s v="October"/>
        <s v="September"/>
        <s v="March"/>
        <s v="January"/>
        <s v="August"/>
        <s v="April"/>
        <s v="July"/>
        <s v="May"/>
      </sharedItems>
    </cacheField>
    <cacheField name="Year" numFmtId="0">
      <sharedItems containsSemiMixedTypes="0" containsString="0" containsNumber="1" containsInteger="1" minValue="2024" maxValue="2024" count="1">
        <n v="2024"/>
      </sharedItems>
    </cacheField>
    <cacheField name="Marketing_Channel" numFmtId="0">
      <sharedItems count="4">
        <s v="Online"/>
        <s v="Billboard"/>
        <s v="Agent"/>
        <s v="Referral"/>
      </sharedItems>
    </cacheField>
    <cacheField name="Customer_Type" numFmtId="0">
      <sharedItems count="3">
        <s v="Developer"/>
        <s v="First-time Buyer"/>
        <s v="Investor"/>
      </sharedItems>
    </cacheField>
    <cacheField name="Sales_Status" numFmtId="0">
      <sharedItems/>
    </cacheField>
    <cacheField name="Satisfaction_Rating" numFmtId="0">
      <sharedItems containsSemiMixedTypes="0" containsString="0" containsNumber="1" containsInteger="1" minValue="1" maxValue="5"/>
    </cacheField>
    <cacheField name="Distance_to_City_Center" numFmtId="0">
      <sharedItems containsSemiMixedTypes="0" containsString="0" containsNumber="1" containsInteger="1" minValue="1" maxValue="50"/>
    </cacheField>
    <cacheField name="Revenue" numFmtId="164">
      <sharedItems containsSemiMixedTypes="0" containsString="0" containsNumber="1" minValue="795131.50899999996" maxValue="46349552.318399996"/>
    </cacheField>
    <cacheField name="Revenue Classification" numFmtId="164">
      <sharedItems count="3">
        <s v="Moderate Value"/>
        <s v="Low Value"/>
        <s v="High Value"/>
      </sharedItems>
    </cacheField>
    <cacheField name="Discount &gt;5%" numFmtId="0">
      <sharedItems count="2">
        <s v="NO"/>
        <s v="YES"/>
      </sharedItems>
    </cacheField>
    <cacheField name="Customer Spending Behaviour" numFmtId="0">
      <sharedItems count="3">
        <s v="Moderate Spender"/>
        <s v="Low Spender"/>
        <s v="High Spender"/>
      </sharedItems>
    </cacheField>
    <cacheField name="Land Size Category" numFmtId="164">
      <sharedItems count="3">
        <s v="LARGE"/>
        <s v="MEDIUM"/>
        <s v="SMALL"/>
      </sharedItems>
    </cacheField>
  </cacheFields>
  <extLst>
    <ext xmlns:x14="http://schemas.microsoft.com/office/spreadsheetml/2009/9/main" uri="{725AE2AE-9491-48be-B2B4-4EB974FC3084}">
      <x14:pivotCacheDefinition pivotCacheId="9401185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Grace Bello"/>
    <s v="Female"/>
    <x v="0"/>
    <x v="0"/>
    <x v="0"/>
    <n v="20024"/>
    <n v="19203016"/>
    <s v="Borno"/>
    <x v="0"/>
    <s v="Lagos"/>
    <x v="0"/>
    <x v="0"/>
    <s v="Agent B"/>
    <x v="0"/>
    <n v="19203016"/>
    <n v="0"/>
    <n v="2.23"/>
    <n v="2.23E-2"/>
    <s v="2024-02-22"/>
    <x v="0"/>
    <x v="0"/>
    <x v="0"/>
    <x v="0"/>
    <s v="Completed"/>
    <n v="5"/>
    <n v="27"/>
    <n v="18774788.7432"/>
    <x v="0"/>
    <x v="0"/>
    <x v="0"/>
    <x v="0"/>
  </r>
  <r>
    <x v="1"/>
    <s v="Musa Adeyemi"/>
    <s v="Male"/>
    <x v="1"/>
    <x v="0"/>
    <x v="1"/>
    <n v="2425"/>
    <n v="1173700"/>
    <s v="Abia"/>
    <x v="1"/>
    <s v="Calabar"/>
    <x v="0"/>
    <x v="1"/>
    <s v="Agent A"/>
    <x v="0"/>
    <n v="1173700"/>
    <n v="0"/>
    <n v="6.98"/>
    <n v="6.9800000000000001E-2"/>
    <s v="2024-06-23"/>
    <x v="1"/>
    <x v="0"/>
    <x v="1"/>
    <x v="1"/>
    <s v="Cancelled"/>
    <n v="3"/>
    <n v="3"/>
    <n v="1091775.74"/>
    <x v="1"/>
    <x v="1"/>
    <x v="1"/>
    <x v="1"/>
  </r>
  <r>
    <x v="2"/>
    <s v="Samuel Ogunleye"/>
    <s v="Male"/>
    <x v="2"/>
    <x v="0"/>
    <x v="2"/>
    <n v="26807"/>
    <n v="8765889"/>
    <s v="Bauchi"/>
    <x v="0"/>
    <s v="Uyo"/>
    <x v="0"/>
    <x v="0"/>
    <s v="Agent C"/>
    <x v="0"/>
    <n v="8765889"/>
    <n v="0"/>
    <n v="5.52"/>
    <n v="5.5199999999999999E-2"/>
    <s v="2024-11-17"/>
    <x v="2"/>
    <x v="0"/>
    <x v="0"/>
    <x v="2"/>
    <s v="Completed"/>
    <n v="4"/>
    <n v="18"/>
    <n v="8282011.9271999998"/>
    <x v="1"/>
    <x v="1"/>
    <x v="1"/>
    <x v="2"/>
  </r>
  <r>
    <x v="3"/>
    <s v="Amina Ojo"/>
    <s v="Male"/>
    <x v="3"/>
    <x v="1"/>
    <x v="3"/>
    <n v="26260"/>
    <n v="9611160"/>
    <s v="Nasarawa"/>
    <x v="2"/>
    <s v="Enugu"/>
    <x v="0"/>
    <x v="0"/>
    <s v="Agent D"/>
    <x v="1"/>
    <n v="3854580"/>
    <n v="6"/>
    <n v="7.02"/>
    <n v="7.0199999999999999E-2"/>
    <s v="2024-12-15"/>
    <x v="3"/>
    <x v="0"/>
    <x v="2"/>
    <x v="1"/>
    <s v="Cancelled"/>
    <n v="5"/>
    <n v="15"/>
    <n v="8936456.568"/>
    <x v="1"/>
    <x v="1"/>
    <x v="1"/>
    <x v="2"/>
  </r>
  <r>
    <x v="4"/>
    <s v="David Eze"/>
    <s v="Female"/>
    <x v="4"/>
    <x v="1"/>
    <x v="4"/>
    <n v="4103"/>
    <n v="1780702"/>
    <s v="Adamawa"/>
    <x v="0"/>
    <s v="Lagos"/>
    <x v="1"/>
    <x v="0"/>
    <s v="Agent C"/>
    <x v="1"/>
    <n v="499170"/>
    <n v="24"/>
    <n v="2.11"/>
    <n v="2.1099999999999997E-2"/>
    <s v="2024-10-17"/>
    <x v="4"/>
    <x v="0"/>
    <x v="3"/>
    <x v="2"/>
    <s v="Cancelled"/>
    <n v="5"/>
    <n v="35"/>
    <n v="1743129.1878"/>
    <x v="1"/>
    <x v="0"/>
    <x v="1"/>
    <x v="2"/>
  </r>
  <r>
    <x v="5"/>
    <s v="Ibrahim Bello"/>
    <s v="Male"/>
    <x v="5"/>
    <x v="0"/>
    <x v="5"/>
    <n v="40242"/>
    <n v="25674396"/>
    <s v="Cross River"/>
    <x v="3"/>
    <s v="Calabar"/>
    <x v="2"/>
    <x v="0"/>
    <s v="Agent D"/>
    <x v="1"/>
    <n v="6824158"/>
    <n v="12"/>
    <n v="9.98"/>
    <n v="9.98E-2"/>
    <s v="2024-09-17"/>
    <x v="5"/>
    <x v="0"/>
    <x v="0"/>
    <x v="1"/>
    <s v="Pending"/>
    <n v="5"/>
    <n v="30"/>
    <n v="23112091.279199999"/>
    <x v="0"/>
    <x v="1"/>
    <x v="0"/>
    <x v="1"/>
  </r>
  <r>
    <x v="6"/>
    <s v="Musa Ogunleye"/>
    <s v="Male"/>
    <x v="6"/>
    <x v="2"/>
    <x v="6"/>
    <n v="46583"/>
    <n v="9829013"/>
    <s v="Katsina"/>
    <x v="4"/>
    <s v="Uyo"/>
    <x v="0"/>
    <x v="1"/>
    <s v="Agent A"/>
    <x v="0"/>
    <n v="9829013"/>
    <n v="0"/>
    <n v="6.82"/>
    <n v="6.8199999999999997E-2"/>
    <s v="2024-10-01"/>
    <x v="4"/>
    <x v="0"/>
    <x v="1"/>
    <x v="0"/>
    <s v="Completed"/>
    <n v="5"/>
    <n v="7"/>
    <n v="9158674.3134000003"/>
    <x v="1"/>
    <x v="1"/>
    <x v="1"/>
    <x v="2"/>
  </r>
  <r>
    <x v="7"/>
    <s v="Grace Effiong"/>
    <s v="Male"/>
    <x v="7"/>
    <x v="2"/>
    <x v="7"/>
    <n v="15035"/>
    <n v="12373805"/>
    <s v="Adamawa"/>
    <x v="0"/>
    <s v="Uyo"/>
    <x v="1"/>
    <x v="2"/>
    <s v="Agent A"/>
    <x v="0"/>
    <n v="12373805"/>
    <n v="0"/>
    <n v="3.74"/>
    <n v="3.7400000000000003E-2"/>
    <s v="2024-03-23"/>
    <x v="6"/>
    <x v="0"/>
    <x v="1"/>
    <x v="1"/>
    <s v="Completed"/>
    <n v="1"/>
    <n v="16"/>
    <n v="11911024.693"/>
    <x v="0"/>
    <x v="0"/>
    <x v="0"/>
    <x v="0"/>
  </r>
  <r>
    <x v="8"/>
    <s v="Tunde Adeyemi"/>
    <s v="Female"/>
    <x v="8"/>
    <x v="0"/>
    <x v="8"/>
    <n v="33849"/>
    <n v="32122701"/>
    <s v="Kano"/>
    <x v="4"/>
    <s v="Abuja"/>
    <x v="1"/>
    <x v="3"/>
    <s v="Agent E"/>
    <x v="0"/>
    <n v="32122701"/>
    <n v="0"/>
    <n v="9.7799999999999994"/>
    <n v="9.7799999999999998E-2"/>
    <s v="2024-09-29"/>
    <x v="5"/>
    <x v="0"/>
    <x v="2"/>
    <x v="2"/>
    <s v="Cancelled"/>
    <n v="2"/>
    <n v="46"/>
    <n v="28981100.8422"/>
    <x v="0"/>
    <x v="1"/>
    <x v="0"/>
    <x v="0"/>
  </r>
  <r>
    <x v="9"/>
    <s v="Samuel Effiong"/>
    <s v="Male"/>
    <x v="9"/>
    <x v="0"/>
    <x v="9"/>
    <n v="35919"/>
    <n v="23275512"/>
    <s v="Akwa Ibom"/>
    <x v="3"/>
    <s v="Enugu"/>
    <x v="0"/>
    <x v="2"/>
    <s v="Agent A"/>
    <x v="1"/>
    <n v="6386141"/>
    <n v="3"/>
    <n v="0.64"/>
    <n v="6.4000000000000003E-3"/>
    <s v="2024-01-11"/>
    <x v="7"/>
    <x v="0"/>
    <x v="3"/>
    <x v="2"/>
    <s v="Completed"/>
    <n v="3"/>
    <n v="5"/>
    <n v="23126548.723200001"/>
    <x v="0"/>
    <x v="0"/>
    <x v="0"/>
    <x v="1"/>
  </r>
  <r>
    <x v="10"/>
    <s v="Samuel Sani"/>
    <s v="Male"/>
    <x v="10"/>
    <x v="2"/>
    <x v="10"/>
    <n v="33812"/>
    <n v="29923620"/>
    <s v="Kaduna"/>
    <x v="4"/>
    <s v="Ibadan"/>
    <x v="0"/>
    <x v="2"/>
    <s v="Agent A"/>
    <x v="0"/>
    <n v="29923620"/>
    <n v="0"/>
    <n v="5.39"/>
    <n v="5.3899999999999997E-2"/>
    <s v="2024-10-19"/>
    <x v="4"/>
    <x v="0"/>
    <x v="2"/>
    <x v="1"/>
    <s v="Pending"/>
    <n v="4"/>
    <n v="30"/>
    <n v="28310736.882000003"/>
    <x v="0"/>
    <x v="1"/>
    <x v="0"/>
    <x v="0"/>
  </r>
  <r>
    <x v="11"/>
    <s v="Tunde Obi"/>
    <s v="Male"/>
    <x v="11"/>
    <x v="2"/>
    <x v="11"/>
    <n v="28386"/>
    <n v="7437132"/>
    <s v="Borno"/>
    <x v="0"/>
    <s v="Abuja"/>
    <x v="0"/>
    <x v="2"/>
    <s v="Agent D"/>
    <x v="1"/>
    <n v="2042213"/>
    <n v="3"/>
    <n v="1.9"/>
    <n v="1.9E-2"/>
    <s v="2024-08-17"/>
    <x v="8"/>
    <x v="0"/>
    <x v="0"/>
    <x v="2"/>
    <s v="Cancelled"/>
    <n v="5"/>
    <n v="1"/>
    <n v="7295826.4919999996"/>
    <x v="1"/>
    <x v="0"/>
    <x v="1"/>
    <x v="2"/>
  </r>
  <r>
    <x v="12"/>
    <s v="Ngozi Okafor"/>
    <s v="Female"/>
    <x v="12"/>
    <x v="2"/>
    <x v="12"/>
    <n v="33826"/>
    <n v="20836816"/>
    <s v="Oyo"/>
    <x v="5"/>
    <s v="Kano"/>
    <x v="1"/>
    <x v="1"/>
    <s v="Agent E"/>
    <x v="1"/>
    <n v="9572332"/>
    <n v="6"/>
    <n v="9.02"/>
    <n v="9.0200000000000002E-2"/>
    <s v="2024-03-25"/>
    <x v="6"/>
    <x v="0"/>
    <x v="2"/>
    <x v="2"/>
    <s v="Completed"/>
    <n v="3"/>
    <n v="14"/>
    <n v="18957335.196799997"/>
    <x v="0"/>
    <x v="1"/>
    <x v="0"/>
    <x v="1"/>
  </r>
  <r>
    <x v="13"/>
    <s v="Grace Effiong"/>
    <s v="Male"/>
    <x v="13"/>
    <x v="1"/>
    <x v="11"/>
    <n v="22552"/>
    <n v="5908624"/>
    <s v="Ondo"/>
    <x v="5"/>
    <s v="Uyo"/>
    <x v="0"/>
    <x v="0"/>
    <s v="Agent A"/>
    <x v="0"/>
    <n v="5908624"/>
    <n v="0"/>
    <n v="0.5"/>
    <n v="5.0000000000000001E-3"/>
    <s v="2024-09-01"/>
    <x v="5"/>
    <x v="0"/>
    <x v="0"/>
    <x v="0"/>
    <s v="Completed"/>
    <n v="4"/>
    <n v="8"/>
    <n v="5879080.8799999999"/>
    <x v="1"/>
    <x v="0"/>
    <x v="1"/>
    <x v="2"/>
  </r>
  <r>
    <x v="14"/>
    <s v="Samuel Effiong"/>
    <s v="Female"/>
    <x v="12"/>
    <x v="0"/>
    <x v="13"/>
    <n v="4604"/>
    <n v="3720032"/>
    <s v="Kaduna"/>
    <x v="4"/>
    <s v="Calabar"/>
    <x v="2"/>
    <x v="4"/>
    <s v="Agent B"/>
    <x v="0"/>
    <n v="3720032"/>
    <n v="0"/>
    <n v="4.1900000000000004"/>
    <n v="4.1900000000000007E-2"/>
    <s v="2024-10-25"/>
    <x v="4"/>
    <x v="0"/>
    <x v="1"/>
    <x v="1"/>
    <s v="Completed"/>
    <n v="3"/>
    <n v="30"/>
    <n v="3564162.6591999996"/>
    <x v="1"/>
    <x v="0"/>
    <x v="1"/>
    <x v="0"/>
  </r>
  <r>
    <x v="15"/>
    <s v="Grace Abdullahi"/>
    <s v="Male"/>
    <x v="14"/>
    <x v="0"/>
    <x v="14"/>
    <n v="42708"/>
    <n v="28571652"/>
    <s v="Rivers"/>
    <x v="3"/>
    <s v="Lagos"/>
    <x v="0"/>
    <x v="4"/>
    <s v="Agent C"/>
    <x v="0"/>
    <n v="28571652"/>
    <n v="0"/>
    <n v="0.73"/>
    <n v="7.3000000000000001E-3"/>
    <s v="2024-04-19"/>
    <x v="9"/>
    <x v="0"/>
    <x v="3"/>
    <x v="1"/>
    <s v="Cancelled"/>
    <n v="3"/>
    <n v="40"/>
    <n v="28363078.940400001"/>
    <x v="0"/>
    <x v="0"/>
    <x v="0"/>
    <x v="1"/>
  </r>
  <r>
    <x v="16"/>
    <s v="Amina Effiong"/>
    <s v="Male"/>
    <x v="11"/>
    <x v="2"/>
    <x v="15"/>
    <n v="38346"/>
    <n v="33859518"/>
    <s v="Gombe"/>
    <x v="0"/>
    <s v="Lagos"/>
    <x v="2"/>
    <x v="0"/>
    <s v="Agent C"/>
    <x v="1"/>
    <n v="16309419"/>
    <n v="3"/>
    <n v="1.34"/>
    <n v="1.34E-2"/>
    <s v="2024-02-29"/>
    <x v="0"/>
    <x v="0"/>
    <x v="3"/>
    <x v="0"/>
    <s v="Cancelled"/>
    <n v="3"/>
    <n v="33"/>
    <n v="33405800.458800003"/>
    <x v="2"/>
    <x v="0"/>
    <x v="2"/>
    <x v="0"/>
  </r>
  <r>
    <x v="17"/>
    <s v="Musa Adeyemi"/>
    <s v="Female"/>
    <x v="8"/>
    <x v="1"/>
    <x v="16"/>
    <n v="43568"/>
    <n v="12808992"/>
    <s v="Kogi"/>
    <x v="2"/>
    <s v="Lagos"/>
    <x v="1"/>
    <x v="3"/>
    <s v="Agent A"/>
    <x v="1"/>
    <n v="2731210"/>
    <n v="12"/>
    <n v="3.34"/>
    <n v="3.3399999999999999E-2"/>
    <s v="2024-03-07"/>
    <x v="6"/>
    <x v="0"/>
    <x v="0"/>
    <x v="2"/>
    <s v="Cancelled"/>
    <n v="2"/>
    <n v="35"/>
    <n v="12381171.667200001"/>
    <x v="0"/>
    <x v="0"/>
    <x v="0"/>
    <x v="2"/>
  </r>
  <r>
    <x v="18"/>
    <s v="David Eze"/>
    <s v="Male"/>
    <x v="15"/>
    <x v="0"/>
    <x v="17"/>
    <n v="11705"/>
    <n v="8954325"/>
    <s v="Ogun"/>
    <x v="5"/>
    <s v="Calabar"/>
    <x v="1"/>
    <x v="3"/>
    <s v="Agent D"/>
    <x v="1"/>
    <n v="1903230"/>
    <n v="6"/>
    <n v="3.65"/>
    <n v="3.6499999999999998E-2"/>
    <s v="2024-01-21"/>
    <x v="7"/>
    <x v="0"/>
    <x v="3"/>
    <x v="2"/>
    <s v="Completed"/>
    <n v="2"/>
    <n v="27"/>
    <n v="8627492.1375000011"/>
    <x v="1"/>
    <x v="0"/>
    <x v="1"/>
    <x v="0"/>
  </r>
  <r>
    <x v="19"/>
    <s v="Amina Obi"/>
    <s v="Male"/>
    <x v="10"/>
    <x v="0"/>
    <x v="18"/>
    <n v="45903"/>
    <n v="28505763"/>
    <s v="Oyo"/>
    <x v="5"/>
    <s v="Enugu"/>
    <x v="0"/>
    <x v="1"/>
    <s v="Agent C"/>
    <x v="0"/>
    <n v="28505763"/>
    <n v="0"/>
    <n v="2.67"/>
    <n v="2.6699999999999998E-2"/>
    <s v="2024-12-25"/>
    <x v="3"/>
    <x v="0"/>
    <x v="1"/>
    <x v="2"/>
    <s v="Completed"/>
    <n v="1"/>
    <n v="43"/>
    <n v="27744659.127900001"/>
    <x v="0"/>
    <x v="0"/>
    <x v="0"/>
    <x v="1"/>
  </r>
  <r>
    <x v="20"/>
    <s v="David Okafor"/>
    <s v="Male"/>
    <x v="12"/>
    <x v="0"/>
    <x v="19"/>
    <n v="6549"/>
    <n v="3176265"/>
    <s v="Abia"/>
    <x v="1"/>
    <s v="Enugu"/>
    <x v="2"/>
    <x v="4"/>
    <s v="Agent A"/>
    <x v="1"/>
    <n v="1246508"/>
    <n v="12"/>
    <n v="4"/>
    <n v="0.04"/>
    <s v="2024-10-01"/>
    <x v="4"/>
    <x v="0"/>
    <x v="0"/>
    <x v="0"/>
    <s v="Pending"/>
    <n v="3"/>
    <n v="47"/>
    <n v="3049214.4"/>
    <x v="1"/>
    <x v="0"/>
    <x v="1"/>
    <x v="1"/>
  </r>
  <r>
    <x v="21"/>
    <s v="Grace Effiong"/>
    <s v="Male"/>
    <x v="16"/>
    <x v="2"/>
    <x v="20"/>
    <n v="9578"/>
    <n v="6924894"/>
    <s v="Akwa Ibom"/>
    <x v="3"/>
    <s v="Calabar"/>
    <x v="0"/>
    <x v="4"/>
    <s v="Agent E"/>
    <x v="1"/>
    <n v="1914157"/>
    <n v="6"/>
    <n v="7.09"/>
    <n v="7.0900000000000005E-2"/>
    <s v="2024-01-01"/>
    <x v="7"/>
    <x v="0"/>
    <x v="1"/>
    <x v="0"/>
    <s v="Completed"/>
    <n v="3"/>
    <n v="33"/>
    <n v="6433919.0153999999"/>
    <x v="1"/>
    <x v="1"/>
    <x v="1"/>
    <x v="1"/>
  </r>
  <r>
    <x v="22"/>
    <s v="Tunde Ojo"/>
    <s v="Female"/>
    <x v="4"/>
    <x v="1"/>
    <x v="21"/>
    <n v="28371"/>
    <n v="15150114"/>
    <s v="Cross River"/>
    <x v="3"/>
    <s v="Kaduna"/>
    <x v="0"/>
    <x v="4"/>
    <s v="Agent C"/>
    <x v="1"/>
    <n v="3901943"/>
    <n v="6"/>
    <n v="6.65"/>
    <n v="6.6500000000000004E-2"/>
    <s v="2024-07-13"/>
    <x v="10"/>
    <x v="0"/>
    <x v="3"/>
    <x v="1"/>
    <s v="Cancelled"/>
    <n v="5"/>
    <n v="42"/>
    <n v="14142631.419"/>
    <x v="0"/>
    <x v="1"/>
    <x v="0"/>
    <x v="1"/>
  </r>
  <r>
    <x v="23"/>
    <s v="Amina Abdullahi"/>
    <s v="Female"/>
    <x v="17"/>
    <x v="0"/>
    <x v="22"/>
    <n v="46277"/>
    <n v="30172604"/>
    <s v="Akwa Ibom"/>
    <x v="3"/>
    <s v="Warri"/>
    <x v="2"/>
    <x v="4"/>
    <s v="Agent B"/>
    <x v="0"/>
    <n v="30172604"/>
    <n v="0"/>
    <n v="5.1100000000000003"/>
    <n v="5.1100000000000007E-2"/>
    <s v="2024-03-27"/>
    <x v="6"/>
    <x v="0"/>
    <x v="3"/>
    <x v="2"/>
    <s v="Completed"/>
    <n v="1"/>
    <n v="16"/>
    <n v="28630783.935599998"/>
    <x v="0"/>
    <x v="1"/>
    <x v="0"/>
    <x v="1"/>
  </r>
  <r>
    <x v="24"/>
    <s v="Ibrahim Obi"/>
    <s v="Male"/>
    <x v="18"/>
    <x v="1"/>
    <x v="23"/>
    <n v="29160"/>
    <n v="19420560"/>
    <s v="Plateau"/>
    <x v="2"/>
    <s v="Abuja"/>
    <x v="2"/>
    <x v="2"/>
    <s v="Agent A"/>
    <x v="0"/>
    <n v="19420560"/>
    <n v="0"/>
    <n v="7.18"/>
    <n v="7.1800000000000003E-2"/>
    <s v="2024-07-15"/>
    <x v="10"/>
    <x v="0"/>
    <x v="2"/>
    <x v="2"/>
    <s v="Completed"/>
    <n v="5"/>
    <n v="30"/>
    <n v="18026163.791999999"/>
    <x v="0"/>
    <x v="1"/>
    <x v="0"/>
    <x v="1"/>
  </r>
  <r>
    <x v="25"/>
    <s v="Grace Effiong"/>
    <s v="Female"/>
    <x v="19"/>
    <x v="1"/>
    <x v="24"/>
    <n v="31914"/>
    <n v="10340136"/>
    <s v="Ondo"/>
    <x v="5"/>
    <s v="Port Harcourt"/>
    <x v="2"/>
    <x v="3"/>
    <s v="Agent D"/>
    <x v="0"/>
    <n v="10340136"/>
    <n v="0"/>
    <n v="8.01"/>
    <n v="8.0100000000000005E-2"/>
    <s v="2024-12-07"/>
    <x v="3"/>
    <x v="0"/>
    <x v="2"/>
    <x v="2"/>
    <s v="Cancelled"/>
    <n v="4"/>
    <n v="29"/>
    <n v="9511891.1063999999"/>
    <x v="1"/>
    <x v="1"/>
    <x v="1"/>
    <x v="2"/>
  </r>
  <r>
    <x v="26"/>
    <s v="Blessing Abdullahi"/>
    <s v="Female"/>
    <x v="20"/>
    <x v="1"/>
    <x v="25"/>
    <n v="36163"/>
    <n v="35584392"/>
    <s v="Delta"/>
    <x v="3"/>
    <s v="Ibadan"/>
    <x v="0"/>
    <x v="0"/>
    <s v="Agent B"/>
    <x v="1"/>
    <n v="10048293"/>
    <n v="6"/>
    <n v="0.77"/>
    <n v="7.7000000000000002E-3"/>
    <s v="2024-05-26"/>
    <x v="11"/>
    <x v="0"/>
    <x v="3"/>
    <x v="1"/>
    <s v="Cancelled"/>
    <n v="2"/>
    <n v="46"/>
    <n v="35310392.181599997"/>
    <x v="2"/>
    <x v="0"/>
    <x v="2"/>
    <x v="0"/>
  </r>
  <r>
    <x v="27"/>
    <s v="Samuel Okafor"/>
    <s v="Female"/>
    <x v="10"/>
    <x v="0"/>
    <x v="26"/>
    <n v="23684"/>
    <n v="14613028"/>
    <s v="Anambra"/>
    <x v="1"/>
    <s v="Kaduna"/>
    <x v="1"/>
    <x v="4"/>
    <s v="Agent D"/>
    <x v="1"/>
    <n v="3195573"/>
    <n v="24"/>
    <n v="8.33"/>
    <n v="8.3299999999999999E-2"/>
    <s v="2024-07-18"/>
    <x v="10"/>
    <x v="0"/>
    <x v="2"/>
    <x v="0"/>
    <s v="Cancelled"/>
    <n v="5"/>
    <n v="39"/>
    <n v="13395762.7676"/>
    <x v="0"/>
    <x v="1"/>
    <x v="0"/>
    <x v="1"/>
  </r>
  <r>
    <x v="28"/>
    <s v="Tunde Sani"/>
    <s v="Male"/>
    <x v="21"/>
    <x v="1"/>
    <x v="27"/>
    <n v="30562"/>
    <n v="14639198"/>
    <s v="Abia"/>
    <x v="1"/>
    <s v="Port Harcourt"/>
    <x v="0"/>
    <x v="1"/>
    <s v="Agent E"/>
    <x v="1"/>
    <n v="4635607"/>
    <n v="3"/>
    <n v="6.69"/>
    <n v="6.6900000000000001E-2"/>
    <s v="2024-07-26"/>
    <x v="10"/>
    <x v="0"/>
    <x v="0"/>
    <x v="2"/>
    <s v="Cancelled"/>
    <n v="4"/>
    <n v="9"/>
    <n v="13659835.653800001"/>
    <x v="0"/>
    <x v="1"/>
    <x v="0"/>
    <x v="1"/>
  </r>
  <r>
    <x v="29"/>
    <s v="Musa Obi"/>
    <s v="Female"/>
    <x v="17"/>
    <x v="2"/>
    <x v="28"/>
    <n v="26844"/>
    <n v="12509304"/>
    <s v="Kwara"/>
    <x v="2"/>
    <s v="Lagos"/>
    <x v="0"/>
    <x v="3"/>
    <s v="Agent A"/>
    <x v="1"/>
    <n v="4208252"/>
    <n v="6"/>
    <n v="3.38"/>
    <n v="3.3799999999999997E-2"/>
    <s v="2024-07-13"/>
    <x v="10"/>
    <x v="0"/>
    <x v="1"/>
    <x v="2"/>
    <s v="Cancelled"/>
    <n v="1"/>
    <n v="50"/>
    <n v="12086489.524799999"/>
    <x v="0"/>
    <x v="0"/>
    <x v="0"/>
    <x v="1"/>
  </r>
  <r>
    <x v="30"/>
    <s v="Tunde Sani"/>
    <s v="Male"/>
    <x v="22"/>
    <x v="0"/>
    <x v="29"/>
    <n v="15065"/>
    <n v="6824445"/>
    <s v="Borno"/>
    <x v="0"/>
    <s v="Lagos"/>
    <x v="1"/>
    <x v="4"/>
    <s v="Agent C"/>
    <x v="0"/>
    <n v="6824445"/>
    <n v="0"/>
    <n v="6.21"/>
    <n v="6.2100000000000002E-2"/>
    <s v="2024-05-02"/>
    <x v="11"/>
    <x v="0"/>
    <x v="3"/>
    <x v="0"/>
    <s v="Cancelled"/>
    <n v="1"/>
    <n v="50"/>
    <n v="6400646.9654999999"/>
    <x v="1"/>
    <x v="1"/>
    <x v="1"/>
    <x v="2"/>
  </r>
  <r>
    <x v="31"/>
    <s v="Samuel Eze"/>
    <s v="Male"/>
    <x v="23"/>
    <x v="2"/>
    <x v="30"/>
    <n v="3682"/>
    <n v="2916144"/>
    <s v="Enugu"/>
    <x v="1"/>
    <s v="Abuja"/>
    <x v="2"/>
    <x v="3"/>
    <s v="Agent A"/>
    <x v="1"/>
    <n v="930239"/>
    <n v="24"/>
    <n v="7.15"/>
    <n v="7.1500000000000008E-2"/>
    <s v="2024-02-08"/>
    <x v="0"/>
    <x v="0"/>
    <x v="0"/>
    <x v="1"/>
    <s v="Cancelled"/>
    <n v="4"/>
    <n v="43"/>
    <n v="2707639.7039999999"/>
    <x v="1"/>
    <x v="1"/>
    <x v="1"/>
    <x v="0"/>
  </r>
  <r>
    <x v="32"/>
    <s v="Amina Obi"/>
    <s v="Female"/>
    <x v="24"/>
    <x v="2"/>
    <x v="31"/>
    <n v="24362"/>
    <n v="21024406"/>
    <s v="Rivers"/>
    <x v="3"/>
    <s v="Uyo"/>
    <x v="2"/>
    <x v="0"/>
    <s v="Agent D"/>
    <x v="0"/>
    <n v="21024406"/>
    <n v="0"/>
    <n v="8.5"/>
    <n v="8.5000000000000006E-2"/>
    <s v="2024-09-07"/>
    <x v="5"/>
    <x v="0"/>
    <x v="3"/>
    <x v="0"/>
    <s v="Cancelled"/>
    <n v="3"/>
    <n v="40"/>
    <n v="19237331.490000002"/>
    <x v="0"/>
    <x v="1"/>
    <x v="0"/>
    <x v="0"/>
  </r>
  <r>
    <x v="33"/>
    <s v="Musa Sani"/>
    <s v="Male"/>
    <x v="25"/>
    <x v="1"/>
    <x v="32"/>
    <n v="30545"/>
    <n v="20648420"/>
    <s v="Jigawa"/>
    <x v="4"/>
    <s v="Warri"/>
    <x v="2"/>
    <x v="1"/>
    <s v="Agent C"/>
    <x v="1"/>
    <n v="9405643"/>
    <n v="12"/>
    <n v="8.31"/>
    <n v="8.3100000000000007E-2"/>
    <s v="2024-02-14"/>
    <x v="0"/>
    <x v="0"/>
    <x v="0"/>
    <x v="1"/>
    <s v="Pending"/>
    <n v="2"/>
    <n v="32"/>
    <n v="18932536.298"/>
    <x v="0"/>
    <x v="1"/>
    <x v="0"/>
    <x v="1"/>
  </r>
  <r>
    <x v="34"/>
    <s v="Ngozi Sani"/>
    <s v="Male"/>
    <x v="23"/>
    <x v="2"/>
    <x v="33"/>
    <n v="20327"/>
    <n v="11139196"/>
    <s v="Enugu"/>
    <x v="1"/>
    <s v="Ibadan"/>
    <x v="2"/>
    <x v="1"/>
    <s v="Agent D"/>
    <x v="1"/>
    <n v="3954283"/>
    <n v="3"/>
    <n v="1.91"/>
    <n v="1.9099999999999999E-2"/>
    <s v="2024-05-03"/>
    <x v="11"/>
    <x v="0"/>
    <x v="0"/>
    <x v="2"/>
    <s v="Pending"/>
    <n v="2"/>
    <n v="26"/>
    <n v="10926437.3564"/>
    <x v="0"/>
    <x v="0"/>
    <x v="0"/>
    <x v="1"/>
  </r>
  <r>
    <x v="35"/>
    <s v="David Ogunleye"/>
    <s v="Female"/>
    <x v="11"/>
    <x v="2"/>
    <x v="34"/>
    <n v="40112"/>
    <n v="35258448"/>
    <s v="Yobe"/>
    <x v="0"/>
    <s v="Ibadan"/>
    <x v="1"/>
    <x v="0"/>
    <s v="Agent A"/>
    <x v="1"/>
    <n v="12906069"/>
    <n v="24"/>
    <n v="3.44"/>
    <n v="3.44E-2"/>
    <s v="2024-10-08"/>
    <x v="4"/>
    <x v="0"/>
    <x v="3"/>
    <x v="1"/>
    <s v="Completed"/>
    <n v="5"/>
    <n v="49"/>
    <n v="34045557.388800003"/>
    <x v="2"/>
    <x v="0"/>
    <x v="2"/>
    <x v="0"/>
  </r>
  <r>
    <x v="36"/>
    <s v="Blessing Ogunleye"/>
    <s v="Male"/>
    <x v="26"/>
    <x v="0"/>
    <x v="35"/>
    <n v="33732"/>
    <n v="14201172"/>
    <s v="Yobe"/>
    <x v="0"/>
    <s v="Port Harcourt"/>
    <x v="2"/>
    <x v="3"/>
    <s v="Agent B"/>
    <x v="1"/>
    <n v="7017554"/>
    <n v="12"/>
    <n v="8.33"/>
    <n v="8.3299999999999999E-2"/>
    <s v="2024-05-31"/>
    <x v="11"/>
    <x v="0"/>
    <x v="1"/>
    <x v="2"/>
    <s v="Completed"/>
    <n v="5"/>
    <n v="19"/>
    <n v="13018214.372399999"/>
    <x v="0"/>
    <x v="1"/>
    <x v="0"/>
    <x v="2"/>
  </r>
  <r>
    <x v="37"/>
    <s v="Musa Sani"/>
    <s v="Male"/>
    <x v="27"/>
    <x v="2"/>
    <x v="36"/>
    <n v="2803"/>
    <n v="854915"/>
    <s v="Yobe"/>
    <x v="0"/>
    <s v="Warri"/>
    <x v="1"/>
    <x v="2"/>
    <s v="Agent E"/>
    <x v="1"/>
    <n v="293761"/>
    <n v="24"/>
    <n v="3.41"/>
    <n v="3.4099999999999998E-2"/>
    <s v="2024-01-27"/>
    <x v="7"/>
    <x v="0"/>
    <x v="0"/>
    <x v="2"/>
    <s v="Completed"/>
    <n v="5"/>
    <n v="20"/>
    <n v="825762.39850000001"/>
    <x v="1"/>
    <x v="0"/>
    <x v="1"/>
    <x v="2"/>
  </r>
  <r>
    <x v="38"/>
    <s v="Ibrahim Sani"/>
    <s v="Female"/>
    <x v="9"/>
    <x v="2"/>
    <x v="37"/>
    <n v="29274"/>
    <n v="22570254"/>
    <s v="Oyo"/>
    <x v="5"/>
    <s v="Abuja"/>
    <x v="1"/>
    <x v="3"/>
    <s v="Agent E"/>
    <x v="0"/>
    <n v="22570254"/>
    <n v="0"/>
    <n v="7.76"/>
    <n v="7.7600000000000002E-2"/>
    <s v="2024-07-13"/>
    <x v="10"/>
    <x v="0"/>
    <x v="0"/>
    <x v="0"/>
    <s v="Cancelled"/>
    <n v="1"/>
    <n v="49"/>
    <n v="20818802.2896"/>
    <x v="0"/>
    <x v="1"/>
    <x v="0"/>
    <x v="0"/>
  </r>
  <r>
    <x v="39"/>
    <s v="Amina Adeyemi"/>
    <s v="Male"/>
    <x v="28"/>
    <x v="2"/>
    <x v="38"/>
    <n v="7320"/>
    <n v="6412320"/>
    <s v="Imo"/>
    <x v="1"/>
    <s v="Ibadan"/>
    <x v="2"/>
    <x v="3"/>
    <s v="Agent D"/>
    <x v="0"/>
    <n v="6412320"/>
    <n v="0"/>
    <n v="2.4"/>
    <n v="2.4E-2"/>
    <s v="2024-10-09"/>
    <x v="4"/>
    <x v="0"/>
    <x v="1"/>
    <x v="2"/>
    <s v="Completed"/>
    <n v="3"/>
    <n v="46"/>
    <n v="6258424.3200000003"/>
    <x v="1"/>
    <x v="0"/>
    <x v="1"/>
    <x v="0"/>
  </r>
  <r>
    <x v="40"/>
    <s v="Samuel Eze"/>
    <s v="Female"/>
    <x v="5"/>
    <x v="1"/>
    <x v="39"/>
    <n v="47048"/>
    <n v="12797056"/>
    <s v="Cross River"/>
    <x v="3"/>
    <s v="Warri"/>
    <x v="0"/>
    <x v="0"/>
    <s v="Agent C"/>
    <x v="0"/>
    <n v="12797056"/>
    <n v="0"/>
    <n v="9.24"/>
    <n v="9.2399999999999996E-2"/>
    <s v="2024-11-16"/>
    <x v="2"/>
    <x v="0"/>
    <x v="3"/>
    <x v="2"/>
    <s v="Completed"/>
    <n v="2"/>
    <n v="20"/>
    <n v="11614608.025599999"/>
    <x v="0"/>
    <x v="1"/>
    <x v="0"/>
    <x v="2"/>
  </r>
  <r>
    <x v="41"/>
    <s v="Ngozi Abdullahi"/>
    <s v="Female"/>
    <x v="19"/>
    <x v="0"/>
    <x v="40"/>
    <n v="30780"/>
    <n v="15236100"/>
    <s v="Zamfara"/>
    <x v="4"/>
    <s v="Calabar"/>
    <x v="2"/>
    <x v="2"/>
    <s v="Agent D"/>
    <x v="0"/>
    <n v="15236100"/>
    <n v="0"/>
    <n v="4.6900000000000004"/>
    <n v="4.6900000000000004E-2"/>
    <s v="2024-06-04"/>
    <x v="1"/>
    <x v="0"/>
    <x v="1"/>
    <x v="0"/>
    <s v="Pending"/>
    <n v="1"/>
    <n v="6"/>
    <n v="14521526.909999998"/>
    <x v="0"/>
    <x v="0"/>
    <x v="0"/>
    <x v="1"/>
  </r>
  <r>
    <x v="42"/>
    <s v="Ibrahim Abdullahi"/>
    <s v="Male"/>
    <x v="9"/>
    <x v="2"/>
    <x v="41"/>
    <n v="46058"/>
    <n v="10178818"/>
    <s v="Ebonyi"/>
    <x v="1"/>
    <s v="Calabar"/>
    <x v="2"/>
    <x v="1"/>
    <s v="Agent A"/>
    <x v="1"/>
    <n v="4366028"/>
    <n v="3"/>
    <n v="1.75"/>
    <n v="1.7500000000000002E-2"/>
    <s v="2024-09-22"/>
    <x v="5"/>
    <x v="0"/>
    <x v="2"/>
    <x v="1"/>
    <s v="Pending"/>
    <n v="3"/>
    <n v="21"/>
    <n v="10000688.685000001"/>
    <x v="0"/>
    <x v="0"/>
    <x v="0"/>
    <x v="2"/>
  </r>
  <r>
    <x v="43"/>
    <s v="Chinedu Sani"/>
    <s v="Male"/>
    <x v="20"/>
    <x v="2"/>
    <x v="42"/>
    <n v="28977"/>
    <n v="15560649"/>
    <s v="Borno"/>
    <x v="0"/>
    <s v="Kano"/>
    <x v="1"/>
    <x v="2"/>
    <s v="Agent D"/>
    <x v="1"/>
    <n v="6205199"/>
    <n v="12"/>
    <n v="4"/>
    <n v="0.04"/>
    <s v="2024-10-08"/>
    <x v="4"/>
    <x v="0"/>
    <x v="0"/>
    <x v="0"/>
    <s v="Cancelled"/>
    <n v="4"/>
    <n v="27"/>
    <n v="14938223.039999999"/>
    <x v="0"/>
    <x v="0"/>
    <x v="0"/>
    <x v="1"/>
  </r>
  <r>
    <x v="44"/>
    <s v="Tunde Abdullahi"/>
    <s v="Female"/>
    <x v="23"/>
    <x v="2"/>
    <x v="43"/>
    <n v="42804"/>
    <n v="24398280"/>
    <s v="Oyo"/>
    <x v="5"/>
    <s v="Uyo"/>
    <x v="0"/>
    <x v="2"/>
    <s v="Agent E"/>
    <x v="1"/>
    <n v="10442395"/>
    <n v="24"/>
    <n v="2.04"/>
    <n v="2.0400000000000001E-2"/>
    <s v="2024-10-08"/>
    <x v="4"/>
    <x v="0"/>
    <x v="3"/>
    <x v="0"/>
    <s v="Completed"/>
    <n v="3"/>
    <n v="36"/>
    <n v="23900555.088"/>
    <x v="0"/>
    <x v="0"/>
    <x v="0"/>
    <x v="1"/>
  </r>
  <r>
    <x v="45"/>
    <s v="Tunde Sani"/>
    <s v="Female"/>
    <x v="29"/>
    <x v="1"/>
    <x v="44"/>
    <n v="16725"/>
    <n v="4933875"/>
    <s v="Ondo"/>
    <x v="5"/>
    <s v="Kaduna"/>
    <x v="1"/>
    <x v="1"/>
    <s v="Agent D"/>
    <x v="0"/>
    <n v="4933875"/>
    <n v="0"/>
    <n v="4.6100000000000003"/>
    <n v="4.6100000000000002E-2"/>
    <s v="2024-03-01"/>
    <x v="6"/>
    <x v="0"/>
    <x v="2"/>
    <x v="2"/>
    <s v="Pending"/>
    <n v="5"/>
    <n v="10"/>
    <n v="4706423.3624999998"/>
    <x v="1"/>
    <x v="0"/>
    <x v="1"/>
    <x v="2"/>
  </r>
  <r>
    <x v="46"/>
    <s v="David Effiong"/>
    <s v="Female"/>
    <x v="30"/>
    <x v="2"/>
    <x v="45"/>
    <n v="10946"/>
    <n v="7881120"/>
    <s v="Kwara"/>
    <x v="2"/>
    <s v="Calabar"/>
    <x v="2"/>
    <x v="4"/>
    <s v="Agent E"/>
    <x v="0"/>
    <n v="7881120"/>
    <n v="0"/>
    <n v="2.76"/>
    <n v="2.76E-2"/>
    <s v="2024-07-31"/>
    <x v="10"/>
    <x v="0"/>
    <x v="2"/>
    <x v="2"/>
    <s v="Pending"/>
    <n v="5"/>
    <n v="31"/>
    <n v="7663601.0880000005"/>
    <x v="1"/>
    <x v="0"/>
    <x v="1"/>
    <x v="1"/>
  </r>
  <r>
    <x v="47"/>
    <s v="Blessing Ojo"/>
    <s v="Female"/>
    <x v="31"/>
    <x v="2"/>
    <x v="46"/>
    <n v="37614"/>
    <n v="36899334"/>
    <s v="Bayelsa"/>
    <x v="3"/>
    <s v="Uyo"/>
    <x v="0"/>
    <x v="4"/>
    <s v="Agent D"/>
    <x v="1"/>
    <n v="17706355"/>
    <n v="24"/>
    <n v="8.6999999999999993"/>
    <n v="8.6999999999999994E-2"/>
    <s v="2024-12-23"/>
    <x v="3"/>
    <x v="0"/>
    <x v="2"/>
    <x v="1"/>
    <s v="Cancelled"/>
    <n v="2"/>
    <n v="32"/>
    <n v="33689091.942000002"/>
    <x v="2"/>
    <x v="1"/>
    <x v="2"/>
    <x v="0"/>
  </r>
  <r>
    <x v="48"/>
    <s v="Amina Effiong"/>
    <s v="Female"/>
    <x v="30"/>
    <x v="1"/>
    <x v="47"/>
    <n v="23757"/>
    <n v="19100628"/>
    <s v="Oyo"/>
    <x v="5"/>
    <s v="Uyo"/>
    <x v="0"/>
    <x v="1"/>
    <s v="Agent B"/>
    <x v="0"/>
    <n v="19100628"/>
    <n v="0"/>
    <n v="8.74"/>
    <n v="8.7400000000000005E-2"/>
    <s v="2024-08-13"/>
    <x v="8"/>
    <x v="0"/>
    <x v="0"/>
    <x v="1"/>
    <s v="Pending"/>
    <n v="3"/>
    <n v="40"/>
    <n v="17431233.112799998"/>
    <x v="0"/>
    <x v="1"/>
    <x v="0"/>
    <x v="0"/>
  </r>
  <r>
    <x v="49"/>
    <s v="Grace Okafor"/>
    <s v="Male"/>
    <x v="32"/>
    <x v="1"/>
    <x v="48"/>
    <n v="46194"/>
    <n v="24759984"/>
    <s v="Bauchi"/>
    <x v="0"/>
    <s v="Abuja"/>
    <x v="2"/>
    <x v="4"/>
    <s v="Agent B"/>
    <x v="1"/>
    <n v="9607858"/>
    <n v="12"/>
    <n v="8.8699999999999992"/>
    <n v="8.8699999999999987E-2"/>
    <s v="2024-09-06"/>
    <x v="5"/>
    <x v="0"/>
    <x v="0"/>
    <x v="1"/>
    <s v="Completed"/>
    <n v="1"/>
    <n v="29"/>
    <n v="22563773.419199999"/>
    <x v="0"/>
    <x v="1"/>
    <x v="0"/>
    <x v="1"/>
  </r>
  <r>
    <x v="50"/>
    <s v="Ngozi Adeyemi"/>
    <s v="Male"/>
    <x v="33"/>
    <x v="2"/>
    <x v="49"/>
    <n v="23258"/>
    <n v="5744726"/>
    <s v="Enugu"/>
    <x v="1"/>
    <s v="Lagos"/>
    <x v="2"/>
    <x v="0"/>
    <s v="Agent B"/>
    <x v="0"/>
    <n v="5744726"/>
    <n v="0"/>
    <n v="2.93"/>
    <n v="2.9300000000000003E-2"/>
    <s v="2024-07-10"/>
    <x v="10"/>
    <x v="0"/>
    <x v="3"/>
    <x v="2"/>
    <s v="Cancelled"/>
    <n v="4"/>
    <n v="40"/>
    <n v="5576405.5281999996"/>
    <x v="1"/>
    <x v="0"/>
    <x v="1"/>
    <x v="2"/>
  </r>
  <r>
    <x v="51"/>
    <s v="Ibrahim Abdullahi"/>
    <s v="Male"/>
    <x v="25"/>
    <x v="2"/>
    <x v="50"/>
    <n v="11379"/>
    <n v="9069063"/>
    <s v="Yobe"/>
    <x v="0"/>
    <s v="Warri"/>
    <x v="2"/>
    <x v="3"/>
    <s v="Agent B"/>
    <x v="0"/>
    <n v="9069063"/>
    <n v="0"/>
    <n v="4.6100000000000003"/>
    <n v="4.6100000000000002E-2"/>
    <s v="2024-05-10"/>
    <x v="11"/>
    <x v="0"/>
    <x v="0"/>
    <x v="1"/>
    <s v="Pending"/>
    <n v="5"/>
    <n v="20"/>
    <n v="8650979.1956999991"/>
    <x v="1"/>
    <x v="0"/>
    <x v="1"/>
    <x v="0"/>
  </r>
  <r>
    <x v="52"/>
    <s v="Amina Eze"/>
    <s v="Female"/>
    <x v="22"/>
    <x v="2"/>
    <x v="51"/>
    <n v="21799"/>
    <n v="14539933"/>
    <s v="Bauchi"/>
    <x v="0"/>
    <s v="Ibadan"/>
    <x v="2"/>
    <x v="4"/>
    <s v="Agent C"/>
    <x v="0"/>
    <n v="14539933"/>
    <n v="0"/>
    <n v="9.99"/>
    <n v="9.9900000000000003E-2"/>
    <s v="2024-09-04"/>
    <x v="5"/>
    <x v="0"/>
    <x v="0"/>
    <x v="0"/>
    <s v="Pending"/>
    <n v="3"/>
    <n v="1"/>
    <n v="13087393.693299999"/>
    <x v="0"/>
    <x v="1"/>
    <x v="0"/>
    <x v="1"/>
  </r>
  <r>
    <x v="53"/>
    <s v="Blessing Ojo"/>
    <s v="Female"/>
    <x v="34"/>
    <x v="1"/>
    <x v="52"/>
    <n v="34553"/>
    <n v="28333460"/>
    <s v="Jigawa"/>
    <x v="4"/>
    <s v="Lagos"/>
    <x v="2"/>
    <x v="0"/>
    <s v="Agent A"/>
    <x v="1"/>
    <n v="10826768"/>
    <n v="6"/>
    <n v="3.52"/>
    <n v="3.5200000000000002E-2"/>
    <s v="2024-11-21"/>
    <x v="2"/>
    <x v="0"/>
    <x v="0"/>
    <x v="1"/>
    <s v="Pending"/>
    <n v="1"/>
    <n v="38"/>
    <n v="27336122.208000001"/>
    <x v="0"/>
    <x v="0"/>
    <x v="0"/>
    <x v="0"/>
  </r>
  <r>
    <x v="54"/>
    <s v="David Effiong"/>
    <s v="Female"/>
    <x v="35"/>
    <x v="2"/>
    <x v="53"/>
    <n v="21340"/>
    <n v="6231280"/>
    <s v="Cross River"/>
    <x v="3"/>
    <s v="Kano"/>
    <x v="1"/>
    <x v="4"/>
    <s v="Agent C"/>
    <x v="1"/>
    <n v="1574595"/>
    <n v="24"/>
    <n v="1.32"/>
    <n v="1.32E-2"/>
    <s v="2024-10-03"/>
    <x v="4"/>
    <x v="0"/>
    <x v="0"/>
    <x v="1"/>
    <s v="Completed"/>
    <n v="2"/>
    <n v="49"/>
    <n v="6149027.1040000003"/>
    <x v="1"/>
    <x v="0"/>
    <x v="1"/>
    <x v="2"/>
  </r>
  <r>
    <x v="55"/>
    <s v="Musa Ojo"/>
    <s v="Female"/>
    <x v="24"/>
    <x v="2"/>
    <x v="54"/>
    <n v="7918"/>
    <n v="4544932"/>
    <s v="Abia"/>
    <x v="1"/>
    <s v="Uyo"/>
    <x v="0"/>
    <x v="0"/>
    <s v="Agent D"/>
    <x v="1"/>
    <n v="1269570"/>
    <n v="3"/>
    <n v="1.24"/>
    <n v="1.24E-2"/>
    <s v="2024-07-07"/>
    <x v="10"/>
    <x v="0"/>
    <x v="0"/>
    <x v="0"/>
    <s v="Cancelled"/>
    <n v="3"/>
    <n v="40"/>
    <n v="4488574.8432"/>
    <x v="1"/>
    <x v="0"/>
    <x v="1"/>
    <x v="1"/>
  </r>
  <r>
    <x v="56"/>
    <s v="Ibrahim Bello"/>
    <s v="Male"/>
    <x v="32"/>
    <x v="1"/>
    <x v="55"/>
    <n v="21804"/>
    <n v="19994268"/>
    <s v="Anambra"/>
    <x v="1"/>
    <s v="Warri"/>
    <x v="0"/>
    <x v="1"/>
    <s v="Agent D"/>
    <x v="1"/>
    <n v="4837275"/>
    <n v="3"/>
    <n v="9.4600000000000009"/>
    <n v="9.4600000000000004E-2"/>
    <s v="2024-06-04"/>
    <x v="1"/>
    <x v="0"/>
    <x v="1"/>
    <x v="0"/>
    <s v="Cancelled"/>
    <n v="5"/>
    <n v="27"/>
    <n v="18102810.247200001"/>
    <x v="0"/>
    <x v="1"/>
    <x v="0"/>
    <x v="0"/>
  </r>
  <r>
    <x v="57"/>
    <s v="Ngozi Abdullahi"/>
    <s v="Male"/>
    <x v="23"/>
    <x v="2"/>
    <x v="56"/>
    <n v="44920"/>
    <n v="28030080"/>
    <s v="Zamfara"/>
    <x v="4"/>
    <s v="Kano"/>
    <x v="0"/>
    <x v="1"/>
    <s v="Agent D"/>
    <x v="0"/>
    <n v="28030080"/>
    <n v="0"/>
    <n v="8.34"/>
    <n v="8.3400000000000002E-2"/>
    <s v="2024-11-11"/>
    <x v="2"/>
    <x v="0"/>
    <x v="3"/>
    <x v="1"/>
    <s v="Completed"/>
    <n v="3"/>
    <n v="35"/>
    <n v="25692371.327999998"/>
    <x v="0"/>
    <x v="1"/>
    <x v="0"/>
    <x v="1"/>
  </r>
  <r>
    <x v="58"/>
    <s v="Amina Eze"/>
    <s v="Male"/>
    <x v="13"/>
    <x v="2"/>
    <x v="57"/>
    <n v="20080"/>
    <n v="12188560"/>
    <s v="Adamawa"/>
    <x v="0"/>
    <s v="Lagos"/>
    <x v="0"/>
    <x v="0"/>
    <s v="Agent E"/>
    <x v="0"/>
    <n v="12188560"/>
    <n v="0"/>
    <n v="9.68"/>
    <n v="9.6799999999999997E-2"/>
    <s v="2024-08-20"/>
    <x v="8"/>
    <x v="0"/>
    <x v="3"/>
    <x v="2"/>
    <s v="Cancelled"/>
    <n v="2"/>
    <n v="38"/>
    <n v="11008707.392000001"/>
    <x v="0"/>
    <x v="1"/>
    <x v="0"/>
    <x v="1"/>
  </r>
  <r>
    <x v="59"/>
    <s v="Tunde Effiong"/>
    <s v="Female"/>
    <x v="36"/>
    <x v="0"/>
    <x v="58"/>
    <n v="11670"/>
    <n v="11576640"/>
    <s v="Imo"/>
    <x v="1"/>
    <s v="Enugu"/>
    <x v="2"/>
    <x v="2"/>
    <s v="Agent B"/>
    <x v="0"/>
    <n v="11576640"/>
    <n v="0"/>
    <n v="2.77"/>
    <n v="2.7699999999999999E-2"/>
    <s v="2024-03-15"/>
    <x v="6"/>
    <x v="0"/>
    <x v="0"/>
    <x v="1"/>
    <s v="Completed"/>
    <n v="5"/>
    <n v="21"/>
    <n v="11255967.072000001"/>
    <x v="0"/>
    <x v="0"/>
    <x v="0"/>
    <x v="0"/>
  </r>
  <r>
    <x v="60"/>
    <s v="Grace Ojo"/>
    <s v="Male"/>
    <x v="19"/>
    <x v="1"/>
    <x v="59"/>
    <n v="10307"/>
    <n v="2607671"/>
    <s v="Oyo"/>
    <x v="5"/>
    <s v="Ibadan"/>
    <x v="0"/>
    <x v="3"/>
    <s v="Agent A"/>
    <x v="1"/>
    <n v="1104869"/>
    <n v="3"/>
    <n v="4.76"/>
    <n v="4.7599999999999996E-2"/>
    <s v="2024-07-04"/>
    <x v="10"/>
    <x v="0"/>
    <x v="1"/>
    <x v="1"/>
    <s v="Cancelled"/>
    <n v="1"/>
    <n v="4"/>
    <n v="2483545.8604000001"/>
    <x v="1"/>
    <x v="0"/>
    <x v="1"/>
    <x v="2"/>
  </r>
  <r>
    <x v="61"/>
    <s v="Amina Bello"/>
    <s v="Female"/>
    <x v="7"/>
    <x v="0"/>
    <x v="60"/>
    <n v="46964"/>
    <n v="29869104"/>
    <s v="Niger"/>
    <x v="2"/>
    <s v="Kaduna"/>
    <x v="0"/>
    <x v="0"/>
    <s v="Agent C"/>
    <x v="0"/>
    <n v="29869104"/>
    <n v="0"/>
    <n v="4.9000000000000004"/>
    <n v="4.9000000000000002E-2"/>
    <s v="2024-08-15"/>
    <x v="8"/>
    <x v="0"/>
    <x v="1"/>
    <x v="1"/>
    <s v="Cancelled"/>
    <n v="5"/>
    <n v="19"/>
    <n v="28405517.903999999"/>
    <x v="0"/>
    <x v="0"/>
    <x v="0"/>
    <x v="1"/>
  </r>
  <r>
    <x v="62"/>
    <s v="Grace Eze"/>
    <s v="Female"/>
    <x v="19"/>
    <x v="0"/>
    <x v="61"/>
    <n v="8499"/>
    <n v="5439360"/>
    <s v="Plateau"/>
    <x v="2"/>
    <s v="Calabar"/>
    <x v="1"/>
    <x v="4"/>
    <s v="Agent D"/>
    <x v="0"/>
    <n v="5439360"/>
    <n v="0"/>
    <n v="8.5299999999999994"/>
    <n v="8.5299999999999987E-2"/>
    <s v="2024-11-29"/>
    <x v="2"/>
    <x v="0"/>
    <x v="2"/>
    <x v="1"/>
    <s v="Cancelled"/>
    <n v="1"/>
    <n v="21"/>
    <n v="4975382.5920000002"/>
    <x v="1"/>
    <x v="1"/>
    <x v="1"/>
    <x v="1"/>
  </r>
  <r>
    <x v="63"/>
    <s v="Amina Ogunleye"/>
    <s v="Male"/>
    <x v="8"/>
    <x v="0"/>
    <x v="62"/>
    <n v="12003"/>
    <n v="6997749"/>
    <s v="Kogi"/>
    <x v="2"/>
    <s v="Ibadan"/>
    <x v="2"/>
    <x v="3"/>
    <s v="Agent E"/>
    <x v="1"/>
    <n v="1591060"/>
    <n v="3"/>
    <n v="0.85"/>
    <n v="8.5000000000000006E-3"/>
    <s v="2024-08-09"/>
    <x v="8"/>
    <x v="0"/>
    <x v="1"/>
    <x v="0"/>
    <s v="Completed"/>
    <n v="4"/>
    <n v="23"/>
    <n v="6938268.1335000005"/>
    <x v="1"/>
    <x v="0"/>
    <x v="1"/>
    <x v="1"/>
  </r>
  <r>
    <x v="64"/>
    <s v="Ibrahim Eze"/>
    <s v="Male"/>
    <x v="14"/>
    <x v="1"/>
    <x v="63"/>
    <n v="41348"/>
    <n v="20425912"/>
    <s v="Bauchi"/>
    <x v="0"/>
    <s v="Lagos"/>
    <x v="1"/>
    <x v="2"/>
    <s v="Agent C"/>
    <x v="1"/>
    <n v="4720023"/>
    <n v="12"/>
    <n v="5.07"/>
    <n v="5.0700000000000002E-2"/>
    <s v="2024-03-20"/>
    <x v="6"/>
    <x v="0"/>
    <x v="3"/>
    <x v="1"/>
    <s v="Cancelled"/>
    <n v="5"/>
    <n v="40"/>
    <n v="19390318.261599999"/>
    <x v="0"/>
    <x v="1"/>
    <x v="0"/>
    <x v="1"/>
  </r>
  <r>
    <x v="65"/>
    <s v="David Ogunleye"/>
    <s v="Male"/>
    <x v="36"/>
    <x v="0"/>
    <x v="64"/>
    <n v="41911"/>
    <n v="9471886"/>
    <s v="Taraba"/>
    <x v="0"/>
    <s v="Uyo"/>
    <x v="2"/>
    <x v="1"/>
    <s v="Agent A"/>
    <x v="1"/>
    <n v="2407041"/>
    <n v="3"/>
    <n v="7.03"/>
    <n v="7.0300000000000001E-2"/>
    <s v="2024-06-07"/>
    <x v="1"/>
    <x v="0"/>
    <x v="3"/>
    <x v="0"/>
    <s v="Cancelled"/>
    <n v="1"/>
    <n v="6"/>
    <n v="8806012.4142000005"/>
    <x v="1"/>
    <x v="1"/>
    <x v="1"/>
    <x v="2"/>
  </r>
  <r>
    <x v="66"/>
    <s v="Samuel Ojo"/>
    <s v="Male"/>
    <x v="13"/>
    <x v="0"/>
    <x v="65"/>
    <n v="29514"/>
    <n v="17265690"/>
    <s v="Gombe"/>
    <x v="0"/>
    <s v="Port Harcourt"/>
    <x v="0"/>
    <x v="3"/>
    <s v="Agent A"/>
    <x v="1"/>
    <n v="4268472"/>
    <n v="12"/>
    <n v="3.12"/>
    <n v="3.1200000000000002E-2"/>
    <s v="2024-06-15"/>
    <x v="1"/>
    <x v="0"/>
    <x v="0"/>
    <x v="1"/>
    <s v="Pending"/>
    <n v="4"/>
    <n v="32"/>
    <n v="16727000.471999999"/>
    <x v="0"/>
    <x v="0"/>
    <x v="0"/>
    <x v="1"/>
  </r>
  <r>
    <x v="67"/>
    <s v="Musa Ojo"/>
    <s v="Female"/>
    <x v="33"/>
    <x v="1"/>
    <x v="27"/>
    <n v="16127"/>
    <n v="7724833"/>
    <s v="Sokoto"/>
    <x v="4"/>
    <s v="Kaduna"/>
    <x v="1"/>
    <x v="2"/>
    <s v="Agent B"/>
    <x v="0"/>
    <n v="7724833"/>
    <n v="0"/>
    <n v="3.45"/>
    <n v="3.4500000000000003E-2"/>
    <s v="2024-02-26"/>
    <x v="0"/>
    <x v="0"/>
    <x v="2"/>
    <x v="0"/>
    <s v="Completed"/>
    <n v="1"/>
    <n v="14"/>
    <n v="7458326.2615"/>
    <x v="1"/>
    <x v="0"/>
    <x v="1"/>
    <x v="1"/>
  </r>
  <r>
    <x v="68"/>
    <s v="Tunde Adeyemi"/>
    <s v="Female"/>
    <x v="3"/>
    <x v="1"/>
    <x v="66"/>
    <n v="18745"/>
    <n v="18407590"/>
    <s v="Delta"/>
    <x v="3"/>
    <s v="Kano"/>
    <x v="0"/>
    <x v="3"/>
    <s v="Agent E"/>
    <x v="1"/>
    <n v="4344105"/>
    <n v="12"/>
    <n v="4.97"/>
    <n v="4.9699999999999994E-2"/>
    <s v="2024-08-08"/>
    <x v="8"/>
    <x v="0"/>
    <x v="1"/>
    <x v="2"/>
    <s v="Pending"/>
    <n v="1"/>
    <n v="28"/>
    <n v="17492732.776999999"/>
    <x v="0"/>
    <x v="0"/>
    <x v="0"/>
    <x v="0"/>
  </r>
  <r>
    <x v="69"/>
    <s v="Ngozi Okafor"/>
    <s v="Female"/>
    <x v="35"/>
    <x v="1"/>
    <x v="67"/>
    <n v="39732"/>
    <n v="20660640"/>
    <s v="Osun"/>
    <x v="5"/>
    <s v="Abuja"/>
    <x v="1"/>
    <x v="4"/>
    <s v="Agent A"/>
    <x v="1"/>
    <n v="8529739"/>
    <n v="24"/>
    <n v="4.18"/>
    <n v="4.1799999999999997E-2"/>
    <s v="2024-02-28"/>
    <x v="0"/>
    <x v="0"/>
    <x v="2"/>
    <x v="2"/>
    <s v="Completed"/>
    <n v="4"/>
    <n v="38"/>
    <n v="19797025.248"/>
    <x v="0"/>
    <x v="0"/>
    <x v="0"/>
    <x v="1"/>
  </r>
  <r>
    <x v="70"/>
    <s v="Amina Effiong"/>
    <s v="Male"/>
    <x v="14"/>
    <x v="2"/>
    <x v="68"/>
    <n v="22334"/>
    <n v="13512070"/>
    <s v="Plateau"/>
    <x v="2"/>
    <s v="Abuja"/>
    <x v="2"/>
    <x v="0"/>
    <s v="Agent B"/>
    <x v="1"/>
    <n v="4052548"/>
    <n v="6"/>
    <n v="1.68"/>
    <n v="1.6799999999999999E-2"/>
    <s v="2024-09-18"/>
    <x v="5"/>
    <x v="0"/>
    <x v="0"/>
    <x v="2"/>
    <s v="Pending"/>
    <n v="2"/>
    <n v="12"/>
    <n v="13285067.223999999"/>
    <x v="0"/>
    <x v="0"/>
    <x v="0"/>
    <x v="1"/>
  </r>
  <r>
    <x v="71"/>
    <s v="Samuel Ojo"/>
    <s v="Female"/>
    <x v="24"/>
    <x v="2"/>
    <x v="69"/>
    <n v="43153"/>
    <n v="16441293"/>
    <s v="Kaduna"/>
    <x v="4"/>
    <s v="Abuja"/>
    <x v="0"/>
    <x v="1"/>
    <s v="Agent A"/>
    <x v="1"/>
    <n v="7009478"/>
    <n v="24"/>
    <n v="7.6"/>
    <n v="7.5999999999999998E-2"/>
    <s v="2024-08-17"/>
    <x v="8"/>
    <x v="0"/>
    <x v="2"/>
    <x v="1"/>
    <s v="Cancelled"/>
    <n v="3"/>
    <n v="18"/>
    <n v="15191754.732000001"/>
    <x v="0"/>
    <x v="1"/>
    <x v="0"/>
    <x v="2"/>
  </r>
  <r>
    <x v="72"/>
    <s v="Amina Bello"/>
    <s v="Female"/>
    <x v="25"/>
    <x v="1"/>
    <x v="70"/>
    <n v="6862"/>
    <n v="4933778"/>
    <s v="Kano"/>
    <x v="4"/>
    <s v="Enugu"/>
    <x v="2"/>
    <x v="2"/>
    <s v="Agent D"/>
    <x v="1"/>
    <n v="1655648"/>
    <n v="24"/>
    <n v="0.56999999999999995"/>
    <n v="5.6999999999999993E-3"/>
    <s v="2024-05-26"/>
    <x v="11"/>
    <x v="0"/>
    <x v="3"/>
    <x v="1"/>
    <s v="Cancelled"/>
    <n v="4"/>
    <n v="33"/>
    <n v="4905655.4654000001"/>
    <x v="1"/>
    <x v="0"/>
    <x v="1"/>
    <x v="1"/>
  </r>
  <r>
    <x v="73"/>
    <s v="Chinedu Eze"/>
    <s v="Female"/>
    <x v="19"/>
    <x v="1"/>
    <x v="36"/>
    <n v="24507"/>
    <n v="7474635"/>
    <s v="Anambra"/>
    <x v="1"/>
    <s v="Warri"/>
    <x v="2"/>
    <x v="3"/>
    <s v="Agent B"/>
    <x v="0"/>
    <n v="7474635"/>
    <n v="0"/>
    <n v="5.05"/>
    <n v="5.0499999999999996E-2"/>
    <s v="2024-03-29"/>
    <x v="6"/>
    <x v="0"/>
    <x v="1"/>
    <x v="1"/>
    <s v="Pending"/>
    <n v="4"/>
    <n v="27"/>
    <n v="7097165.9325000001"/>
    <x v="1"/>
    <x v="1"/>
    <x v="1"/>
    <x v="2"/>
  </r>
  <r>
    <x v="74"/>
    <s v="Musa Abdullahi"/>
    <s v="Male"/>
    <x v="1"/>
    <x v="0"/>
    <x v="59"/>
    <n v="43345"/>
    <n v="10966285"/>
    <s v="Cross River"/>
    <x v="3"/>
    <s v="Calabar"/>
    <x v="2"/>
    <x v="0"/>
    <s v="Agent C"/>
    <x v="1"/>
    <n v="3277902"/>
    <n v="3"/>
    <n v="5.58"/>
    <n v="5.5800000000000002E-2"/>
    <s v="2024-07-16"/>
    <x v="10"/>
    <x v="0"/>
    <x v="1"/>
    <x v="0"/>
    <s v="Cancelled"/>
    <n v="4"/>
    <n v="9"/>
    <n v="10354366.297"/>
    <x v="0"/>
    <x v="1"/>
    <x v="0"/>
    <x v="2"/>
  </r>
  <r>
    <x v="75"/>
    <s v="Grace Bello"/>
    <s v="Female"/>
    <x v="29"/>
    <x v="2"/>
    <x v="71"/>
    <n v="38629"/>
    <n v="19971193"/>
    <s v="Zamfara"/>
    <x v="4"/>
    <s v="Abuja"/>
    <x v="0"/>
    <x v="4"/>
    <s v="Agent C"/>
    <x v="1"/>
    <n v="8866320"/>
    <n v="12"/>
    <n v="6.7"/>
    <n v="6.7000000000000004E-2"/>
    <s v="2024-12-16"/>
    <x v="3"/>
    <x v="0"/>
    <x v="3"/>
    <x v="2"/>
    <s v="Pending"/>
    <n v="4"/>
    <n v="13"/>
    <n v="18633123.069000002"/>
    <x v="0"/>
    <x v="1"/>
    <x v="0"/>
    <x v="1"/>
  </r>
  <r>
    <x v="76"/>
    <s v="Grace Okafor"/>
    <s v="Female"/>
    <x v="21"/>
    <x v="0"/>
    <x v="72"/>
    <n v="21385"/>
    <n v="5966415"/>
    <s v="Imo"/>
    <x v="1"/>
    <s v="Kano"/>
    <x v="2"/>
    <x v="1"/>
    <s v="Agent B"/>
    <x v="0"/>
    <n v="5966415"/>
    <n v="0"/>
    <n v="5.08"/>
    <n v="5.0799999999999998E-2"/>
    <s v="2024-10-03"/>
    <x v="4"/>
    <x v="0"/>
    <x v="3"/>
    <x v="2"/>
    <s v="Cancelled"/>
    <n v="5"/>
    <n v="11"/>
    <n v="5663321.1180000007"/>
    <x v="1"/>
    <x v="1"/>
    <x v="1"/>
    <x v="2"/>
  </r>
  <r>
    <x v="77"/>
    <s v="Musa Sani"/>
    <s v="Male"/>
    <x v="3"/>
    <x v="0"/>
    <x v="73"/>
    <n v="25874"/>
    <n v="16041880"/>
    <s v="Bauchi"/>
    <x v="0"/>
    <s v="Lagos"/>
    <x v="1"/>
    <x v="1"/>
    <s v="Agent B"/>
    <x v="0"/>
    <n v="16041880"/>
    <n v="0"/>
    <n v="9.6999999999999993"/>
    <n v="9.6999999999999989E-2"/>
    <s v="2024-11-08"/>
    <x v="2"/>
    <x v="0"/>
    <x v="1"/>
    <x v="0"/>
    <s v="Cancelled"/>
    <n v="4"/>
    <n v="30"/>
    <n v="14485817.640000001"/>
    <x v="0"/>
    <x v="1"/>
    <x v="0"/>
    <x v="1"/>
  </r>
  <r>
    <x v="78"/>
    <s v="Tunde Abdullahi"/>
    <s v="Male"/>
    <x v="37"/>
    <x v="2"/>
    <x v="74"/>
    <n v="29437"/>
    <n v="21783380"/>
    <s v="Akwa Ibom"/>
    <x v="3"/>
    <s v="Uyo"/>
    <x v="1"/>
    <x v="3"/>
    <s v="Agent A"/>
    <x v="0"/>
    <n v="21783380"/>
    <n v="0"/>
    <n v="8.17"/>
    <n v="8.1699999999999995E-2"/>
    <s v="2024-11-05"/>
    <x v="2"/>
    <x v="0"/>
    <x v="0"/>
    <x v="1"/>
    <s v="Completed"/>
    <n v="2"/>
    <n v="18"/>
    <n v="20003677.853999998"/>
    <x v="0"/>
    <x v="1"/>
    <x v="0"/>
    <x v="0"/>
  </r>
  <r>
    <x v="79"/>
    <s v="Chinedu Obi"/>
    <s v="Male"/>
    <x v="4"/>
    <x v="1"/>
    <x v="75"/>
    <n v="8010"/>
    <n v="5182470"/>
    <s v="Plateau"/>
    <x v="2"/>
    <s v="Kano"/>
    <x v="1"/>
    <x v="0"/>
    <s v="Agent D"/>
    <x v="0"/>
    <n v="5182470"/>
    <n v="0"/>
    <n v="8.17"/>
    <n v="8.1699999999999995E-2"/>
    <s v="2024-06-27"/>
    <x v="1"/>
    <x v="0"/>
    <x v="0"/>
    <x v="1"/>
    <s v="Completed"/>
    <n v="1"/>
    <n v="21"/>
    <n v="4759062.2010000004"/>
    <x v="1"/>
    <x v="1"/>
    <x v="1"/>
    <x v="1"/>
  </r>
  <r>
    <x v="80"/>
    <s v="Tunde Sani"/>
    <s v="Female"/>
    <x v="21"/>
    <x v="0"/>
    <x v="76"/>
    <n v="11017"/>
    <n v="3844933"/>
    <s v="Ekiti"/>
    <x v="5"/>
    <s v="Enugu"/>
    <x v="0"/>
    <x v="2"/>
    <s v="Agent C"/>
    <x v="0"/>
    <n v="3844933"/>
    <n v="0"/>
    <n v="2.87"/>
    <n v="2.87E-2"/>
    <s v="2024-08-29"/>
    <x v="8"/>
    <x v="0"/>
    <x v="3"/>
    <x v="2"/>
    <s v="Cancelled"/>
    <n v="5"/>
    <n v="34"/>
    <n v="3734583.4229000001"/>
    <x v="1"/>
    <x v="0"/>
    <x v="1"/>
    <x v="2"/>
  </r>
  <r>
    <x v="81"/>
    <s v="Samuel Sani"/>
    <s v="Male"/>
    <x v="5"/>
    <x v="2"/>
    <x v="77"/>
    <n v="21736"/>
    <n v="9629048"/>
    <s v="FCT"/>
    <x v="2"/>
    <s v="Ibadan"/>
    <x v="2"/>
    <x v="3"/>
    <s v="Agent A"/>
    <x v="0"/>
    <n v="9629048"/>
    <n v="0"/>
    <n v="0.48"/>
    <n v="4.7999999999999996E-3"/>
    <s v="2024-08-02"/>
    <x v="8"/>
    <x v="0"/>
    <x v="3"/>
    <x v="0"/>
    <s v="Completed"/>
    <n v="3"/>
    <n v="28"/>
    <n v="9582828.5695999991"/>
    <x v="1"/>
    <x v="0"/>
    <x v="1"/>
    <x v="2"/>
  </r>
  <r>
    <x v="82"/>
    <s v="Amina Effiong"/>
    <s v="Male"/>
    <x v="38"/>
    <x v="2"/>
    <x v="78"/>
    <n v="39399"/>
    <n v="17571954"/>
    <s v="Ondo"/>
    <x v="5"/>
    <s v="Enugu"/>
    <x v="0"/>
    <x v="1"/>
    <s v="Agent C"/>
    <x v="1"/>
    <n v="7016681"/>
    <n v="6"/>
    <n v="0.86"/>
    <n v="8.6E-3"/>
    <s v="2024-07-03"/>
    <x v="10"/>
    <x v="0"/>
    <x v="1"/>
    <x v="0"/>
    <s v="Completed"/>
    <n v="3"/>
    <n v="5"/>
    <n v="17420835.195599999"/>
    <x v="0"/>
    <x v="0"/>
    <x v="0"/>
    <x v="2"/>
  </r>
  <r>
    <x v="83"/>
    <s v="Tunde Sani"/>
    <s v="Female"/>
    <x v="24"/>
    <x v="0"/>
    <x v="79"/>
    <n v="40135"/>
    <n v="39733650"/>
    <s v="Delta"/>
    <x v="3"/>
    <s v="Abuja"/>
    <x v="0"/>
    <x v="2"/>
    <s v="Agent D"/>
    <x v="1"/>
    <n v="8475216"/>
    <n v="6"/>
    <n v="5.46"/>
    <n v="5.4600000000000003E-2"/>
    <s v="2024-11-25"/>
    <x v="2"/>
    <x v="0"/>
    <x v="0"/>
    <x v="1"/>
    <s v="Completed"/>
    <n v="1"/>
    <n v="13"/>
    <n v="37564192.710000001"/>
    <x v="2"/>
    <x v="1"/>
    <x v="2"/>
    <x v="0"/>
  </r>
  <r>
    <x v="84"/>
    <s v="David Okafor"/>
    <s v="Female"/>
    <x v="11"/>
    <x v="0"/>
    <x v="80"/>
    <n v="28098"/>
    <n v="20427246"/>
    <s v="Ogun"/>
    <x v="5"/>
    <s v="Ibadan"/>
    <x v="1"/>
    <x v="1"/>
    <s v="Agent D"/>
    <x v="1"/>
    <n v="4309868"/>
    <n v="12"/>
    <n v="6.47"/>
    <n v="6.4699999999999994E-2"/>
    <s v="2024-05-26"/>
    <x v="11"/>
    <x v="0"/>
    <x v="2"/>
    <x v="1"/>
    <s v="Pending"/>
    <n v="2"/>
    <n v="32"/>
    <n v="19105603.183800001"/>
    <x v="0"/>
    <x v="1"/>
    <x v="0"/>
    <x v="1"/>
  </r>
  <r>
    <x v="85"/>
    <s v="Ngozi Ojo"/>
    <s v="Male"/>
    <x v="3"/>
    <x v="2"/>
    <x v="81"/>
    <n v="19479"/>
    <n v="14239149"/>
    <s v="Bauchi"/>
    <x v="0"/>
    <s v="Enugu"/>
    <x v="1"/>
    <x v="2"/>
    <s v="Agent A"/>
    <x v="0"/>
    <n v="14239149"/>
    <n v="0"/>
    <n v="7.27"/>
    <n v="7.2700000000000001E-2"/>
    <s v="2024-02-10"/>
    <x v="0"/>
    <x v="0"/>
    <x v="1"/>
    <x v="0"/>
    <s v="Pending"/>
    <n v="3"/>
    <n v="29"/>
    <n v="13203962.867699999"/>
    <x v="0"/>
    <x v="1"/>
    <x v="0"/>
    <x v="0"/>
  </r>
  <r>
    <x v="86"/>
    <s v="Samuel Obi"/>
    <s v="Female"/>
    <x v="24"/>
    <x v="0"/>
    <x v="82"/>
    <n v="47204"/>
    <n v="17465480"/>
    <s v="Zamfara"/>
    <x v="4"/>
    <s v="Kaduna"/>
    <x v="0"/>
    <x v="1"/>
    <s v="Agent C"/>
    <x v="1"/>
    <n v="5835896"/>
    <n v="12"/>
    <n v="7.27"/>
    <n v="7.2700000000000001E-2"/>
    <s v="2024-06-29"/>
    <x v="1"/>
    <x v="0"/>
    <x v="3"/>
    <x v="2"/>
    <s v="Completed"/>
    <n v="5"/>
    <n v="44"/>
    <n v="16195739.604"/>
    <x v="0"/>
    <x v="1"/>
    <x v="0"/>
    <x v="2"/>
  </r>
  <r>
    <x v="87"/>
    <s v="Tunde Sani"/>
    <s v="Female"/>
    <x v="16"/>
    <x v="2"/>
    <x v="83"/>
    <n v="17466"/>
    <n v="4680888"/>
    <s v="FCT"/>
    <x v="2"/>
    <s v="Kano"/>
    <x v="0"/>
    <x v="3"/>
    <s v="Agent B"/>
    <x v="1"/>
    <n v="1473807"/>
    <n v="12"/>
    <n v="5.67"/>
    <n v="5.67E-2"/>
    <s v="2024-11-05"/>
    <x v="2"/>
    <x v="0"/>
    <x v="1"/>
    <x v="1"/>
    <s v="Pending"/>
    <n v="3"/>
    <n v="16"/>
    <n v="4415481.6503999997"/>
    <x v="1"/>
    <x v="1"/>
    <x v="1"/>
    <x v="2"/>
  </r>
  <r>
    <x v="88"/>
    <s v="Blessing Ojo"/>
    <s v="Female"/>
    <x v="23"/>
    <x v="2"/>
    <x v="84"/>
    <n v="35930"/>
    <n v="25546230"/>
    <s v="Lagos"/>
    <x v="5"/>
    <s v="Kano"/>
    <x v="0"/>
    <x v="2"/>
    <s v="Agent B"/>
    <x v="1"/>
    <n v="7115468"/>
    <n v="3"/>
    <n v="2.6"/>
    <n v="2.6000000000000002E-2"/>
    <s v="2024-08-16"/>
    <x v="8"/>
    <x v="0"/>
    <x v="0"/>
    <x v="1"/>
    <s v="Completed"/>
    <n v="4"/>
    <n v="6"/>
    <n v="24882028.02"/>
    <x v="0"/>
    <x v="0"/>
    <x v="0"/>
    <x v="1"/>
  </r>
  <r>
    <x v="89"/>
    <s v="Tunde Ogunleye"/>
    <s v="Male"/>
    <x v="5"/>
    <x v="0"/>
    <x v="85"/>
    <n v="6255"/>
    <n v="5792130"/>
    <s v="Adamawa"/>
    <x v="0"/>
    <s v="Enugu"/>
    <x v="0"/>
    <x v="0"/>
    <s v="Agent D"/>
    <x v="1"/>
    <n v="2637786"/>
    <n v="12"/>
    <n v="7.12"/>
    <n v="7.1199999999999999E-2"/>
    <s v="2024-12-24"/>
    <x v="3"/>
    <x v="0"/>
    <x v="0"/>
    <x v="1"/>
    <s v="Cancelled"/>
    <n v="5"/>
    <n v="24"/>
    <n v="5379730.3439999996"/>
    <x v="1"/>
    <x v="1"/>
    <x v="1"/>
    <x v="0"/>
  </r>
  <r>
    <x v="90"/>
    <s v="Ibrahim Effiong"/>
    <s v="Female"/>
    <x v="28"/>
    <x v="1"/>
    <x v="86"/>
    <n v="42104"/>
    <n v="13978528"/>
    <s v="Niger"/>
    <x v="2"/>
    <s v="Uyo"/>
    <x v="0"/>
    <x v="0"/>
    <s v="Agent C"/>
    <x v="0"/>
    <n v="13978528"/>
    <n v="0"/>
    <n v="0.66"/>
    <n v="6.6E-3"/>
    <s v="2024-07-22"/>
    <x v="10"/>
    <x v="0"/>
    <x v="0"/>
    <x v="1"/>
    <s v="Pending"/>
    <n v="5"/>
    <n v="23"/>
    <n v="13886269.7152"/>
    <x v="0"/>
    <x v="0"/>
    <x v="0"/>
    <x v="2"/>
  </r>
  <r>
    <x v="91"/>
    <s v="Tunde Adeyemi"/>
    <s v="Female"/>
    <x v="2"/>
    <x v="0"/>
    <x v="87"/>
    <n v="10456"/>
    <n v="4036016"/>
    <s v="Ebonyi"/>
    <x v="1"/>
    <s v="Calabar"/>
    <x v="1"/>
    <x v="3"/>
    <s v="Agent C"/>
    <x v="1"/>
    <n v="1813855"/>
    <n v="3"/>
    <n v="5.18"/>
    <n v="5.1799999999999999E-2"/>
    <s v="2024-06-04"/>
    <x v="1"/>
    <x v="0"/>
    <x v="0"/>
    <x v="1"/>
    <s v="Completed"/>
    <n v="5"/>
    <n v="18"/>
    <n v="3826950.3712000004"/>
    <x v="1"/>
    <x v="1"/>
    <x v="1"/>
    <x v="2"/>
  </r>
  <r>
    <x v="92"/>
    <s v="Tunde Adeyemi"/>
    <s v="Female"/>
    <x v="22"/>
    <x v="0"/>
    <x v="88"/>
    <n v="8122"/>
    <n v="6059012"/>
    <s v="Enugu"/>
    <x v="1"/>
    <s v="Calabar"/>
    <x v="0"/>
    <x v="2"/>
    <s v="Agent A"/>
    <x v="0"/>
    <n v="6059012"/>
    <n v="0"/>
    <n v="5.92"/>
    <n v="5.9200000000000003E-2"/>
    <s v="2024-10-24"/>
    <x v="4"/>
    <x v="0"/>
    <x v="1"/>
    <x v="0"/>
    <s v="Completed"/>
    <n v="5"/>
    <n v="27"/>
    <n v="5700318.4896"/>
    <x v="1"/>
    <x v="1"/>
    <x v="1"/>
    <x v="0"/>
  </r>
  <r>
    <x v="93"/>
    <s v="Ngozi Abdullahi"/>
    <s v="Female"/>
    <x v="27"/>
    <x v="1"/>
    <x v="89"/>
    <n v="43101"/>
    <n v="30558609"/>
    <s v="Zamfara"/>
    <x v="4"/>
    <s v="Lagos"/>
    <x v="0"/>
    <x v="0"/>
    <s v="Agent D"/>
    <x v="1"/>
    <n v="10539158"/>
    <n v="12"/>
    <n v="8.0500000000000007"/>
    <n v="8.0500000000000002E-2"/>
    <s v="2024-12-16"/>
    <x v="3"/>
    <x v="0"/>
    <x v="2"/>
    <x v="1"/>
    <s v="Pending"/>
    <n v="2"/>
    <n v="22"/>
    <n v="28098640.975499999"/>
    <x v="0"/>
    <x v="1"/>
    <x v="0"/>
    <x v="1"/>
  </r>
  <r>
    <x v="94"/>
    <s v="Amina Ogunleye"/>
    <s v="Male"/>
    <x v="25"/>
    <x v="0"/>
    <x v="90"/>
    <n v="22926"/>
    <n v="21435810"/>
    <s v="Kaduna"/>
    <x v="4"/>
    <s v="Enugu"/>
    <x v="1"/>
    <x v="1"/>
    <s v="Agent B"/>
    <x v="1"/>
    <n v="5128086"/>
    <n v="24"/>
    <n v="3.71"/>
    <n v="3.7100000000000001E-2"/>
    <s v="2024-10-14"/>
    <x v="4"/>
    <x v="0"/>
    <x v="3"/>
    <x v="2"/>
    <s v="Completed"/>
    <n v="3"/>
    <n v="25"/>
    <n v="20640541.449000001"/>
    <x v="0"/>
    <x v="0"/>
    <x v="0"/>
    <x v="0"/>
  </r>
  <r>
    <x v="95"/>
    <s v="Ibrahim Sani"/>
    <s v="Female"/>
    <x v="39"/>
    <x v="0"/>
    <x v="91"/>
    <n v="23458"/>
    <n v="8515254"/>
    <s v="Sokoto"/>
    <x v="4"/>
    <s v="Port Harcourt"/>
    <x v="0"/>
    <x v="1"/>
    <s v="Agent E"/>
    <x v="1"/>
    <n v="3652503"/>
    <n v="6"/>
    <n v="4.9800000000000004"/>
    <n v="4.9800000000000004E-2"/>
    <s v="2024-09-20"/>
    <x v="5"/>
    <x v="0"/>
    <x v="2"/>
    <x v="2"/>
    <s v="Completed"/>
    <n v="5"/>
    <n v="23"/>
    <n v="8091194.3508000001"/>
    <x v="1"/>
    <x v="0"/>
    <x v="1"/>
    <x v="2"/>
  </r>
  <r>
    <x v="96"/>
    <s v="Tunde Abdullahi"/>
    <s v="Female"/>
    <x v="4"/>
    <x v="2"/>
    <x v="92"/>
    <n v="41158"/>
    <n v="29057548"/>
    <s v="Lagos"/>
    <x v="5"/>
    <s v="Ibadan"/>
    <x v="0"/>
    <x v="1"/>
    <s v="Agent A"/>
    <x v="1"/>
    <n v="10489985"/>
    <n v="12"/>
    <n v="8.4700000000000006"/>
    <n v="8.4700000000000011E-2"/>
    <s v="2024-08-08"/>
    <x v="8"/>
    <x v="0"/>
    <x v="3"/>
    <x v="1"/>
    <s v="Cancelled"/>
    <n v="3"/>
    <n v="5"/>
    <n v="26596373.6844"/>
    <x v="0"/>
    <x v="1"/>
    <x v="0"/>
    <x v="1"/>
  </r>
  <r>
    <x v="97"/>
    <s v="David Effiong"/>
    <s v="Female"/>
    <x v="18"/>
    <x v="0"/>
    <x v="66"/>
    <n v="38035"/>
    <n v="37350370"/>
    <s v="Plateau"/>
    <x v="2"/>
    <s v="Warri"/>
    <x v="2"/>
    <x v="3"/>
    <s v="Agent D"/>
    <x v="1"/>
    <n v="8911762"/>
    <n v="3"/>
    <n v="0.97"/>
    <n v="9.7000000000000003E-3"/>
    <s v="2024-07-10"/>
    <x v="10"/>
    <x v="0"/>
    <x v="0"/>
    <x v="2"/>
    <s v="Completed"/>
    <n v="2"/>
    <n v="46"/>
    <n v="36988071.410999998"/>
    <x v="2"/>
    <x v="0"/>
    <x v="2"/>
    <x v="0"/>
  </r>
  <r>
    <x v="98"/>
    <s v="David Adeyemi"/>
    <s v="Female"/>
    <x v="21"/>
    <x v="1"/>
    <x v="51"/>
    <n v="11760"/>
    <n v="7843920"/>
    <s v="Akwa Ibom"/>
    <x v="3"/>
    <s v="Uyo"/>
    <x v="1"/>
    <x v="3"/>
    <s v="Agent C"/>
    <x v="0"/>
    <n v="7843920"/>
    <n v="0"/>
    <n v="3.28"/>
    <n v="3.2799999999999996E-2"/>
    <s v="2024-11-09"/>
    <x v="2"/>
    <x v="0"/>
    <x v="2"/>
    <x v="0"/>
    <s v="Cancelled"/>
    <n v="3"/>
    <n v="31"/>
    <n v="7586639.4240000006"/>
    <x v="1"/>
    <x v="0"/>
    <x v="1"/>
    <x v="1"/>
  </r>
  <r>
    <x v="99"/>
    <s v="Chinedu Ojo"/>
    <s v="Female"/>
    <x v="12"/>
    <x v="1"/>
    <x v="93"/>
    <n v="9183"/>
    <n v="8163687"/>
    <s v="Ogun"/>
    <x v="5"/>
    <s v="Enugu"/>
    <x v="2"/>
    <x v="3"/>
    <s v="Agent B"/>
    <x v="1"/>
    <n v="3584074"/>
    <n v="12"/>
    <n v="7.25"/>
    <n v="7.2499999999999995E-2"/>
    <s v="2024-12-18"/>
    <x v="3"/>
    <x v="0"/>
    <x v="0"/>
    <x v="0"/>
    <s v="Pending"/>
    <n v="2"/>
    <n v="34"/>
    <n v="7571819.6924999999"/>
    <x v="1"/>
    <x v="1"/>
    <x v="1"/>
    <x v="0"/>
  </r>
  <r>
    <x v="100"/>
    <s v="Chinedu Ojo"/>
    <s v="Male"/>
    <x v="40"/>
    <x v="0"/>
    <x v="94"/>
    <n v="26916"/>
    <n v="26727588"/>
    <s v="Taraba"/>
    <x v="0"/>
    <s v="Calabar"/>
    <x v="1"/>
    <x v="4"/>
    <s v="Agent D"/>
    <x v="0"/>
    <n v="26727588"/>
    <n v="0"/>
    <n v="8.2200000000000006"/>
    <n v="8.2200000000000009E-2"/>
    <s v="2024-05-04"/>
    <x v="11"/>
    <x v="0"/>
    <x v="3"/>
    <x v="1"/>
    <s v="Cancelled"/>
    <n v="2"/>
    <n v="27"/>
    <n v="24530580.266399998"/>
    <x v="0"/>
    <x v="1"/>
    <x v="0"/>
    <x v="0"/>
  </r>
  <r>
    <x v="101"/>
    <s v="Blessing Effiong"/>
    <s v="Female"/>
    <x v="15"/>
    <x v="2"/>
    <x v="95"/>
    <n v="49671"/>
    <n v="33875622"/>
    <s v="Jigawa"/>
    <x v="4"/>
    <s v="Calabar"/>
    <x v="2"/>
    <x v="1"/>
    <s v="Agent C"/>
    <x v="0"/>
    <n v="33875622"/>
    <n v="0"/>
    <n v="7.06"/>
    <n v="7.0599999999999996E-2"/>
    <s v="2024-09-22"/>
    <x v="5"/>
    <x v="0"/>
    <x v="3"/>
    <x v="1"/>
    <s v="Cancelled"/>
    <n v="3"/>
    <n v="35"/>
    <n v="31484003.086800002"/>
    <x v="2"/>
    <x v="1"/>
    <x v="2"/>
    <x v="1"/>
  </r>
  <r>
    <x v="102"/>
    <s v="Grace Abdullahi"/>
    <s v="Male"/>
    <x v="26"/>
    <x v="2"/>
    <x v="96"/>
    <n v="33731"/>
    <n v="27794344"/>
    <s v="Cross River"/>
    <x v="3"/>
    <s v="Ibadan"/>
    <x v="2"/>
    <x v="0"/>
    <s v="Agent D"/>
    <x v="0"/>
    <n v="27794344"/>
    <n v="0"/>
    <n v="9.57"/>
    <n v="9.5700000000000007E-2"/>
    <s v="2024-05-22"/>
    <x v="11"/>
    <x v="0"/>
    <x v="1"/>
    <x v="1"/>
    <s v="Pending"/>
    <n v="5"/>
    <n v="47"/>
    <n v="25134425.279199999"/>
    <x v="0"/>
    <x v="1"/>
    <x v="0"/>
    <x v="0"/>
  </r>
  <r>
    <x v="103"/>
    <s v="Musa Okafor"/>
    <s v="Female"/>
    <x v="2"/>
    <x v="0"/>
    <x v="97"/>
    <n v="46343"/>
    <n v="36471941"/>
    <s v="Bayelsa"/>
    <x v="3"/>
    <s v="Abuja"/>
    <x v="1"/>
    <x v="1"/>
    <s v="Agent C"/>
    <x v="1"/>
    <n v="16248733"/>
    <n v="24"/>
    <n v="9.5500000000000007"/>
    <n v="9.5500000000000002E-2"/>
    <s v="2024-03-15"/>
    <x v="6"/>
    <x v="0"/>
    <x v="2"/>
    <x v="2"/>
    <s v="Completed"/>
    <n v="5"/>
    <n v="18"/>
    <n v="32988870.634500001"/>
    <x v="2"/>
    <x v="1"/>
    <x v="2"/>
    <x v="0"/>
  </r>
  <r>
    <x v="104"/>
    <s v="Grace Eze"/>
    <s v="Male"/>
    <x v="13"/>
    <x v="0"/>
    <x v="98"/>
    <n v="9158"/>
    <n v="3113720"/>
    <s v="Zamfara"/>
    <x v="4"/>
    <s v="Ibadan"/>
    <x v="1"/>
    <x v="4"/>
    <s v="Agent D"/>
    <x v="0"/>
    <n v="3113720"/>
    <n v="0"/>
    <n v="2.42"/>
    <n v="2.4199999999999999E-2"/>
    <s v="2024-12-08"/>
    <x v="3"/>
    <x v="0"/>
    <x v="0"/>
    <x v="0"/>
    <s v="Completed"/>
    <n v="1"/>
    <n v="36"/>
    <n v="3038367.9759999998"/>
    <x v="1"/>
    <x v="0"/>
    <x v="1"/>
    <x v="2"/>
  </r>
  <r>
    <x v="105"/>
    <s v="David Abdullahi"/>
    <s v="Male"/>
    <x v="17"/>
    <x v="1"/>
    <x v="99"/>
    <n v="44633"/>
    <n v="30707504"/>
    <s v="Abia"/>
    <x v="1"/>
    <s v="Warri"/>
    <x v="2"/>
    <x v="0"/>
    <s v="Agent E"/>
    <x v="0"/>
    <n v="30707504"/>
    <n v="0"/>
    <n v="7.56"/>
    <n v="7.5600000000000001E-2"/>
    <s v="2024-05-27"/>
    <x v="11"/>
    <x v="0"/>
    <x v="0"/>
    <x v="2"/>
    <s v="Pending"/>
    <n v="2"/>
    <n v="3"/>
    <n v="28386016.6976"/>
    <x v="0"/>
    <x v="1"/>
    <x v="0"/>
    <x v="1"/>
  </r>
  <r>
    <x v="106"/>
    <s v="Samuel Bello"/>
    <s v="Female"/>
    <x v="6"/>
    <x v="2"/>
    <x v="100"/>
    <n v="20970"/>
    <n v="8178300"/>
    <s v="Niger"/>
    <x v="2"/>
    <s v="Warri"/>
    <x v="2"/>
    <x v="3"/>
    <s v="Agent E"/>
    <x v="0"/>
    <n v="8178300"/>
    <n v="0"/>
    <n v="0.09"/>
    <n v="8.9999999999999998E-4"/>
    <s v="2024-10-17"/>
    <x v="4"/>
    <x v="0"/>
    <x v="2"/>
    <x v="2"/>
    <s v="Cancelled"/>
    <n v="4"/>
    <n v="18"/>
    <n v="8170939.5300000003"/>
    <x v="1"/>
    <x v="0"/>
    <x v="1"/>
    <x v="2"/>
  </r>
  <r>
    <x v="107"/>
    <s v="Musa Ojo"/>
    <s v="Male"/>
    <x v="36"/>
    <x v="1"/>
    <x v="3"/>
    <n v="49914"/>
    <n v="18268524"/>
    <s v="Anambra"/>
    <x v="1"/>
    <s v="Enugu"/>
    <x v="2"/>
    <x v="1"/>
    <s v="Agent D"/>
    <x v="1"/>
    <n v="7592023"/>
    <n v="12"/>
    <n v="0.14000000000000001"/>
    <n v="1.4000000000000002E-3"/>
    <s v="2024-06-21"/>
    <x v="1"/>
    <x v="0"/>
    <x v="1"/>
    <x v="2"/>
    <s v="Pending"/>
    <n v="1"/>
    <n v="12"/>
    <n v="18242948.066399999"/>
    <x v="0"/>
    <x v="0"/>
    <x v="0"/>
    <x v="2"/>
  </r>
  <r>
    <x v="108"/>
    <s v="Musa Ojo"/>
    <s v="Male"/>
    <x v="12"/>
    <x v="1"/>
    <x v="101"/>
    <n v="2447"/>
    <n v="1110938"/>
    <s v="Abia"/>
    <x v="1"/>
    <s v="Enugu"/>
    <x v="1"/>
    <x v="0"/>
    <s v="Agent A"/>
    <x v="1"/>
    <n v="300682"/>
    <n v="24"/>
    <n v="7.54"/>
    <n v="7.5399999999999995E-2"/>
    <s v="2024-06-17"/>
    <x v="1"/>
    <x v="0"/>
    <x v="0"/>
    <x v="1"/>
    <s v="Pending"/>
    <n v="2"/>
    <n v="26"/>
    <n v="1027173.2748"/>
    <x v="1"/>
    <x v="1"/>
    <x v="1"/>
    <x v="2"/>
  </r>
  <r>
    <x v="109"/>
    <s v="Ibrahim Adeyemi"/>
    <s v="Female"/>
    <x v="7"/>
    <x v="2"/>
    <x v="102"/>
    <n v="9694"/>
    <n v="8782764"/>
    <s v="Gombe"/>
    <x v="0"/>
    <s v="Ibadan"/>
    <x v="1"/>
    <x v="3"/>
    <s v="Agent D"/>
    <x v="1"/>
    <n v="3375986"/>
    <n v="12"/>
    <n v="2.19"/>
    <n v="2.1899999999999999E-2"/>
    <s v="2024-03-09"/>
    <x v="6"/>
    <x v="0"/>
    <x v="3"/>
    <x v="2"/>
    <s v="Cancelled"/>
    <n v="5"/>
    <n v="6"/>
    <n v="8590421.4683999997"/>
    <x v="1"/>
    <x v="0"/>
    <x v="1"/>
    <x v="0"/>
  </r>
  <r>
    <x v="110"/>
    <s v="Chinedu Effiong"/>
    <s v="Male"/>
    <x v="22"/>
    <x v="1"/>
    <x v="103"/>
    <n v="25709"/>
    <n v="23652280"/>
    <s v="Sokoto"/>
    <x v="4"/>
    <s v="Uyo"/>
    <x v="0"/>
    <x v="0"/>
    <s v="Agent C"/>
    <x v="0"/>
    <n v="23652280"/>
    <n v="0"/>
    <n v="9.17"/>
    <n v="9.1700000000000004E-2"/>
    <s v="2024-02-27"/>
    <x v="0"/>
    <x v="0"/>
    <x v="2"/>
    <x v="2"/>
    <s v="Cancelled"/>
    <n v="2"/>
    <n v="46"/>
    <n v="21483365.923999999"/>
    <x v="0"/>
    <x v="1"/>
    <x v="0"/>
    <x v="0"/>
  </r>
  <r>
    <x v="111"/>
    <s v="Ngozi Sani"/>
    <s v="Male"/>
    <x v="8"/>
    <x v="2"/>
    <x v="104"/>
    <n v="31195"/>
    <n v="22522790"/>
    <s v="Sokoto"/>
    <x v="4"/>
    <s v="Abuja"/>
    <x v="2"/>
    <x v="4"/>
    <s v="Agent A"/>
    <x v="0"/>
    <n v="22522790"/>
    <n v="0"/>
    <n v="4.53"/>
    <n v="4.53E-2"/>
    <s v="2024-09-19"/>
    <x v="5"/>
    <x v="0"/>
    <x v="2"/>
    <x v="1"/>
    <s v="Completed"/>
    <n v="2"/>
    <n v="38"/>
    <n v="21502507.612999998"/>
    <x v="0"/>
    <x v="0"/>
    <x v="0"/>
    <x v="1"/>
  </r>
  <r>
    <x v="112"/>
    <s v="Amina Sani"/>
    <s v="Male"/>
    <x v="6"/>
    <x v="2"/>
    <x v="105"/>
    <n v="47900"/>
    <n v="26440800"/>
    <s v="Lagos"/>
    <x v="5"/>
    <s v="Kaduna"/>
    <x v="0"/>
    <x v="0"/>
    <s v="Agent D"/>
    <x v="0"/>
    <n v="26440800"/>
    <n v="0"/>
    <n v="5.41"/>
    <n v="5.4100000000000002E-2"/>
    <s v="2024-01-31"/>
    <x v="7"/>
    <x v="0"/>
    <x v="1"/>
    <x v="1"/>
    <s v="Pending"/>
    <n v="4"/>
    <n v="25"/>
    <n v="25010352.719999999"/>
    <x v="0"/>
    <x v="1"/>
    <x v="0"/>
    <x v="1"/>
  </r>
  <r>
    <x v="113"/>
    <s v="Tunde Eze"/>
    <s v="Male"/>
    <x v="41"/>
    <x v="2"/>
    <x v="106"/>
    <n v="44830"/>
    <n v="15062880"/>
    <s v="Ekiti"/>
    <x v="5"/>
    <s v="Uyo"/>
    <x v="1"/>
    <x v="3"/>
    <s v="Agent D"/>
    <x v="1"/>
    <n v="3819074"/>
    <n v="3"/>
    <n v="5.37"/>
    <n v="5.3699999999999998E-2"/>
    <s v="2024-09-27"/>
    <x v="5"/>
    <x v="0"/>
    <x v="2"/>
    <x v="2"/>
    <s v="Completed"/>
    <n v="4"/>
    <n v="23"/>
    <n v="14254003.344000001"/>
    <x v="0"/>
    <x v="1"/>
    <x v="0"/>
    <x v="2"/>
  </r>
  <r>
    <x v="114"/>
    <s v="Samuel Okafor"/>
    <s v="Male"/>
    <x v="42"/>
    <x v="0"/>
    <x v="107"/>
    <n v="9395"/>
    <n v="8850090"/>
    <s v="Enugu"/>
    <x v="1"/>
    <s v="Port Harcourt"/>
    <x v="0"/>
    <x v="3"/>
    <s v="Agent A"/>
    <x v="0"/>
    <n v="8850090"/>
    <n v="0"/>
    <n v="8.09"/>
    <n v="8.09E-2"/>
    <s v="2024-08-02"/>
    <x v="8"/>
    <x v="0"/>
    <x v="2"/>
    <x v="0"/>
    <s v="Cancelled"/>
    <n v="1"/>
    <n v="16"/>
    <n v="8134117.7190000005"/>
    <x v="1"/>
    <x v="1"/>
    <x v="1"/>
    <x v="0"/>
  </r>
  <r>
    <x v="115"/>
    <s v="Tunde Effiong"/>
    <s v="Female"/>
    <x v="31"/>
    <x v="1"/>
    <x v="108"/>
    <n v="17357"/>
    <n v="11264693"/>
    <s v="Borno"/>
    <x v="0"/>
    <s v="Kaduna"/>
    <x v="2"/>
    <x v="4"/>
    <s v="Agent E"/>
    <x v="0"/>
    <n v="11264693"/>
    <n v="0"/>
    <n v="7.54"/>
    <n v="7.5399999999999995E-2"/>
    <s v="2024-01-29"/>
    <x v="7"/>
    <x v="0"/>
    <x v="1"/>
    <x v="2"/>
    <s v="Pending"/>
    <n v="2"/>
    <n v="43"/>
    <n v="10415335.1478"/>
    <x v="0"/>
    <x v="1"/>
    <x v="0"/>
    <x v="1"/>
  </r>
  <r>
    <x v="116"/>
    <s v="Tunde Obi"/>
    <s v="Female"/>
    <x v="13"/>
    <x v="2"/>
    <x v="109"/>
    <n v="20032"/>
    <n v="10156224"/>
    <s v="Kaduna"/>
    <x v="4"/>
    <s v="Kaduna"/>
    <x v="2"/>
    <x v="1"/>
    <s v="Agent E"/>
    <x v="0"/>
    <n v="10156224"/>
    <n v="0"/>
    <n v="5.57"/>
    <n v="5.57E-2"/>
    <s v="2024-10-29"/>
    <x v="4"/>
    <x v="0"/>
    <x v="1"/>
    <x v="0"/>
    <s v="Pending"/>
    <n v="4"/>
    <n v="10"/>
    <n v="9590522.3232000005"/>
    <x v="1"/>
    <x v="1"/>
    <x v="1"/>
    <x v="1"/>
  </r>
  <r>
    <x v="117"/>
    <s v="Tunde Sani"/>
    <s v="Male"/>
    <x v="8"/>
    <x v="2"/>
    <x v="110"/>
    <n v="37253"/>
    <n v="36209916"/>
    <s v="Akwa Ibom"/>
    <x v="3"/>
    <s v="Kano"/>
    <x v="1"/>
    <x v="3"/>
    <s v="Agent E"/>
    <x v="1"/>
    <n v="16468352"/>
    <n v="6"/>
    <n v="3.01"/>
    <n v="3.0099999999999998E-2"/>
    <s v="2024-12-28"/>
    <x v="3"/>
    <x v="0"/>
    <x v="3"/>
    <x v="1"/>
    <s v="Completed"/>
    <n v="3"/>
    <n v="14"/>
    <n v="35119997.528399996"/>
    <x v="2"/>
    <x v="0"/>
    <x v="2"/>
    <x v="0"/>
  </r>
  <r>
    <x v="118"/>
    <s v="Chinedu Abdullahi"/>
    <s v="Female"/>
    <x v="34"/>
    <x v="1"/>
    <x v="111"/>
    <n v="26318"/>
    <n v="17369880"/>
    <s v="Cross River"/>
    <x v="3"/>
    <s v="Abuja"/>
    <x v="2"/>
    <x v="2"/>
    <s v="Agent A"/>
    <x v="0"/>
    <n v="17369880"/>
    <n v="0"/>
    <n v="5.36"/>
    <n v="5.3600000000000002E-2"/>
    <s v="2024-04-07"/>
    <x v="9"/>
    <x v="0"/>
    <x v="3"/>
    <x v="0"/>
    <s v="Cancelled"/>
    <n v="5"/>
    <n v="14"/>
    <n v="16438854.432"/>
    <x v="0"/>
    <x v="1"/>
    <x v="0"/>
    <x v="1"/>
  </r>
  <r>
    <x v="119"/>
    <s v="Ibrahim Eze"/>
    <s v="Male"/>
    <x v="4"/>
    <x v="0"/>
    <x v="112"/>
    <n v="3004"/>
    <n v="1532040"/>
    <s v="Kwara"/>
    <x v="2"/>
    <s v="Enugu"/>
    <x v="2"/>
    <x v="4"/>
    <s v="Agent C"/>
    <x v="0"/>
    <n v="1532040"/>
    <n v="0"/>
    <n v="9.3699999999999992"/>
    <n v="9.3699999999999992E-2"/>
    <s v="2024-03-01"/>
    <x v="6"/>
    <x v="0"/>
    <x v="2"/>
    <x v="1"/>
    <s v="Cancelled"/>
    <n v="3"/>
    <n v="20"/>
    <n v="1388487.852"/>
    <x v="1"/>
    <x v="1"/>
    <x v="1"/>
    <x v="1"/>
  </r>
  <r>
    <x v="120"/>
    <s v="David Eze"/>
    <s v="Female"/>
    <x v="20"/>
    <x v="2"/>
    <x v="89"/>
    <n v="32540"/>
    <n v="23070860"/>
    <s v="Bayelsa"/>
    <x v="3"/>
    <s v="Uyo"/>
    <x v="0"/>
    <x v="3"/>
    <s v="Agent B"/>
    <x v="0"/>
    <n v="23070860"/>
    <n v="0"/>
    <n v="8.0299999999999994"/>
    <n v="8.0299999999999996E-2"/>
    <s v="2024-08-28"/>
    <x v="8"/>
    <x v="0"/>
    <x v="3"/>
    <x v="2"/>
    <s v="Pending"/>
    <n v="5"/>
    <n v="38"/>
    <n v="21218269.941999998"/>
    <x v="0"/>
    <x v="1"/>
    <x v="0"/>
    <x v="1"/>
  </r>
  <r>
    <x v="121"/>
    <s v="Samuel Eze"/>
    <s v="Female"/>
    <x v="8"/>
    <x v="1"/>
    <x v="113"/>
    <n v="11988"/>
    <n v="6017976"/>
    <s v="Zamfara"/>
    <x v="4"/>
    <s v="Kaduna"/>
    <x v="2"/>
    <x v="4"/>
    <s v="Agent C"/>
    <x v="0"/>
    <n v="6017976"/>
    <n v="0"/>
    <n v="3.3"/>
    <n v="3.3000000000000002E-2"/>
    <s v="2024-07-13"/>
    <x v="10"/>
    <x v="0"/>
    <x v="2"/>
    <x v="0"/>
    <s v="Cancelled"/>
    <n v="4"/>
    <n v="30"/>
    <n v="5819382.7919999994"/>
    <x v="1"/>
    <x v="0"/>
    <x v="1"/>
    <x v="1"/>
  </r>
  <r>
    <x v="122"/>
    <s v="Chinedu Effiong"/>
    <s v="Male"/>
    <x v="27"/>
    <x v="1"/>
    <x v="114"/>
    <n v="49206"/>
    <n v="16877658"/>
    <s v="Enugu"/>
    <x v="1"/>
    <s v="Kano"/>
    <x v="0"/>
    <x v="2"/>
    <s v="Agent D"/>
    <x v="1"/>
    <n v="8018066"/>
    <n v="6"/>
    <n v="5.42"/>
    <n v="5.4199999999999998E-2"/>
    <s v="2024-11-24"/>
    <x v="2"/>
    <x v="0"/>
    <x v="3"/>
    <x v="0"/>
    <s v="Completed"/>
    <n v="1"/>
    <n v="46"/>
    <n v="15962888.9364"/>
    <x v="0"/>
    <x v="1"/>
    <x v="0"/>
    <x v="2"/>
  </r>
  <r>
    <x v="123"/>
    <s v="Ibrahim Sani"/>
    <s v="Male"/>
    <x v="30"/>
    <x v="1"/>
    <x v="115"/>
    <n v="31885"/>
    <n v="22861545"/>
    <s v="Anambra"/>
    <x v="1"/>
    <s v="Port Harcourt"/>
    <x v="2"/>
    <x v="1"/>
    <s v="Agent A"/>
    <x v="1"/>
    <n v="8809709"/>
    <n v="3"/>
    <n v="6.67"/>
    <n v="6.6699999999999995E-2"/>
    <s v="2024-11-11"/>
    <x v="2"/>
    <x v="0"/>
    <x v="0"/>
    <x v="0"/>
    <s v="Cancelled"/>
    <n v="3"/>
    <n v="35"/>
    <n v="21336679.9485"/>
    <x v="0"/>
    <x v="1"/>
    <x v="0"/>
    <x v="1"/>
  </r>
  <r>
    <x v="124"/>
    <s v="Blessing Eze"/>
    <s v="Female"/>
    <x v="14"/>
    <x v="2"/>
    <x v="116"/>
    <n v="46173"/>
    <n v="42202122"/>
    <s v="Rivers"/>
    <x v="3"/>
    <s v="Uyo"/>
    <x v="1"/>
    <x v="2"/>
    <s v="Agent C"/>
    <x v="1"/>
    <n v="9795321"/>
    <n v="6"/>
    <n v="0.96"/>
    <n v="9.5999999999999992E-3"/>
    <s v="2024-03-17"/>
    <x v="6"/>
    <x v="0"/>
    <x v="2"/>
    <x v="1"/>
    <s v="Cancelled"/>
    <n v="2"/>
    <n v="45"/>
    <n v="41796981.628799997"/>
    <x v="2"/>
    <x v="0"/>
    <x v="2"/>
    <x v="0"/>
  </r>
  <r>
    <x v="125"/>
    <s v="Ngozi Effiong"/>
    <s v="Female"/>
    <x v="13"/>
    <x v="1"/>
    <x v="117"/>
    <n v="44591"/>
    <n v="38749579"/>
    <s v="Enugu"/>
    <x v="1"/>
    <s v="Abuja"/>
    <x v="0"/>
    <x v="0"/>
    <s v="Agent A"/>
    <x v="0"/>
    <n v="38749579"/>
    <n v="0"/>
    <n v="0.94"/>
    <n v="9.3999999999999986E-3"/>
    <s v="2024-07-13"/>
    <x v="10"/>
    <x v="0"/>
    <x v="2"/>
    <x v="1"/>
    <s v="Cancelled"/>
    <n v="3"/>
    <n v="37"/>
    <n v="38385332.957400002"/>
    <x v="2"/>
    <x v="0"/>
    <x v="2"/>
    <x v="0"/>
  </r>
  <r>
    <x v="126"/>
    <s v="Grace Ojo"/>
    <s v="Male"/>
    <x v="36"/>
    <x v="2"/>
    <x v="118"/>
    <n v="15855"/>
    <n v="6896925"/>
    <s v="Ondo"/>
    <x v="5"/>
    <s v="Lagos"/>
    <x v="0"/>
    <x v="0"/>
    <s v="Agent E"/>
    <x v="1"/>
    <n v="1475725"/>
    <n v="12"/>
    <n v="0.74"/>
    <n v="7.4000000000000003E-3"/>
    <s v="2024-05-23"/>
    <x v="11"/>
    <x v="0"/>
    <x v="3"/>
    <x v="0"/>
    <s v="Pending"/>
    <n v="1"/>
    <n v="20"/>
    <n v="6845887.7549999999"/>
    <x v="1"/>
    <x v="0"/>
    <x v="1"/>
    <x v="2"/>
  </r>
  <r>
    <x v="127"/>
    <s v="Amina Effiong"/>
    <s v="Female"/>
    <x v="13"/>
    <x v="0"/>
    <x v="119"/>
    <n v="27503"/>
    <n v="21452340"/>
    <s v="Ebonyi"/>
    <x v="1"/>
    <s v="Port Harcourt"/>
    <x v="1"/>
    <x v="0"/>
    <s v="Agent A"/>
    <x v="1"/>
    <n v="9153344"/>
    <n v="24"/>
    <n v="1.4"/>
    <n v="1.3999999999999999E-2"/>
    <s v="2024-12-18"/>
    <x v="3"/>
    <x v="0"/>
    <x v="1"/>
    <x v="0"/>
    <s v="Cancelled"/>
    <n v="5"/>
    <n v="26"/>
    <n v="21152007.239999998"/>
    <x v="0"/>
    <x v="0"/>
    <x v="0"/>
    <x v="0"/>
  </r>
  <r>
    <x v="128"/>
    <s v="Ngozi Adeyemi"/>
    <s v="Female"/>
    <x v="17"/>
    <x v="1"/>
    <x v="120"/>
    <n v="34152"/>
    <n v="22574472"/>
    <s v="Rivers"/>
    <x v="3"/>
    <s v="Ibadan"/>
    <x v="1"/>
    <x v="0"/>
    <s v="Agent A"/>
    <x v="0"/>
    <n v="22574472"/>
    <n v="0"/>
    <n v="3.56"/>
    <n v="3.56E-2"/>
    <s v="2024-07-11"/>
    <x v="10"/>
    <x v="0"/>
    <x v="0"/>
    <x v="1"/>
    <s v="Completed"/>
    <n v="4"/>
    <n v="46"/>
    <n v="21770820.796800002"/>
    <x v="0"/>
    <x v="0"/>
    <x v="0"/>
    <x v="1"/>
  </r>
  <r>
    <x v="129"/>
    <s v="Ibrahim Ogunleye"/>
    <s v="Female"/>
    <x v="43"/>
    <x v="0"/>
    <x v="121"/>
    <n v="25638"/>
    <n v="13434312"/>
    <s v="Yobe"/>
    <x v="0"/>
    <s v="Kaduna"/>
    <x v="0"/>
    <x v="0"/>
    <s v="Agent D"/>
    <x v="0"/>
    <n v="13434312"/>
    <n v="0"/>
    <n v="0.92"/>
    <n v="9.1999999999999998E-3"/>
    <s v="2024-06-06"/>
    <x v="1"/>
    <x v="0"/>
    <x v="2"/>
    <x v="0"/>
    <s v="Cancelled"/>
    <n v="5"/>
    <n v="27"/>
    <n v="13310716.329600001"/>
    <x v="0"/>
    <x v="0"/>
    <x v="0"/>
    <x v="1"/>
  </r>
  <r>
    <x v="130"/>
    <s v="Ngozi Okafor"/>
    <s v="Female"/>
    <x v="28"/>
    <x v="2"/>
    <x v="122"/>
    <n v="38321"/>
    <n v="21536402"/>
    <s v="Lagos"/>
    <x v="5"/>
    <s v="Abuja"/>
    <x v="0"/>
    <x v="3"/>
    <s v="Agent B"/>
    <x v="0"/>
    <n v="21536402"/>
    <n v="0"/>
    <n v="5.97"/>
    <n v="5.9699999999999996E-2"/>
    <s v="2024-06-15"/>
    <x v="1"/>
    <x v="0"/>
    <x v="3"/>
    <x v="0"/>
    <s v="Pending"/>
    <n v="2"/>
    <n v="9"/>
    <n v="20250678.8006"/>
    <x v="0"/>
    <x v="1"/>
    <x v="0"/>
    <x v="1"/>
  </r>
  <r>
    <x v="131"/>
    <s v="Ngozi Abdullahi"/>
    <s v="Female"/>
    <x v="27"/>
    <x v="2"/>
    <x v="123"/>
    <n v="11563"/>
    <n v="8140352"/>
    <s v="Bayelsa"/>
    <x v="3"/>
    <s v="Ibadan"/>
    <x v="1"/>
    <x v="0"/>
    <s v="Agent D"/>
    <x v="0"/>
    <n v="8140352"/>
    <n v="0"/>
    <n v="1.67"/>
    <n v="1.67E-2"/>
    <s v="2024-05-21"/>
    <x v="11"/>
    <x v="0"/>
    <x v="3"/>
    <x v="1"/>
    <s v="Completed"/>
    <n v="2"/>
    <n v="20"/>
    <n v="8004408.1215999993"/>
    <x v="1"/>
    <x v="0"/>
    <x v="1"/>
    <x v="1"/>
  </r>
  <r>
    <x v="132"/>
    <s v="Samuel Adeyemi"/>
    <s v="Female"/>
    <x v="20"/>
    <x v="1"/>
    <x v="124"/>
    <n v="26896"/>
    <n v="22458160"/>
    <s v="Osun"/>
    <x v="5"/>
    <s v="Enugu"/>
    <x v="2"/>
    <x v="0"/>
    <s v="Agent D"/>
    <x v="1"/>
    <n v="6746900"/>
    <n v="24"/>
    <n v="8.15"/>
    <n v="8.1500000000000003E-2"/>
    <s v="2024-11-29"/>
    <x v="2"/>
    <x v="0"/>
    <x v="1"/>
    <x v="2"/>
    <s v="Pending"/>
    <n v="3"/>
    <n v="19"/>
    <n v="20627819.960000001"/>
    <x v="0"/>
    <x v="1"/>
    <x v="0"/>
    <x v="0"/>
  </r>
  <r>
    <x v="133"/>
    <s v="Amina Ojo"/>
    <s v="Male"/>
    <x v="9"/>
    <x v="1"/>
    <x v="125"/>
    <n v="17887"/>
    <n v="14112843"/>
    <s v="Taraba"/>
    <x v="0"/>
    <s v="Warri"/>
    <x v="0"/>
    <x v="3"/>
    <s v="Agent A"/>
    <x v="1"/>
    <n v="4009318"/>
    <n v="24"/>
    <n v="7.86"/>
    <n v="7.8600000000000003E-2"/>
    <s v="2024-07-05"/>
    <x v="10"/>
    <x v="0"/>
    <x v="2"/>
    <x v="0"/>
    <s v="Completed"/>
    <n v="4"/>
    <n v="19"/>
    <n v="13003573.540200001"/>
    <x v="0"/>
    <x v="1"/>
    <x v="0"/>
    <x v="0"/>
  </r>
  <r>
    <x v="134"/>
    <s v="Musa Adeyemi"/>
    <s v="Female"/>
    <x v="38"/>
    <x v="0"/>
    <x v="93"/>
    <n v="34722"/>
    <n v="30867858"/>
    <s v="Borno"/>
    <x v="0"/>
    <s v="Kaduna"/>
    <x v="1"/>
    <x v="3"/>
    <s v="Agent D"/>
    <x v="0"/>
    <n v="30867858"/>
    <n v="0"/>
    <n v="6.33"/>
    <n v="6.3299999999999995E-2"/>
    <s v="2024-05-03"/>
    <x v="11"/>
    <x v="0"/>
    <x v="2"/>
    <x v="0"/>
    <s v="Cancelled"/>
    <n v="4"/>
    <n v="35"/>
    <n v="28913922.588599999"/>
    <x v="0"/>
    <x v="1"/>
    <x v="0"/>
    <x v="0"/>
  </r>
  <r>
    <x v="135"/>
    <s v="David Adeyemi"/>
    <s v="Male"/>
    <x v="22"/>
    <x v="1"/>
    <x v="13"/>
    <n v="43823"/>
    <n v="35408984"/>
    <s v="Ogun"/>
    <x v="5"/>
    <s v="Uyo"/>
    <x v="2"/>
    <x v="1"/>
    <s v="Agent C"/>
    <x v="0"/>
    <n v="35408984"/>
    <n v="0"/>
    <n v="1.0900000000000001"/>
    <n v="1.09E-2"/>
    <s v="2024-05-07"/>
    <x v="11"/>
    <x v="0"/>
    <x v="2"/>
    <x v="2"/>
    <s v="Completed"/>
    <n v="1"/>
    <n v="17"/>
    <n v="35023026.0744"/>
    <x v="2"/>
    <x v="0"/>
    <x v="2"/>
    <x v="0"/>
  </r>
  <r>
    <x v="136"/>
    <s v="Ibrahim Ojo"/>
    <s v="Male"/>
    <x v="14"/>
    <x v="0"/>
    <x v="37"/>
    <n v="40044"/>
    <n v="30873924"/>
    <s v="Ebonyi"/>
    <x v="1"/>
    <s v="Uyo"/>
    <x v="1"/>
    <x v="2"/>
    <s v="Agent C"/>
    <x v="0"/>
    <n v="30873924"/>
    <n v="0"/>
    <n v="4.46"/>
    <n v="4.4600000000000001E-2"/>
    <s v="2024-07-19"/>
    <x v="10"/>
    <x v="0"/>
    <x v="2"/>
    <x v="2"/>
    <s v="Completed"/>
    <n v="2"/>
    <n v="23"/>
    <n v="29496946.989599999"/>
    <x v="0"/>
    <x v="0"/>
    <x v="0"/>
    <x v="0"/>
  </r>
  <r>
    <x v="137"/>
    <s v="Ibrahim Ogunleye"/>
    <s v="Male"/>
    <x v="26"/>
    <x v="0"/>
    <x v="126"/>
    <n v="36151"/>
    <n v="14858061"/>
    <s v="Bayelsa"/>
    <x v="3"/>
    <s v="Warri"/>
    <x v="2"/>
    <x v="2"/>
    <s v="Agent A"/>
    <x v="1"/>
    <n v="5094068"/>
    <n v="12"/>
    <n v="4.38"/>
    <n v="4.3799999999999999E-2"/>
    <s v="2024-12-22"/>
    <x v="3"/>
    <x v="0"/>
    <x v="1"/>
    <x v="0"/>
    <s v="Completed"/>
    <n v="2"/>
    <n v="48"/>
    <n v="14207277.928200001"/>
    <x v="0"/>
    <x v="0"/>
    <x v="0"/>
    <x v="2"/>
  </r>
  <r>
    <x v="138"/>
    <s v="Tunde Adeyemi"/>
    <s v="Female"/>
    <x v="4"/>
    <x v="0"/>
    <x v="17"/>
    <n v="12494"/>
    <n v="9557910"/>
    <s v="Ebonyi"/>
    <x v="1"/>
    <s v="Kano"/>
    <x v="2"/>
    <x v="3"/>
    <s v="Agent B"/>
    <x v="1"/>
    <n v="4659852"/>
    <n v="24"/>
    <n v="2.3199999999999998"/>
    <n v="2.3199999999999998E-2"/>
    <s v="2024-07-26"/>
    <x v="10"/>
    <x v="0"/>
    <x v="2"/>
    <x v="0"/>
    <s v="Pending"/>
    <n v="4"/>
    <n v="1"/>
    <n v="9336166.4879999999"/>
    <x v="1"/>
    <x v="0"/>
    <x v="1"/>
    <x v="0"/>
  </r>
  <r>
    <x v="139"/>
    <s v="Tunde Ogunleye"/>
    <s v="Female"/>
    <x v="40"/>
    <x v="2"/>
    <x v="19"/>
    <n v="48121"/>
    <n v="23338685"/>
    <s v="Yobe"/>
    <x v="0"/>
    <s v="Port Harcourt"/>
    <x v="0"/>
    <x v="4"/>
    <s v="Agent D"/>
    <x v="0"/>
    <n v="23338685"/>
    <n v="0"/>
    <n v="5.77"/>
    <n v="5.7699999999999994E-2"/>
    <s v="2024-10-01"/>
    <x v="4"/>
    <x v="0"/>
    <x v="1"/>
    <x v="0"/>
    <s v="Pending"/>
    <n v="5"/>
    <n v="26"/>
    <n v="21992042.875500001"/>
    <x v="0"/>
    <x v="1"/>
    <x v="0"/>
    <x v="1"/>
  </r>
  <r>
    <x v="140"/>
    <s v="Musa Ojo"/>
    <s v="Male"/>
    <x v="34"/>
    <x v="0"/>
    <x v="127"/>
    <n v="32006"/>
    <n v="17923360"/>
    <s v="Kano"/>
    <x v="4"/>
    <s v="Enugu"/>
    <x v="1"/>
    <x v="2"/>
    <s v="Agent B"/>
    <x v="0"/>
    <n v="17923360"/>
    <n v="0"/>
    <n v="8.14"/>
    <n v="8.14E-2"/>
    <s v="2024-12-27"/>
    <x v="3"/>
    <x v="0"/>
    <x v="1"/>
    <x v="2"/>
    <s v="Completed"/>
    <n v="3"/>
    <n v="45"/>
    <n v="16464398.495999999"/>
    <x v="0"/>
    <x v="1"/>
    <x v="0"/>
    <x v="1"/>
  </r>
  <r>
    <x v="141"/>
    <s v="Tunde Sani"/>
    <s v="Male"/>
    <x v="8"/>
    <x v="0"/>
    <x v="128"/>
    <n v="41087"/>
    <n v="25802636"/>
    <s v="Ebonyi"/>
    <x v="1"/>
    <s v="Kaduna"/>
    <x v="1"/>
    <x v="4"/>
    <s v="Agent B"/>
    <x v="0"/>
    <n v="25802636"/>
    <n v="0"/>
    <n v="5.75"/>
    <n v="5.7500000000000002E-2"/>
    <s v="2024-08-04"/>
    <x v="8"/>
    <x v="0"/>
    <x v="3"/>
    <x v="1"/>
    <s v="Pending"/>
    <n v="5"/>
    <n v="4"/>
    <n v="24318984.43"/>
    <x v="0"/>
    <x v="1"/>
    <x v="0"/>
    <x v="1"/>
  </r>
  <r>
    <x v="142"/>
    <s v="Ibrahim Sani"/>
    <s v="Male"/>
    <x v="17"/>
    <x v="1"/>
    <x v="129"/>
    <n v="14787"/>
    <n v="5012793"/>
    <s v="Rivers"/>
    <x v="3"/>
    <s v="Warri"/>
    <x v="0"/>
    <x v="0"/>
    <s v="Agent C"/>
    <x v="1"/>
    <n v="1617830"/>
    <n v="24"/>
    <n v="4.92"/>
    <n v="4.9200000000000001E-2"/>
    <s v="2024-12-29"/>
    <x v="3"/>
    <x v="0"/>
    <x v="0"/>
    <x v="1"/>
    <s v="Completed"/>
    <n v="5"/>
    <n v="19"/>
    <n v="4766163.5844000001"/>
    <x v="1"/>
    <x v="0"/>
    <x v="1"/>
    <x v="2"/>
  </r>
  <r>
    <x v="143"/>
    <s v="Grace Ogunleye"/>
    <s v="Male"/>
    <x v="19"/>
    <x v="1"/>
    <x v="130"/>
    <n v="34460"/>
    <n v="33081600"/>
    <s v="Abia"/>
    <x v="1"/>
    <s v="Calabar"/>
    <x v="0"/>
    <x v="1"/>
    <s v="Agent A"/>
    <x v="0"/>
    <n v="33081600"/>
    <n v="0"/>
    <n v="5.73"/>
    <n v="5.7300000000000004E-2"/>
    <s v="2024-05-17"/>
    <x v="11"/>
    <x v="0"/>
    <x v="3"/>
    <x v="1"/>
    <s v="Completed"/>
    <n v="4"/>
    <n v="17"/>
    <n v="31186024.32"/>
    <x v="2"/>
    <x v="1"/>
    <x v="2"/>
    <x v="0"/>
  </r>
  <r>
    <x v="144"/>
    <s v="David Ojo"/>
    <s v="Female"/>
    <x v="35"/>
    <x v="1"/>
    <x v="131"/>
    <n v="17528"/>
    <n v="5608960"/>
    <s v="Rivers"/>
    <x v="3"/>
    <s v="Warri"/>
    <x v="0"/>
    <x v="0"/>
    <s v="Agent B"/>
    <x v="0"/>
    <n v="5608960"/>
    <n v="0"/>
    <n v="8.11"/>
    <n v="8.1099999999999992E-2"/>
    <s v="2024-10-28"/>
    <x v="4"/>
    <x v="0"/>
    <x v="0"/>
    <x v="0"/>
    <s v="Pending"/>
    <n v="5"/>
    <n v="18"/>
    <n v="5154073.3440000005"/>
    <x v="1"/>
    <x v="1"/>
    <x v="1"/>
    <x v="2"/>
  </r>
  <r>
    <x v="145"/>
    <s v="Amina Adeyemi"/>
    <s v="Female"/>
    <x v="13"/>
    <x v="2"/>
    <x v="132"/>
    <n v="48140"/>
    <n v="25562340"/>
    <s v="Kebbi"/>
    <x v="4"/>
    <s v="Kano"/>
    <x v="2"/>
    <x v="0"/>
    <s v="Agent B"/>
    <x v="1"/>
    <n v="9504606"/>
    <n v="12"/>
    <n v="9.52"/>
    <n v="9.5199999999999993E-2"/>
    <s v="2024-09-20"/>
    <x v="5"/>
    <x v="0"/>
    <x v="3"/>
    <x v="2"/>
    <s v="Cancelled"/>
    <n v="3"/>
    <n v="16"/>
    <n v="23128805.232000001"/>
    <x v="0"/>
    <x v="1"/>
    <x v="0"/>
    <x v="1"/>
  </r>
  <r>
    <x v="146"/>
    <s v="Ngozi Effiong"/>
    <s v="Female"/>
    <x v="23"/>
    <x v="2"/>
    <x v="133"/>
    <n v="39842"/>
    <n v="13745490"/>
    <s v="Bauchi"/>
    <x v="0"/>
    <s v="Warri"/>
    <x v="1"/>
    <x v="1"/>
    <s v="Agent C"/>
    <x v="1"/>
    <n v="4296176"/>
    <n v="24"/>
    <n v="0.76"/>
    <n v="7.6E-3"/>
    <s v="2024-02-17"/>
    <x v="0"/>
    <x v="0"/>
    <x v="0"/>
    <x v="0"/>
    <s v="Completed"/>
    <n v="4"/>
    <n v="41"/>
    <n v="13641024.275999999"/>
    <x v="0"/>
    <x v="0"/>
    <x v="0"/>
    <x v="2"/>
  </r>
  <r>
    <x v="147"/>
    <s v="Musa Ogunleye"/>
    <s v="Female"/>
    <x v="1"/>
    <x v="1"/>
    <x v="134"/>
    <n v="37024"/>
    <n v="9774336"/>
    <s v="Taraba"/>
    <x v="0"/>
    <s v="Enugu"/>
    <x v="2"/>
    <x v="0"/>
    <s v="Agent E"/>
    <x v="1"/>
    <n v="4793711"/>
    <n v="6"/>
    <n v="8.25"/>
    <n v="8.2500000000000004E-2"/>
    <s v="2024-09-10"/>
    <x v="5"/>
    <x v="0"/>
    <x v="2"/>
    <x v="1"/>
    <s v="Cancelled"/>
    <n v="1"/>
    <n v="3"/>
    <n v="8967953.2799999993"/>
    <x v="1"/>
    <x v="1"/>
    <x v="1"/>
    <x v="2"/>
  </r>
  <r>
    <x v="148"/>
    <s v="Ngozi Eze"/>
    <s v="Male"/>
    <x v="37"/>
    <x v="2"/>
    <x v="135"/>
    <n v="10142"/>
    <n v="2190672"/>
    <s v="Ekiti"/>
    <x v="5"/>
    <s v="Warri"/>
    <x v="0"/>
    <x v="4"/>
    <s v="Agent A"/>
    <x v="0"/>
    <n v="2190672"/>
    <n v="0"/>
    <n v="4.41"/>
    <n v="4.41E-2"/>
    <s v="2024-01-01"/>
    <x v="7"/>
    <x v="0"/>
    <x v="1"/>
    <x v="1"/>
    <s v="Completed"/>
    <n v="3"/>
    <n v="43"/>
    <n v="2094063.3647999999"/>
    <x v="1"/>
    <x v="0"/>
    <x v="1"/>
    <x v="2"/>
  </r>
  <r>
    <x v="149"/>
    <s v="Chinedu Eze"/>
    <s v="Female"/>
    <x v="27"/>
    <x v="0"/>
    <x v="68"/>
    <n v="42999"/>
    <n v="26014395"/>
    <s v="Yobe"/>
    <x v="0"/>
    <s v="Lagos"/>
    <x v="2"/>
    <x v="0"/>
    <s v="Agent E"/>
    <x v="1"/>
    <n v="8552734"/>
    <n v="6"/>
    <n v="0.91"/>
    <n v="9.1000000000000004E-3"/>
    <s v="2024-02-18"/>
    <x v="0"/>
    <x v="0"/>
    <x v="2"/>
    <x v="2"/>
    <s v="Completed"/>
    <n v="3"/>
    <n v="8"/>
    <n v="25777664.0055"/>
    <x v="0"/>
    <x v="0"/>
    <x v="0"/>
    <x v="1"/>
  </r>
  <r>
    <x v="150"/>
    <s v="Amina Ogunleye"/>
    <s v="Female"/>
    <x v="26"/>
    <x v="0"/>
    <x v="136"/>
    <n v="6641"/>
    <n v="4575649"/>
    <s v="Nasarawa"/>
    <x v="2"/>
    <s v="Kano"/>
    <x v="1"/>
    <x v="0"/>
    <s v="Agent B"/>
    <x v="0"/>
    <n v="4575649"/>
    <n v="0"/>
    <n v="3.83"/>
    <n v="3.8300000000000001E-2"/>
    <s v="2024-02-22"/>
    <x v="0"/>
    <x v="0"/>
    <x v="0"/>
    <x v="0"/>
    <s v="Cancelled"/>
    <n v="1"/>
    <n v="40"/>
    <n v="4400401.6432999996"/>
    <x v="1"/>
    <x v="0"/>
    <x v="1"/>
    <x v="1"/>
  </r>
  <r>
    <x v="151"/>
    <s v="Ngozi Ojo"/>
    <s v="Female"/>
    <x v="42"/>
    <x v="0"/>
    <x v="137"/>
    <n v="49345"/>
    <n v="27583855"/>
    <s v="Yobe"/>
    <x v="0"/>
    <s v="Warri"/>
    <x v="0"/>
    <x v="0"/>
    <s v="Agent A"/>
    <x v="0"/>
    <n v="27583855"/>
    <n v="0"/>
    <n v="6.28"/>
    <n v="6.2800000000000009E-2"/>
    <s v="2024-03-18"/>
    <x v="6"/>
    <x v="0"/>
    <x v="2"/>
    <x v="1"/>
    <s v="Pending"/>
    <n v="3"/>
    <n v="9"/>
    <n v="25851588.905999999"/>
    <x v="0"/>
    <x v="1"/>
    <x v="0"/>
    <x v="1"/>
  </r>
  <r>
    <x v="152"/>
    <s v="Blessing Effiong"/>
    <s v="Male"/>
    <x v="4"/>
    <x v="2"/>
    <x v="101"/>
    <n v="38267"/>
    <n v="17373218"/>
    <s v="Enugu"/>
    <x v="1"/>
    <s v="Abuja"/>
    <x v="2"/>
    <x v="2"/>
    <s v="Agent B"/>
    <x v="1"/>
    <n v="7893828"/>
    <n v="3"/>
    <n v="6.58"/>
    <n v="6.5799999999999997E-2"/>
    <s v="2024-06-03"/>
    <x v="1"/>
    <x v="0"/>
    <x v="2"/>
    <x v="1"/>
    <s v="Completed"/>
    <n v="2"/>
    <n v="32"/>
    <n v="16230060.2556"/>
    <x v="0"/>
    <x v="1"/>
    <x v="0"/>
    <x v="2"/>
  </r>
  <r>
    <x v="153"/>
    <s v="Ngozi Ogunleye"/>
    <s v="Male"/>
    <x v="10"/>
    <x v="0"/>
    <x v="74"/>
    <n v="2790"/>
    <n v="2064600"/>
    <s v="Gombe"/>
    <x v="0"/>
    <s v="Abuja"/>
    <x v="0"/>
    <x v="3"/>
    <s v="Agent A"/>
    <x v="1"/>
    <n v="494668"/>
    <n v="12"/>
    <n v="8.61"/>
    <n v="8.6099999999999996E-2"/>
    <s v="2024-10-18"/>
    <x v="4"/>
    <x v="0"/>
    <x v="0"/>
    <x v="1"/>
    <s v="Completed"/>
    <n v="1"/>
    <n v="4"/>
    <n v="1886837.9400000002"/>
    <x v="1"/>
    <x v="1"/>
    <x v="1"/>
    <x v="0"/>
  </r>
  <r>
    <x v="154"/>
    <s v="Grace Ojo"/>
    <s v="Male"/>
    <x v="11"/>
    <x v="0"/>
    <x v="138"/>
    <n v="48702"/>
    <n v="41055786"/>
    <s v="Plateau"/>
    <x v="2"/>
    <s v="Ibadan"/>
    <x v="1"/>
    <x v="2"/>
    <s v="Agent E"/>
    <x v="1"/>
    <n v="16855173"/>
    <n v="24"/>
    <n v="0.82"/>
    <n v="8.199999999999999E-3"/>
    <s v="2024-10-01"/>
    <x v="4"/>
    <x v="0"/>
    <x v="3"/>
    <x v="2"/>
    <s v="Cancelled"/>
    <n v="3"/>
    <n v="26"/>
    <n v="40719128.554800004"/>
    <x v="2"/>
    <x v="0"/>
    <x v="2"/>
    <x v="0"/>
  </r>
  <r>
    <x v="155"/>
    <s v="Amina Sani"/>
    <s v="Male"/>
    <x v="26"/>
    <x v="1"/>
    <x v="71"/>
    <n v="47788"/>
    <n v="24706396"/>
    <s v="Zamfara"/>
    <x v="4"/>
    <s v="Abuja"/>
    <x v="2"/>
    <x v="0"/>
    <s v="Agent A"/>
    <x v="1"/>
    <n v="5370473"/>
    <n v="6"/>
    <n v="0.86"/>
    <n v="8.6E-3"/>
    <s v="2024-08-10"/>
    <x v="8"/>
    <x v="0"/>
    <x v="0"/>
    <x v="0"/>
    <s v="Completed"/>
    <n v="1"/>
    <n v="11"/>
    <n v="24493920.994399998"/>
    <x v="0"/>
    <x v="0"/>
    <x v="0"/>
    <x v="1"/>
  </r>
  <r>
    <x v="156"/>
    <s v="Amina Okafor"/>
    <s v="Female"/>
    <x v="44"/>
    <x v="2"/>
    <x v="139"/>
    <n v="49236"/>
    <n v="35893044"/>
    <s v="Kogi"/>
    <x v="2"/>
    <s v="Uyo"/>
    <x v="2"/>
    <x v="2"/>
    <s v="Agent C"/>
    <x v="1"/>
    <n v="11182867"/>
    <n v="6"/>
    <n v="7.5"/>
    <n v="7.4999999999999997E-2"/>
    <s v="2024-05-17"/>
    <x v="11"/>
    <x v="0"/>
    <x v="0"/>
    <x v="1"/>
    <s v="Pending"/>
    <n v="5"/>
    <n v="24"/>
    <n v="33201065.700000003"/>
    <x v="2"/>
    <x v="1"/>
    <x v="2"/>
    <x v="1"/>
  </r>
  <r>
    <x v="157"/>
    <s v="Samuel Bello"/>
    <s v="Male"/>
    <x v="29"/>
    <x v="0"/>
    <x v="82"/>
    <n v="26096"/>
    <n v="9655520"/>
    <s v="Osun"/>
    <x v="5"/>
    <s v="Calabar"/>
    <x v="0"/>
    <x v="2"/>
    <s v="Agent B"/>
    <x v="0"/>
    <n v="9655520"/>
    <n v="0"/>
    <n v="2.5499999999999998"/>
    <n v="2.5499999999999998E-2"/>
    <s v="2024-02-22"/>
    <x v="0"/>
    <x v="0"/>
    <x v="0"/>
    <x v="1"/>
    <s v="Pending"/>
    <n v="4"/>
    <n v="10"/>
    <n v="9409304.2400000002"/>
    <x v="1"/>
    <x v="0"/>
    <x v="1"/>
    <x v="2"/>
  </r>
  <r>
    <x v="158"/>
    <s v="Musa Bello"/>
    <s v="Female"/>
    <x v="5"/>
    <x v="1"/>
    <x v="140"/>
    <n v="44972"/>
    <n v="41868932"/>
    <s v="Anambra"/>
    <x v="1"/>
    <s v="Uyo"/>
    <x v="2"/>
    <x v="2"/>
    <s v="Agent B"/>
    <x v="1"/>
    <n v="12415838"/>
    <n v="6"/>
    <n v="4.16"/>
    <n v="4.1599999999999998E-2"/>
    <s v="2024-06-12"/>
    <x v="1"/>
    <x v="0"/>
    <x v="3"/>
    <x v="0"/>
    <s v="Completed"/>
    <n v="4"/>
    <n v="5"/>
    <n v="40127184.428800002"/>
    <x v="2"/>
    <x v="0"/>
    <x v="2"/>
    <x v="0"/>
  </r>
  <r>
    <x v="159"/>
    <s v="Musa Ojo"/>
    <s v="Female"/>
    <x v="21"/>
    <x v="0"/>
    <x v="58"/>
    <n v="22361"/>
    <n v="22182112"/>
    <s v="Niger"/>
    <x v="2"/>
    <s v="Ibadan"/>
    <x v="1"/>
    <x v="4"/>
    <s v="Agent E"/>
    <x v="1"/>
    <n v="8117043"/>
    <n v="3"/>
    <n v="0.08"/>
    <n v="8.0000000000000004E-4"/>
    <s v="2024-04-12"/>
    <x v="9"/>
    <x v="0"/>
    <x v="2"/>
    <x v="2"/>
    <s v="Cancelled"/>
    <n v="5"/>
    <n v="49"/>
    <n v="22164366.310399998"/>
    <x v="0"/>
    <x v="0"/>
    <x v="0"/>
    <x v="0"/>
  </r>
  <r>
    <x v="160"/>
    <s v="Chinedu Ogunleye"/>
    <s v="Male"/>
    <x v="15"/>
    <x v="2"/>
    <x v="141"/>
    <n v="3566"/>
    <n v="2207354"/>
    <s v="Imo"/>
    <x v="1"/>
    <s v="Lagos"/>
    <x v="2"/>
    <x v="4"/>
    <s v="Agent A"/>
    <x v="0"/>
    <n v="2207354"/>
    <n v="0"/>
    <n v="5.42"/>
    <n v="5.4199999999999998E-2"/>
    <s v="2024-11-21"/>
    <x v="2"/>
    <x v="0"/>
    <x v="3"/>
    <x v="0"/>
    <s v="Completed"/>
    <n v="4"/>
    <n v="32"/>
    <n v="2087715.4131999998"/>
    <x v="1"/>
    <x v="1"/>
    <x v="1"/>
    <x v="1"/>
  </r>
  <r>
    <x v="161"/>
    <s v="Ngozi Ogunleye"/>
    <s v="Female"/>
    <x v="17"/>
    <x v="1"/>
    <x v="44"/>
    <n v="4877"/>
    <n v="1438715"/>
    <s v="Oyo"/>
    <x v="5"/>
    <s v="Ibadan"/>
    <x v="0"/>
    <x v="3"/>
    <s v="Agent B"/>
    <x v="0"/>
    <n v="1438715"/>
    <n v="0"/>
    <n v="8.9700000000000006"/>
    <n v="8.9700000000000002E-2"/>
    <s v="2024-09-23"/>
    <x v="5"/>
    <x v="0"/>
    <x v="2"/>
    <x v="2"/>
    <s v="Cancelled"/>
    <n v="5"/>
    <n v="4"/>
    <n v="1309662.2645"/>
    <x v="1"/>
    <x v="1"/>
    <x v="1"/>
    <x v="2"/>
  </r>
  <r>
    <x v="162"/>
    <s v="David Sani"/>
    <s v="Female"/>
    <x v="31"/>
    <x v="0"/>
    <x v="142"/>
    <n v="21115"/>
    <n v="9332830"/>
    <s v="Nasarawa"/>
    <x v="2"/>
    <s v="Kano"/>
    <x v="0"/>
    <x v="0"/>
    <s v="Agent E"/>
    <x v="1"/>
    <n v="4459344"/>
    <n v="12"/>
    <n v="3.93"/>
    <n v="3.9300000000000002E-2"/>
    <s v="2024-06-16"/>
    <x v="1"/>
    <x v="0"/>
    <x v="0"/>
    <x v="2"/>
    <s v="Completed"/>
    <n v="2"/>
    <n v="29"/>
    <n v="8966049.7809999995"/>
    <x v="1"/>
    <x v="0"/>
    <x v="1"/>
    <x v="2"/>
  </r>
  <r>
    <x v="163"/>
    <s v="Amina Adeyemi"/>
    <s v="Female"/>
    <x v="2"/>
    <x v="1"/>
    <x v="143"/>
    <n v="37122"/>
    <n v="11990406"/>
    <s v="Kogi"/>
    <x v="2"/>
    <s v="Kaduna"/>
    <x v="2"/>
    <x v="2"/>
    <s v="Agent B"/>
    <x v="1"/>
    <n v="4023682"/>
    <n v="6"/>
    <n v="4.63"/>
    <n v="4.6300000000000001E-2"/>
    <s v="2024-03-02"/>
    <x v="6"/>
    <x v="0"/>
    <x v="1"/>
    <x v="2"/>
    <s v="Completed"/>
    <n v="2"/>
    <n v="23"/>
    <n v="11435250.202199999"/>
    <x v="0"/>
    <x v="0"/>
    <x v="0"/>
    <x v="2"/>
  </r>
  <r>
    <x v="164"/>
    <s v="Grace Effiong"/>
    <s v="Male"/>
    <x v="43"/>
    <x v="2"/>
    <x v="144"/>
    <n v="21584"/>
    <n v="19274512"/>
    <s v="Plateau"/>
    <x v="2"/>
    <s v="Lagos"/>
    <x v="0"/>
    <x v="0"/>
    <s v="Agent A"/>
    <x v="1"/>
    <n v="4034630"/>
    <n v="6"/>
    <n v="4.04"/>
    <n v="4.0399999999999998E-2"/>
    <s v="2024-08-19"/>
    <x v="8"/>
    <x v="0"/>
    <x v="0"/>
    <x v="2"/>
    <s v="Completed"/>
    <n v="2"/>
    <n v="13"/>
    <n v="18495821.7152"/>
    <x v="0"/>
    <x v="0"/>
    <x v="0"/>
    <x v="0"/>
  </r>
  <r>
    <x v="165"/>
    <s v="Ibrahim Adeyemi"/>
    <s v="Male"/>
    <x v="1"/>
    <x v="0"/>
    <x v="145"/>
    <n v="40411"/>
    <n v="32167156"/>
    <s v="Kogi"/>
    <x v="2"/>
    <s v="Abuja"/>
    <x v="0"/>
    <x v="1"/>
    <s v="Agent A"/>
    <x v="1"/>
    <n v="6643806"/>
    <n v="3"/>
    <n v="0.64"/>
    <n v="6.4000000000000003E-3"/>
    <s v="2024-11-26"/>
    <x v="2"/>
    <x v="0"/>
    <x v="3"/>
    <x v="0"/>
    <s v="Pending"/>
    <n v="4"/>
    <n v="32"/>
    <n v="31961286.2016"/>
    <x v="2"/>
    <x v="0"/>
    <x v="2"/>
    <x v="0"/>
  </r>
  <r>
    <x v="166"/>
    <s v="Musa Sani"/>
    <s v="Male"/>
    <x v="0"/>
    <x v="1"/>
    <x v="146"/>
    <n v="25196"/>
    <n v="9473696"/>
    <s v="Osun"/>
    <x v="5"/>
    <s v="Kaduna"/>
    <x v="2"/>
    <x v="3"/>
    <s v="Agent B"/>
    <x v="0"/>
    <n v="9473696"/>
    <n v="0"/>
    <n v="9.08"/>
    <n v="9.0800000000000006E-2"/>
    <s v="2024-05-20"/>
    <x v="11"/>
    <x v="0"/>
    <x v="1"/>
    <x v="1"/>
    <s v="Pending"/>
    <n v="5"/>
    <n v="31"/>
    <n v="8613484.4032000005"/>
    <x v="1"/>
    <x v="1"/>
    <x v="1"/>
    <x v="2"/>
  </r>
  <r>
    <x v="167"/>
    <s v="Grace Okafor"/>
    <s v="Female"/>
    <x v="2"/>
    <x v="2"/>
    <x v="147"/>
    <n v="10993"/>
    <n v="6507856"/>
    <s v="Lagos"/>
    <x v="5"/>
    <s v="Ibadan"/>
    <x v="1"/>
    <x v="3"/>
    <s v="Agent D"/>
    <x v="1"/>
    <n v="2556258"/>
    <n v="6"/>
    <n v="7.97"/>
    <n v="7.9699999999999993E-2"/>
    <s v="2024-05-07"/>
    <x v="11"/>
    <x v="0"/>
    <x v="1"/>
    <x v="0"/>
    <s v="Cancelled"/>
    <n v="3"/>
    <n v="25"/>
    <n v="5989179.8767999997"/>
    <x v="1"/>
    <x v="1"/>
    <x v="1"/>
    <x v="1"/>
  </r>
  <r>
    <x v="168"/>
    <s v="Chinedu Sani"/>
    <s v="Female"/>
    <x v="9"/>
    <x v="0"/>
    <x v="148"/>
    <n v="41132"/>
    <n v="21635432"/>
    <s v="Delta"/>
    <x v="3"/>
    <s v="Lagos"/>
    <x v="0"/>
    <x v="2"/>
    <s v="Agent B"/>
    <x v="0"/>
    <n v="21635432"/>
    <n v="0"/>
    <n v="0.28999999999999998"/>
    <n v="2.8999999999999998E-3"/>
    <s v="2024-05-23"/>
    <x v="11"/>
    <x v="0"/>
    <x v="3"/>
    <x v="1"/>
    <s v="Cancelled"/>
    <n v="1"/>
    <n v="49"/>
    <n v="21572689.247200001"/>
    <x v="0"/>
    <x v="0"/>
    <x v="0"/>
    <x v="1"/>
  </r>
  <r>
    <x v="169"/>
    <s v="David Ojo"/>
    <s v="Male"/>
    <x v="2"/>
    <x v="1"/>
    <x v="149"/>
    <n v="13384"/>
    <n v="7535192"/>
    <s v="Ebonyi"/>
    <x v="1"/>
    <s v="Kaduna"/>
    <x v="1"/>
    <x v="3"/>
    <s v="Agent E"/>
    <x v="0"/>
    <n v="7535192"/>
    <n v="0"/>
    <n v="2.37"/>
    <n v="2.3700000000000002E-2"/>
    <s v="2024-06-11"/>
    <x v="1"/>
    <x v="0"/>
    <x v="3"/>
    <x v="0"/>
    <s v="Completed"/>
    <n v="4"/>
    <n v="35"/>
    <n v="7356607.9495999999"/>
    <x v="1"/>
    <x v="0"/>
    <x v="1"/>
    <x v="1"/>
  </r>
  <r>
    <x v="170"/>
    <s v="Chinedu Effiong"/>
    <s v="Female"/>
    <x v="30"/>
    <x v="2"/>
    <x v="150"/>
    <n v="7915"/>
    <n v="1883770"/>
    <s v="Delta"/>
    <x v="3"/>
    <s v="Warri"/>
    <x v="2"/>
    <x v="0"/>
    <s v="Agent B"/>
    <x v="0"/>
    <n v="1883770"/>
    <n v="0"/>
    <n v="2.33"/>
    <n v="2.3300000000000001E-2"/>
    <s v="2024-04-22"/>
    <x v="9"/>
    <x v="0"/>
    <x v="1"/>
    <x v="0"/>
    <s v="Completed"/>
    <n v="3"/>
    <n v="4"/>
    <n v="1839878.159"/>
    <x v="1"/>
    <x v="0"/>
    <x v="1"/>
    <x v="2"/>
  </r>
  <r>
    <x v="171"/>
    <s v="Amina Ogunleye"/>
    <s v="Female"/>
    <x v="9"/>
    <x v="0"/>
    <x v="151"/>
    <n v="11283"/>
    <n v="10391643"/>
    <s v="Oyo"/>
    <x v="5"/>
    <s v="Calabar"/>
    <x v="1"/>
    <x v="4"/>
    <s v="Agent C"/>
    <x v="0"/>
    <n v="10391643"/>
    <n v="0"/>
    <n v="8.4600000000000009"/>
    <n v="8.4600000000000009E-2"/>
    <s v="2024-07-05"/>
    <x v="10"/>
    <x v="0"/>
    <x v="3"/>
    <x v="2"/>
    <s v="Cancelled"/>
    <n v="4"/>
    <n v="41"/>
    <n v="9512510.0022"/>
    <x v="1"/>
    <x v="1"/>
    <x v="1"/>
    <x v="0"/>
  </r>
  <r>
    <x v="172"/>
    <s v="Musa Abdullahi"/>
    <s v="Male"/>
    <x v="36"/>
    <x v="1"/>
    <x v="152"/>
    <n v="48345"/>
    <n v="18274410"/>
    <s v="Nasarawa"/>
    <x v="2"/>
    <s v="Enugu"/>
    <x v="0"/>
    <x v="3"/>
    <s v="Agent D"/>
    <x v="1"/>
    <n v="7303542"/>
    <n v="6"/>
    <n v="8.14"/>
    <n v="8.14E-2"/>
    <s v="2024-07-12"/>
    <x v="10"/>
    <x v="0"/>
    <x v="0"/>
    <x v="2"/>
    <s v="Cancelled"/>
    <n v="3"/>
    <n v="40"/>
    <n v="16786873.026000001"/>
    <x v="0"/>
    <x v="1"/>
    <x v="0"/>
    <x v="2"/>
  </r>
  <r>
    <x v="173"/>
    <s v="Amina Ogunleye"/>
    <s v="Female"/>
    <x v="30"/>
    <x v="2"/>
    <x v="153"/>
    <n v="11217"/>
    <n v="7941636"/>
    <s v="Ebonyi"/>
    <x v="1"/>
    <s v="Abuja"/>
    <x v="0"/>
    <x v="0"/>
    <s v="Agent A"/>
    <x v="1"/>
    <n v="2155350"/>
    <n v="3"/>
    <n v="9.82"/>
    <n v="9.820000000000001E-2"/>
    <s v="2024-03-26"/>
    <x v="6"/>
    <x v="0"/>
    <x v="1"/>
    <x v="1"/>
    <s v="Completed"/>
    <n v="1"/>
    <n v="4"/>
    <n v="7161767.3447999991"/>
    <x v="1"/>
    <x v="1"/>
    <x v="1"/>
    <x v="1"/>
  </r>
  <r>
    <x v="174"/>
    <s v="Samuel Eze"/>
    <s v="Male"/>
    <x v="19"/>
    <x v="0"/>
    <x v="82"/>
    <n v="29133"/>
    <n v="10779210"/>
    <s v="Benue"/>
    <x v="2"/>
    <s v="Kaduna"/>
    <x v="0"/>
    <x v="4"/>
    <s v="Agent A"/>
    <x v="1"/>
    <n v="3291640"/>
    <n v="24"/>
    <n v="3.75"/>
    <n v="3.7499999999999999E-2"/>
    <s v="2024-09-02"/>
    <x v="5"/>
    <x v="0"/>
    <x v="1"/>
    <x v="1"/>
    <s v="Completed"/>
    <n v="1"/>
    <n v="22"/>
    <n v="10374989.625"/>
    <x v="0"/>
    <x v="0"/>
    <x v="0"/>
    <x v="2"/>
  </r>
  <r>
    <x v="175"/>
    <s v="Ibrahim Okafor"/>
    <s v="Female"/>
    <x v="37"/>
    <x v="0"/>
    <x v="8"/>
    <n v="6915"/>
    <n v="6562335"/>
    <s v="Abia"/>
    <x v="1"/>
    <s v="Kano"/>
    <x v="2"/>
    <x v="1"/>
    <s v="Agent B"/>
    <x v="0"/>
    <n v="6562335"/>
    <n v="0"/>
    <n v="3.38"/>
    <n v="3.3799999999999997E-2"/>
    <s v="2024-11-10"/>
    <x v="2"/>
    <x v="0"/>
    <x v="0"/>
    <x v="2"/>
    <s v="Pending"/>
    <n v="2"/>
    <n v="13"/>
    <n v="6340528.0769999996"/>
    <x v="1"/>
    <x v="0"/>
    <x v="1"/>
    <x v="0"/>
  </r>
  <r>
    <x v="176"/>
    <s v="Samuel Effiong"/>
    <s v="Female"/>
    <x v="18"/>
    <x v="0"/>
    <x v="154"/>
    <n v="49839"/>
    <n v="46798821"/>
    <s v="Nasarawa"/>
    <x v="2"/>
    <s v="Uyo"/>
    <x v="1"/>
    <x v="2"/>
    <s v="Agent D"/>
    <x v="1"/>
    <n v="13535164"/>
    <n v="12"/>
    <n v="0.96"/>
    <n v="9.5999999999999992E-3"/>
    <s v="2024-07-20"/>
    <x v="10"/>
    <x v="0"/>
    <x v="0"/>
    <x v="1"/>
    <s v="Cancelled"/>
    <n v="5"/>
    <n v="31"/>
    <n v="46349552.318399996"/>
    <x v="2"/>
    <x v="0"/>
    <x v="2"/>
    <x v="0"/>
  </r>
  <r>
    <x v="177"/>
    <s v="Ibrahim Sani"/>
    <s v="Female"/>
    <x v="17"/>
    <x v="1"/>
    <x v="126"/>
    <n v="13195"/>
    <n v="5423145"/>
    <s v="Anambra"/>
    <x v="1"/>
    <s v="Lagos"/>
    <x v="2"/>
    <x v="1"/>
    <s v="Agent B"/>
    <x v="1"/>
    <n v="1855102"/>
    <n v="3"/>
    <n v="1.1599999999999999"/>
    <n v="1.1599999999999999E-2"/>
    <s v="2024-07-22"/>
    <x v="10"/>
    <x v="0"/>
    <x v="1"/>
    <x v="1"/>
    <s v="Pending"/>
    <n v="2"/>
    <n v="29"/>
    <n v="5360236.5180000002"/>
    <x v="1"/>
    <x v="0"/>
    <x v="1"/>
    <x v="2"/>
  </r>
  <r>
    <x v="178"/>
    <s v="Chinedu Adeyemi"/>
    <s v="Male"/>
    <x v="17"/>
    <x v="1"/>
    <x v="32"/>
    <n v="19262"/>
    <n v="13021112"/>
    <s v="Ogun"/>
    <x v="5"/>
    <s v="Warri"/>
    <x v="1"/>
    <x v="3"/>
    <s v="Agent D"/>
    <x v="0"/>
    <n v="13021112"/>
    <n v="0"/>
    <n v="8.3699999999999992"/>
    <n v="8.3699999999999997E-2"/>
    <s v="2024-10-15"/>
    <x v="4"/>
    <x v="0"/>
    <x v="3"/>
    <x v="0"/>
    <s v="Completed"/>
    <n v="4"/>
    <n v="34"/>
    <n v="11931244.9256"/>
    <x v="0"/>
    <x v="1"/>
    <x v="0"/>
    <x v="1"/>
  </r>
  <r>
    <x v="179"/>
    <s v="Chinedu Effiong"/>
    <s v="Male"/>
    <x v="5"/>
    <x v="2"/>
    <x v="155"/>
    <n v="17443"/>
    <n v="13710198"/>
    <s v="Plateau"/>
    <x v="2"/>
    <s v="Warri"/>
    <x v="0"/>
    <x v="0"/>
    <s v="Agent B"/>
    <x v="1"/>
    <n v="3066786"/>
    <n v="12"/>
    <n v="9.0299999999999994"/>
    <n v="9.0299999999999991E-2"/>
    <s v="2024-12-31"/>
    <x v="3"/>
    <x v="0"/>
    <x v="3"/>
    <x v="2"/>
    <s v="Completed"/>
    <n v="4"/>
    <n v="6"/>
    <n v="12472167.1206"/>
    <x v="0"/>
    <x v="1"/>
    <x v="0"/>
    <x v="0"/>
  </r>
  <r>
    <x v="180"/>
    <s v="Amina Obi"/>
    <s v="Female"/>
    <x v="8"/>
    <x v="2"/>
    <x v="156"/>
    <n v="11691"/>
    <n v="9843822"/>
    <s v="Bauchi"/>
    <x v="0"/>
    <s v="Port Harcourt"/>
    <x v="1"/>
    <x v="3"/>
    <s v="Agent D"/>
    <x v="1"/>
    <n v="4658504"/>
    <n v="12"/>
    <n v="9.14"/>
    <n v="9.1400000000000009E-2"/>
    <s v="2024-02-04"/>
    <x v="0"/>
    <x v="0"/>
    <x v="0"/>
    <x v="0"/>
    <s v="Cancelled"/>
    <n v="5"/>
    <n v="34"/>
    <n v="8944096.6691999994"/>
    <x v="1"/>
    <x v="1"/>
    <x v="1"/>
    <x v="0"/>
  </r>
  <r>
    <x v="181"/>
    <s v="Amina Abdullahi"/>
    <s v="Female"/>
    <x v="28"/>
    <x v="2"/>
    <x v="157"/>
    <n v="11712"/>
    <n v="4134336"/>
    <s v="FCT"/>
    <x v="2"/>
    <s v="Kaduna"/>
    <x v="1"/>
    <x v="1"/>
    <s v="Agent E"/>
    <x v="0"/>
    <n v="4134336"/>
    <n v="0"/>
    <n v="9.25"/>
    <n v="9.2499999999999999E-2"/>
    <s v="2024-10-15"/>
    <x v="4"/>
    <x v="0"/>
    <x v="2"/>
    <x v="2"/>
    <s v="Completed"/>
    <n v="3"/>
    <n v="26"/>
    <n v="3751909.92"/>
    <x v="1"/>
    <x v="1"/>
    <x v="1"/>
    <x v="2"/>
  </r>
  <r>
    <x v="182"/>
    <s v="Blessing Okafor"/>
    <s v="Female"/>
    <x v="11"/>
    <x v="2"/>
    <x v="158"/>
    <n v="47459"/>
    <n v="42570723"/>
    <s v="Ebonyi"/>
    <x v="1"/>
    <s v="Calabar"/>
    <x v="0"/>
    <x v="4"/>
    <s v="Agent C"/>
    <x v="1"/>
    <n v="13568900"/>
    <n v="3"/>
    <n v="8.7899999999999991"/>
    <n v="8.7899999999999992E-2"/>
    <s v="2024-12-19"/>
    <x v="3"/>
    <x v="0"/>
    <x v="1"/>
    <x v="1"/>
    <s v="Pending"/>
    <n v="1"/>
    <n v="15"/>
    <n v="38828756.448300004"/>
    <x v="2"/>
    <x v="1"/>
    <x v="2"/>
    <x v="0"/>
  </r>
  <r>
    <x v="183"/>
    <s v="Blessing Obi"/>
    <s v="Female"/>
    <x v="33"/>
    <x v="2"/>
    <x v="58"/>
    <n v="23028"/>
    <n v="22843776"/>
    <s v="Enugu"/>
    <x v="1"/>
    <s v="Warri"/>
    <x v="0"/>
    <x v="3"/>
    <s v="Agent B"/>
    <x v="1"/>
    <n v="8714758"/>
    <n v="24"/>
    <n v="0.89"/>
    <n v="8.8999999999999999E-3"/>
    <s v="2024-08-14"/>
    <x v="8"/>
    <x v="0"/>
    <x v="0"/>
    <x v="1"/>
    <s v="Cancelled"/>
    <n v="5"/>
    <n v="26"/>
    <n v="22640466.393599998"/>
    <x v="0"/>
    <x v="0"/>
    <x v="0"/>
    <x v="0"/>
  </r>
  <r>
    <x v="184"/>
    <s v="Chinedu Eze"/>
    <s v="Male"/>
    <x v="25"/>
    <x v="0"/>
    <x v="159"/>
    <n v="13386"/>
    <n v="3065394"/>
    <s v="Ebonyi"/>
    <x v="1"/>
    <s v="Calabar"/>
    <x v="1"/>
    <x v="0"/>
    <s v="Agent C"/>
    <x v="0"/>
    <n v="3065394"/>
    <n v="0"/>
    <n v="8.75"/>
    <n v="8.7499999999999994E-2"/>
    <s v="2024-04-12"/>
    <x v="9"/>
    <x v="0"/>
    <x v="1"/>
    <x v="1"/>
    <s v="Cancelled"/>
    <n v="4"/>
    <n v="41"/>
    <n v="2797172.0249999999"/>
    <x v="1"/>
    <x v="1"/>
    <x v="1"/>
    <x v="2"/>
  </r>
  <r>
    <x v="185"/>
    <s v="Grace Ogunleye"/>
    <s v="Female"/>
    <x v="35"/>
    <x v="2"/>
    <x v="160"/>
    <n v="26409"/>
    <n v="11804823"/>
    <s v="Ekiti"/>
    <x v="5"/>
    <s v="Lagos"/>
    <x v="2"/>
    <x v="2"/>
    <s v="Agent C"/>
    <x v="1"/>
    <n v="2989868"/>
    <n v="24"/>
    <n v="8.6999999999999993"/>
    <n v="8.6999999999999994E-2"/>
    <s v="2024-10-27"/>
    <x v="4"/>
    <x v="0"/>
    <x v="0"/>
    <x v="1"/>
    <s v="Completed"/>
    <n v="2"/>
    <n v="37"/>
    <n v="10777803.399"/>
    <x v="0"/>
    <x v="1"/>
    <x v="0"/>
    <x v="2"/>
  </r>
  <r>
    <x v="186"/>
    <s v="Chinedu Sani"/>
    <s v="Male"/>
    <x v="37"/>
    <x v="0"/>
    <x v="144"/>
    <n v="15548"/>
    <n v="13884364"/>
    <s v="Imo"/>
    <x v="1"/>
    <s v="Port Harcourt"/>
    <x v="2"/>
    <x v="2"/>
    <s v="Agent B"/>
    <x v="1"/>
    <n v="4914848"/>
    <n v="24"/>
    <n v="8.65"/>
    <n v="8.6500000000000007E-2"/>
    <s v="2024-12-15"/>
    <x v="3"/>
    <x v="0"/>
    <x v="1"/>
    <x v="0"/>
    <s v="Pending"/>
    <n v="3"/>
    <n v="28"/>
    <n v="12683366.514"/>
    <x v="0"/>
    <x v="1"/>
    <x v="0"/>
    <x v="0"/>
  </r>
  <r>
    <x v="187"/>
    <s v="Grace Ojo"/>
    <s v="Female"/>
    <x v="9"/>
    <x v="0"/>
    <x v="161"/>
    <n v="18514"/>
    <n v="12404380"/>
    <s v="Niger"/>
    <x v="2"/>
    <s v="Enugu"/>
    <x v="0"/>
    <x v="3"/>
    <s v="Agent C"/>
    <x v="0"/>
    <n v="12404380"/>
    <n v="0"/>
    <n v="4.67"/>
    <n v="4.6699999999999998E-2"/>
    <s v="2024-12-12"/>
    <x v="3"/>
    <x v="0"/>
    <x v="1"/>
    <x v="1"/>
    <s v="Cancelled"/>
    <n v="1"/>
    <n v="31"/>
    <n v="11825095.454"/>
    <x v="0"/>
    <x v="0"/>
    <x v="0"/>
    <x v="1"/>
  </r>
  <r>
    <x v="188"/>
    <s v="Musa Eze"/>
    <s v="Male"/>
    <x v="33"/>
    <x v="0"/>
    <x v="162"/>
    <n v="23308"/>
    <n v="19928340"/>
    <s v="Ogun"/>
    <x v="5"/>
    <s v="Ibadan"/>
    <x v="0"/>
    <x v="3"/>
    <s v="Agent D"/>
    <x v="1"/>
    <n v="7908280"/>
    <n v="12"/>
    <n v="9.52"/>
    <n v="9.5199999999999993E-2"/>
    <s v="2024-11-29"/>
    <x v="2"/>
    <x v="0"/>
    <x v="1"/>
    <x v="0"/>
    <s v="Completed"/>
    <n v="1"/>
    <n v="42"/>
    <n v="18031162.032000002"/>
    <x v="0"/>
    <x v="1"/>
    <x v="0"/>
    <x v="0"/>
  </r>
  <r>
    <x v="189"/>
    <s v="David Eze"/>
    <s v="Female"/>
    <x v="15"/>
    <x v="2"/>
    <x v="128"/>
    <n v="28515"/>
    <n v="17907420"/>
    <s v="Kogi"/>
    <x v="2"/>
    <s v="Ibadan"/>
    <x v="2"/>
    <x v="4"/>
    <s v="Agent B"/>
    <x v="1"/>
    <n v="6713619"/>
    <n v="3"/>
    <n v="9.9499999999999993"/>
    <n v="9.9499999999999991E-2"/>
    <s v="2024-04-07"/>
    <x v="9"/>
    <x v="0"/>
    <x v="3"/>
    <x v="1"/>
    <s v="Completed"/>
    <n v="4"/>
    <n v="9"/>
    <n v="16125631.709999999"/>
    <x v="0"/>
    <x v="1"/>
    <x v="0"/>
    <x v="1"/>
  </r>
  <r>
    <x v="190"/>
    <s v="Ngozi Ogunleye"/>
    <s v="Female"/>
    <x v="12"/>
    <x v="1"/>
    <x v="46"/>
    <n v="13997"/>
    <n v="13731057"/>
    <s v="Adamawa"/>
    <x v="0"/>
    <s v="Uyo"/>
    <x v="1"/>
    <x v="1"/>
    <s v="Agent A"/>
    <x v="1"/>
    <n v="3661744"/>
    <n v="3"/>
    <n v="2.23"/>
    <n v="2.23E-2"/>
    <s v="2024-06-06"/>
    <x v="1"/>
    <x v="0"/>
    <x v="2"/>
    <x v="2"/>
    <s v="Cancelled"/>
    <n v="5"/>
    <n v="38"/>
    <n v="13424854.4289"/>
    <x v="0"/>
    <x v="0"/>
    <x v="0"/>
    <x v="0"/>
  </r>
  <r>
    <x v="191"/>
    <s v="Grace Abdullahi"/>
    <s v="Female"/>
    <x v="13"/>
    <x v="0"/>
    <x v="163"/>
    <n v="34799"/>
    <n v="13884801"/>
    <s v="Kano"/>
    <x v="4"/>
    <s v="Warri"/>
    <x v="0"/>
    <x v="0"/>
    <s v="Agent C"/>
    <x v="0"/>
    <n v="13884801"/>
    <n v="0"/>
    <n v="8.67"/>
    <n v="8.6699999999999999E-2"/>
    <s v="2024-07-14"/>
    <x v="10"/>
    <x v="0"/>
    <x v="2"/>
    <x v="0"/>
    <s v="Pending"/>
    <n v="2"/>
    <n v="21"/>
    <n v="12680988.7533"/>
    <x v="0"/>
    <x v="1"/>
    <x v="0"/>
    <x v="2"/>
  </r>
  <r>
    <x v="192"/>
    <s v="Chinedu Sani"/>
    <s v="Female"/>
    <x v="42"/>
    <x v="0"/>
    <x v="164"/>
    <n v="23799"/>
    <n v="16635501"/>
    <s v="Yobe"/>
    <x v="0"/>
    <s v="Abuja"/>
    <x v="2"/>
    <x v="0"/>
    <s v="Agent D"/>
    <x v="0"/>
    <n v="16635501"/>
    <n v="0"/>
    <n v="3.13"/>
    <n v="3.1300000000000001E-2"/>
    <s v="2024-01-30"/>
    <x v="7"/>
    <x v="0"/>
    <x v="0"/>
    <x v="2"/>
    <s v="Cancelled"/>
    <n v="4"/>
    <n v="41"/>
    <n v="16114809.818700001"/>
    <x v="0"/>
    <x v="0"/>
    <x v="0"/>
    <x v="1"/>
  </r>
  <r>
    <x v="193"/>
    <s v="David Okafor"/>
    <s v="Female"/>
    <x v="33"/>
    <x v="0"/>
    <x v="99"/>
    <n v="27121"/>
    <n v="18659248"/>
    <s v="Benue"/>
    <x v="2"/>
    <s v="Kaduna"/>
    <x v="0"/>
    <x v="2"/>
    <s v="Agent B"/>
    <x v="0"/>
    <n v="18659248"/>
    <n v="0"/>
    <n v="0.38"/>
    <n v="3.8E-3"/>
    <s v="2024-04-12"/>
    <x v="9"/>
    <x v="0"/>
    <x v="3"/>
    <x v="0"/>
    <s v="Pending"/>
    <n v="3"/>
    <n v="9"/>
    <n v="18588342.8576"/>
    <x v="0"/>
    <x v="0"/>
    <x v="0"/>
    <x v="1"/>
  </r>
  <r>
    <x v="194"/>
    <s v="Musa Abdullahi"/>
    <s v="Female"/>
    <x v="33"/>
    <x v="1"/>
    <x v="165"/>
    <n v="22061"/>
    <n v="17692922"/>
    <s v="Osun"/>
    <x v="5"/>
    <s v="Uyo"/>
    <x v="2"/>
    <x v="4"/>
    <s v="Agent D"/>
    <x v="0"/>
    <n v="17692922"/>
    <n v="0"/>
    <n v="0.65"/>
    <n v="6.5000000000000006E-3"/>
    <s v="2024-01-24"/>
    <x v="7"/>
    <x v="0"/>
    <x v="3"/>
    <x v="1"/>
    <s v="Pending"/>
    <n v="3"/>
    <n v="49"/>
    <n v="17577918.006999999"/>
    <x v="0"/>
    <x v="0"/>
    <x v="0"/>
    <x v="0"/>
  </r>
  <r>
    <x v="195"/>
    <s v="Blessing Okafor"/>
    <s v="Male"/>
    <x v="5"/>
    <x v="2"/>
    <x v="166"/>
    <n v="16969"/>
    <n v="3716211"/>
    <s v="Imo"/>
    <x v="1"/>
    <s v="Kaduna"/>
    <x v="2"/>
    <x v="2"/>
    <s v="Agent D"/>
    <x v="0"/>
    <n v="3716211"/>
    <n v="0"/>
    <n v="7.27"/>
    <n v="7.2700000000000001E-2"/>
    <s v="2024-03-08"/>
    <x v="6"/>
    <x v="0"/>
    <x v="1"/>
    <x v="0"/>
    <s v="Cancelled"/>
    <n v="1"/>
    <n v="39"/>
    <n v="3446042.4602999999"/>
    <x v="1"/>
    <x v="1"/>
    <x v="1"/>
    <x v="2"/>
  </r>
  <r>
    <x v="196"/>
    <s v="Ibrahim Obi"/>
    <s v="Male"/>
    <x v="8"/>
    <x v="2"/>
    <x v="117"/>
    <n v="3293"/>
    <n v="2861617"/>
    <s v="Ekiti"/>
    <x v="5"/>
    <s v="Abuja"/>
    <x v="1"/>
    <x v="0"/>
    <s v="Agent B"/>
    <x v="0"/>
    <n v="2861617"/>
    <n v="0"/>
    <n v="6.9"/>
    <n v="6.9000000000000006E-2"/>
    <s v="2024-08-01"/>
    <x v="8"/>
    <x v="0"/>
    <x v="0"/>
    <x v="1"/>
    <s v="Pending"/>
    <n v="1"/>
    <n v="43"/>
    <n v="2664165.4270000001"/>
    <x v="1"/>
    <x v="1"/>
    <x v="1"/>
    <x v="0"/>
  </r>
  <r>
    <x v="197"/>
    <s v="Grace Ojo"/>
    <s v="Male"/>
    <x v="6"/>
    <x v="0"/>
    <x v="52"/>
    <n v="47922"/>
    <n v="39296040"/>
    <s v="Katsina"/>
    <x v="4"/>
    <s v="Calabar"/>
    <x v="0"/>
    <x v="1"/>
    <s v="Agent B"/>
    <x v="0"/>
    <n v="39296040"/>
    <n v="0"/>
    <n v="4.1900000000000004"/>
    <n v="4.1900000000000007E-2"/>
    <s v="2024-02-23"/>
    <x v="0"/>
    <x v="0"/>
    <x v="3"/>
    <x v="1"/>
    <s v="Cancelled"/>
    <n v="2"/>
    <n v="23"/>
    <n v="37649535.923999995"/>
    <x v="2"/>
    <x v="0"/>
    <x v="2"/>
    <x v="0"/>
  </r>
  <r>
    <x v="198"/>
    <s v="Chinedu Okafor"/>
    <s v="Male"/>
    <x v="5"/>
    <x v="1"/>
    <x v="167"/>
    <n v="4582"/>
    <n v="1667848"/>
    <s v="Bauchi"/>
    <x v="0"/>
    <s v="Ibadan"/>
    <x v="2"/>
    <x v="1"/>
    <s v="Agent B"/>
    <x v="1"/>
    <n v="677915"/>
    <n v="6"/>
    <n v="4.8099999999999996"/>
    <n v="4.8099999999999997E-2"/>
    <s v="2024-04-30"/>
    <x v="9"/>
    <x v="0"/>
    <x v="0"/>
    <x v="0"/>
    <s v="Completed"/>
    <n v="1"/>
    <n v="17"/>
    <n v="1587624.5111999998"/>
    <x v="1"/>
    <x v="0"/>
    <x v="1"/>
    <x v="2"/>
  </r>
  <r>
    <x v="199"/>
    <s v="Musa Ogunleye"/>
    <s v="Female"/>
    <x v="44"/>
    <x v="1"/>
    <x v="168"/>
    <n v="19309"/>
    <n v="9712427"/>
    <s v="Yobe"/>
    <x v="0"/>
    <s v="Warri"/>
    <x v="0"/>
    <x v="2"/>
    <s v="Agent A"/>
    <x v="1"/>
    <n v="2233301"/>
    <n v="3"/>
    <n v="1.75"/>
    <n v="1.7500000000000002E-2"/>
    <s v="2024-01-21"/>
    <x v="7"/>
    <x v="0"/>
    <x v="0"/>
    <x v="2"/>
    <s v="Cancelled"/>
    <n v="2"/>
    <n v="22"/>
    <n v="9542459.5274999999"/>
    <x v="1"/>
    <x v="0"/>
    <x v="1"/>
    <x v="1"/>
  </r>
  <r>
    <x v="200"/>
    <s v="Musa Obi"/>
    <s v="Female"/>
    <x v="28"/>
    <x v="1"/>
    <x v="169"/>
    <n v="8091"/>
    <n v="3835134"/>
    <s v="Akwa Ibom"/>
    <x v="3"/>
    <s v="Calabar"/>
    <x v="0"/>
    <x v="2"/>
    <s v="Agent B"/>
    <x v="1"/>
    <n v="977425"/>
    <n v="12"/>
    <n v="4.01"/>
    <n v="4.0099999999999997E-2"/>
    <s v="2024-08-21"/>
    <x v="8"/>
    <x v="0"/>
    <x v="0"/>
    <x v="2"/>
    <s v="Completed"/>
    <n v="4"/>
    <n v="38"/>
    <n v="3681345.1266000001"/>
    <x v="1"/>
    <x v="0"/>
    <x v="1"/>
    <x v="1"/>
  </r>
  <r>
    <x v="201"/>
    <s v="Samuel Okafor"/>
    <s v="Male"/>
    <x v="10"/>
    <x v="2"/>
    <x v="170"/>
    <n v="30715"/>
    <n v="27459210"/>
    <s v="Niger"/>
    <x v="2"/>
    <s v="Calabar"/>
    <x v="0"/>
    <x v="1"/>
    <s v="Agent D"/>
    <x v="0"/>
    <n v="27459210"/>
    <n v="0"/>
    <n v="6.11"/>
    <n v="6.1100000000000002E-2"/>
    <s v="2024-07-02"/>
    <x v="10"/>
    <x v="0"/>
    <x v="0"/>
    <x v="2"/>
    <s v="Pending"/>
    <n v="3"/>
    <n v="1"/>
    <n v="25781452.268999998"/>
    <x v="0"/>
    <x v="1"/>
    <x v="0"/>
    <x v="0"/>
  </r>
  <r>
    <x v="202"/>
    <s v="David Effiong"/>
    <s v="Male"/>
    <x v="44"/>
    <x v="1"/>
    <x v="171"/>
    <n v="39791"/>
    <n v="39194135"/>
    <s v="Taraba"/>
    <x v="0"/>
    <s v="Uyo"/>
    <x v="2"/>
    <x v="0"/>
    <s v="Agent D"/>
    <x v="0"/>
    <n v="39194135"/>
    <n v="0"/>
    <n v="9.7799999999999994"/>
    <n v="9.7799999999999998E-2"/>
    <s v="2024-12-08"/>
    <x v="3"/>
    <x v="0"/>
    <x v="1"/>
    <x v="0"/>
    <s v="Cancelled"/>
    <n v="4"/>
    <n v="10"/>
    <n v="35360948.597000003"/>
    <x v="2"/>
    <x v="1"/>
    <x v="2"/>
    <x v="0"/>
  </r>
  <r>
    <x v="203"/>
    <s v="Ibrahim Adeyemi"/>
    <s v="Male"/>
    <x v="39"/>
    <x v="2"/>
    <x v="6"/>
    <n v="44165"/>
    <n v="9318815"/>
    <s v="Kebbi"/>
    <x v="4"/>
    <s v="Lagos"/>
    <x v="0"/>
    <x v="4"/>
    <s v="Agent C"/>
    <x v="0"/>
    <n v="9318815"/>
    <n v="0"/>
    <n v="5.0599999999999996"/>
    <n v="5.0599999999999999E-2"/>
    <s v="2024-08-28"/>
    <x v="8"/>
    <x v="0"/>
    <x v="0"/>
    <x v="0"/>
    <s v="Completed"/>
    <n v="5"/>
    <n v="42"/>
    <n v="8847282.9610000011"/>
    <x v="1"/>
    <x v="1"/>
    <x v="1"/>
    <x v="2"/>
  </r>
  <r>
    <x v="204"/>
    <s v="Amina Sani"/>
    <s v="Male"/>
    <x v="43"/>
    <x v="2"/>
    <x v="172"/>
    <n v="32087"/>
    <n v="8984360"/>
    <s v="Benue"/>
    <x v="2"/>
    <s v="Port Harcourt"/>
    <x v="1"/>
    <x v="2"/>
    <s v="Agent E"/>
    <x v="1"/>
    <n v="2034113"/>
    <n v="24"/>
    <n v="4.9800000000000004"/>
    <n v="4.9800000000000004E-2"/>
    <s v="2024-06-10"/>
    <x v="1"/>
    <x v="0"/>
    <x v="0"/>
    <x v="2"/>
    <s v="Cancelled"/>
    <n v="5"/>
    <n v="41"/>
    <n v="8536938.8719999995"/>
    <x v="1"/>
    <x v="0"/>
    <x v="1"/>
    <x v="2"/>
  </r>
  <r>
    <x v="205"/>
    <s v="Ibrahim Ogunleye"/>
    <s v="Female"/>
    <x v="2"/>
    <x v="1"/>
    <x v="126"/>
    <n v="44899"/>
    <n v="18453489"/>
    <s v="Edo"/>
    <x v="3"/>
    <s v="Uyo"/>
    <x v="1"/>
    <x v="1"/>
    <s v="Agent A"/>
    <x v="1"/>
    <n v="5702179"/>
    <n v="12"/>
    <n v="0.54"/>
    <n v="5.4000000000000003E-3"/>
    <s v="2024-04-24"/>
    <x v="9"/>
    <x v="0"/>
    <x v="0"/>
    <x v="0"/>
    <s v="Completed"/>
    <n v="1"/>
    <n v="22"/>
    <n v="18353840.159400001"/>
    <x v="0"/>
    <x v="0"/>
    <x v="0"/>
    <x v="2"/>
  </r>
  <r>
    <x v="206"/>
    <s v="Ngozi Bello"/>
    <s v="Female"/>
    <x v="21"/>
    <x v="0"/>
    <x v="173"/>
    <n v="36208"/>
    <n v="27518080"/>
    <s v="Cross River"/>
    <x v="3"/>
    <s v="Ibadan"/>
    <x v="0"/>
    <x v="2"/>
    <s v="Agent D"/>
    <x v="1"/>
    <n v="5881534"/>
    <n v="3"/>
    <n v="1.64"/>
    <n v="1.6399999999999998E-2"/>
    <s v="2024-03-12"/>
    <x v="6"/>
    <x v="0"/>
    <x v="3"/>
    <x v="1"/>
    <s v="Completed"/>
    <n v="3"/>
    <n v="7"/>
    <n v="27066783.488000002"/>
    <x v="0"/>
    <x v="0"/>
    <x v="0"/>
    <x v="0"/>
  </r>
  <r>
    <x v="207"/>
    <s v="Grace Obi"/>
    <s v="Female"/>
    <x v="29"/>
    <x v="0"/>
    <x v="174"/>
    <n v="31524"/>
    <n v="10276824"/>
    <s v="FCT"/>
    <x v="2"/>
    <s v="Calabar"/>
    <x v="2"/>
    <x v="3"/>
    <s v="Agent B"/>
    <x v="1"/>
    <n v="5026975"/>
    <n v="6"/>
    <n v="0.04"/>
    <n v="4.0000000000000002E-4"/>
    <s v="2024-01-25"/>
    <x v="7"/>
    <x v="0"/>
    <x v="3"/>
    <x v="2"/>
    <s v="Pending"/>
    <n v="5"/>
    <n v="39"/>
    <n v="10272713.270400001"/>
    <x v="0"/>
    <x v="0"/>
    <x v="0"/>
    <x v="2"/>
  </r>
  <r>
    <x v="208"/>
    <s v="Musa Sani"/>
    <s v="Male"/>
    <x v="45"/>
    <x v="2"/>
    <x v="128"/>
    <n v="41911"/>
    <n v="26320108"/>
    <s v="Edo"/>
    <x v="3"/>
    <s v="Kaduna"/>
    <x v="2"/>
    <x v="3"/>
    <s v="Agent C"/>
    <x v="0"/>
    <n v="26320108"/>
    <n v="0"/>
    <n v="2.74"/>
    <n v="2.7400000000000001E-2"/>
    <s v="2024-06-24"/>
    <x v="1"/>
    <x v="0"/>
    <x v="1"/>
    <x v="0"/>
    <s v="Cancelled"/>
    <n v="5"/>
    <n v="41"/>
    <n v="25598937.040800001"/>
    <x v="0"/>
    <x v="0"/>
    <x v="0"/>
    <x v="1"/>
  </r>
  <r>
    <x v="209"/>
    <s v="Tunde Effiong"/>
    <s v="Female"/>
    <x v="2"/>
    <x v="0"/>
    <x v="175"/>
    <n v="48817"/>
    <n v="40957463"/>
    <s v="Imo"/>
    <x v="1"/>
    <s v="Port Harcourt"/>
    <x v="1"/>
    <x v="3"/>
    <s v="Agent D"/>
    <x v="1"/>
    <n v="19510396"/>
    <n v="12"/>
    <n v="1.33"/>
    <n v="1.3300000000000001E-2"/>
    <s v="2024-12-29"/>
    <x v="3"/>
    <x v="0"/>
    <x v="2"/>
    <x v="0"/>
    <s v="Cancelled"/>
    <n v="5"/>
    <n v="19"/>
    <n v="40412728.7421"/>
    <x v="2"/>
    <x v="0"/>
    <x v="2"/>
    <x v="0"/>
  </r>
  <r>
    <x v="210"/>
    <s v="Chinedu Eze"/>
    <s v="Female"/>
    <x v="35"/>
    <x v="2"/>
    <x v="176"/>
    <n v="8977"/>
    <n v="6598095"/>
    <s v="Niger"/>
    <x v="2"/>
    <s v="Lagos"/>
    <x v="2"/>
    <x v="4"/>
    <s v="Agent B"/>
    <x v="0"/>
    <n v="6598095"/>
    <n v="0"/>
    <n v="3.81"/>
    <n v="3.8100000000000002E-2"/>
    <s v="2024-01-28"/>
    <x v="7"/>
    <x v="0"/>
    <x v="0"/>
    <x v="0"/>
    <s v="Pending"/>
    <n v="2"/>
    <n v="49"/>
    <n v="6346707.5805000002"/>
    <x v="1"/>
    <x v="0"/>
    <x v="1"/>
    <x v="0"/>
  </r>
  <r>
    <x v="211"/>
    <s v="Ngozi Eze"/>
    <s v="Female"/>
    <x v="23"/>
    <x v="1"/>
    <x v="177"/>
    <n v="8716"/>
    <n v="5778708"/>
    <s v="Kano"/>
    <x v="4"/>
    <s v="Enugu"/>
    <x v="0"/>
    <x v="1"/>
    <s v="Agent D"/>
    <x v="0"/>
    <n v="5778708"/>
    <n v="0"/>
    <n v="7.42"/>
    <n v="7.4200000000000002E-2"/>
    <s v="2024-10-14"/>
    <x v="4"/>
    <x v="0"/>
    <x v="2"/>
    <x v="0"/>
    <s v="Pending"/>
    <n v="5"/>
    <n v="4"/>
    <n v="5349927.8663999997"/>
    <x v="1"/>
    <x v="1"/>
    <x v="1"/>
    <x v="1"/>
  </r>
  <r>
    <x v="212"/>
    <s v="David Ojo"/>
    <s v="Male"/>
    <x v="40"/>
    <x v="2"/>
    <x v="178"/>
    <n v="42669"/>
    <n v="17366283"/>
    <s v="Ekiti"/>
    <x v="5"/>
    <s v="Ibadan"/>
    <x v="1"/>
    <x v="0"/>
    <s v="Agent A"/>
    <x v="1"/>
    <n v="8221996"/>
    <n v="6"/>
    <n v="7.05"/>
    <n v="7.0499999999999993E-2"/>
    <s v="2024-11-27"/>
    <x v="2"/>
    <x v="0"/>
    <x v="3"/>
    <x v="2"/>
    <s v="Cancelled"/>
    <n v="5"/>
    <n v="8"/>
    <n v="16141960.0485"/>
    <x v="0"/>
    <x v="1"/>
    <x v="0"/>
    <x v="2"/>
  </r>
  <r>
    <x v="213"/>
    <s v="David Sani"/>
    <s v="Male"/>
    <x v="0"/>
    <x v="0"/>
    <x v="19"/>
    <n v="38477"/>
    <n v="18661345"/>
    <s v="FCT"/>
    <x v="2"/>
    <s v="Kaduna"/>
    <x v="1"/>
    <x v="3"/>
    <s v="Agent A"/>
    <x v="1"/>
    <n v="4633214"/>
    <n v="6"/>
    <n v="8.4600000000000009"/>
    <n v="8.4600000000000009E-2"/>
    <s v="2024-01-03"/>
    <x v="7"/>
    <x v="0"/>
    <x v="1"/>
    <x v="1"/>
    <s v="Cancelled"/>
    <n v="5"/>
    <n v="23"/>
    <n v="17082595.213"/>
    <x v="0"/>
    <x v="1"/>
    <x v="0"/>
    <x v="1"/>
  </r>
  <r>
    <x v="214"/>
    <s v="Tunde Obi"/>
    <s v="Female"/>
    <x v="17"/>
    <x v="2"/>
    <x v="179"/>
    <n v="16415"/>
    <n v="12114270"/>
    <s v="Ekiti"/>
    <x v="5"/>
    <s v="Enugu"/>
    <x v="0"/>
    <x v="0"/>
    <s v="Agent C"/>
    <x v="0"/>
    <n v="12114270"/>
    <n v="0"/>
    <n v="5.21"/>
    <n v="5.21E-2"/>
    <s v="2024-09-15"/>
    <x v="5"/>
    <x v="0"/>
    <x v="1"/>
    <x v="1"/>
    <s v="Pending"/>
    <n v="2"/>
    <n v="49"/>
    <n v="11483116.533"/>
    <x v="0"/>
    <x v="1"/>
    <x v="0"/>
    <x v="0"/>
  </r>
  <r>
    <x v="215"/>
    <s v="Ibrahim Eze"/>
    <s v="Male"/>
    <x v="0"/>
    <x v="1"/>
    <x v="180"/>
    <n v="44552"/>
    <n v="34483248"/>
    <s v="Kebbi"/>
    <x v="4"/>
    <s v="Warri"/>
    <x v="1"/>
    <x v="1"/>
    <s v="Agent A"/>
    <x v="0"/>
    <n v="34483248"/>
    <n v="0"/>
    <n v="1.1499999999999999"/>
    <n v="1.15E-2"/>
    <s v="2024-06-26"/>
    <x v="1"/>
    <x v="0"/>
    <x v="2"/>
    <x v="1"/>
    <s v="Cancelled"/>
    <n v="3"/>
    <n v="2"/>
    <n v="34086690.648000002"/>
    <x v="2"/>
    <x v="0"/>
    <x v="2"/>
    <x v="0"/>
  </r>
  <r>
    <x v="216"/>
    <s v="David Effiong"/>
    <s v="Male"/>
    <x v="43"/>
    <x v="0"/>
    <x v="181"/>
    <n v="35340"/>
    <n v="25656840"/>
    <s v="Jigawa"/>
    <x v="4"/>
    <s v="Enugu"/>
    <x v="2"/>
    <x v="3"/>
    <s v="Agent A"/>
    <x v="1"/>
    <n v="5468897"/>
    <n v="24"/>
    <n v="8.98"/>
    <n v="8.9800000000000005E-2"/>
    <s v="2024-04-08"/>
    <x v="9"/>
    <x v="0"/>
    <x v="0"/>
    <x v="2"/>
    <s v="Cancelled"/>
    <n v="2"/>
    <n v="44"/>
    <n v="23352855.767999999"/>
    <x v="0"/>
    <x v="1"/>
    <x v="0"/>
    <x v="1"/>
  </r>
  <r>
    <x v="217"/>
    <s v="David Okafor"/>
    <s v="Male"/>
    <x v="27"/>
    <x v="0"/>
    <x v="182"/>
    <n v="37242"/>
    <n v="15269220"/>
    <s v="Niger"/>
    <x v="2"/>
    <s v="Abuja"/>
    <x v="0"/>
    <x v="4"/>
    <s v="Agent E"/>
    <x v="1"/>
    <n v="6475176"/>
    <n v="3"/>
    <n v="1.54"/>
    <n v="1.54E-2"/>
    <s v="2024-08-23"/>
    <x v="8"/>
    <x v="0"/>
    <x v="0"/>
    <x v="0"/>
    <s v="Completed"/>
    <n v="3"/>
    <n v="27"/>
    <n v="15034074.012"/>
    <x v="0"/>
    <x v="0"/>
    <x v="0"/>
    <x v="2"/>
  </r>
  <r>
    <x v="218"/>
    <s v="Grace Okafor"/>
    <s v="Male"/>
    <x v="9"/>
    <x v="0"/>
    <x v="183"/>
    <n v="22735"/>
    <n v="14618605"/>
    <s v="Benue"/>
    <x v="2"/>
    <s v="Kaduna"/>
    <x v="2"/>
    <x v="2"/>
    <s v="Agent C"/>
    <x v="0"/>
    <n v="14618605"/>
    <n v="0"/>
    <n v="3.9"/>
    <n v="3.9E-2"/>
    <s v="2024-03-01"/>
    <x v="6"/>
    <x v="0"/>
    <x v="0"/>
    <x v="1"/>
    <s v="Cancelled"/>
    <n v="3"/>
    <n v="39"/>
    <n v="14048479.404999999"/>
    <x v="0"/>
    <x v="0"/>
    <x v="0"/>
    <x v="1"/>
  </r>
  <r>
    <x v="219"/>
    <s v="Blessing Adeyemi"/>
    <s v="Female"/>
    <x v="3"/>
    <x v="2"/>
    <x v="184"/>
    <n v="27894"/>
    <n v="16457460"/>
    <s v="Ogun"/>
    <x v="5"/>
    <s v="Warri"/>
    <x v="2"/>
    <x v="0"/>
    <s v="Agent C"/>
    <x v="0"/>
    <n v="16457460"/>
    <n v="0"/>
    <n v="4.74"/>
    <n v="4.7400000000000005E-2"/>
    <s v="2024-09-30"/>
    <x v="5"/>
    <x v="0"/>
    <x v="1"/>
    <x v="2"/>
    <s v="Cancelled"/>
    <n v="5"/>
    <n v="10"/>
    <n v="15677376.396"/>
    <x v="0"/>
    <x v="0"/>
    <x v="0"/>
    <x v="1"/>
  </r>
  <r>
    <x v="220"/>
    <s v="Blessing Obi"/>
    <s v="Male"/>
    <x v="35"/>
    <x v="0"/>
    <x v="155"/>
    <n v="41102"/>
    <n v="32306172"/>
    <s v="Lagos"/>
    <x v="5"/>
    <s v="Lagos"/>
    <x v="0"/>
    <x v="3"/>
    <s v="Agent C"/>
    <x v="1"/>
    <n v="9414256"/>
    <n v="3"/>
    <n v="7.48"/>
    <n v="7.4800000000000005E-2"/>
    <s v="2024-06-25"/>
    <x v="1"/>
    <x v="0"/>
    <x v="3"/>
    <x v="2"/>
    <s v="Completed"/>
    <n v="5"/>
    <n v="4"/>
    <n v="29889670.334400002"/>
    <x v="0"/>
    <x v="1"/>
    <x v="0"/>
    <x v="0"/>
  </r>
  <r>
    <x v="221"/>
    <s v="Samuel Sani"/>
    <s v="Female"/>
    <x v="14"/>
    <x v="0"/>
    <x v="185"/>
    <n v="21048"/>
    <n v="5767152"/>
    <s v="Sokoto"/>
    <x v="4"/>
    <s v="Uyo"/>
    <x v="2"/>
    <x v="0"/>
    <s v="Agent A"/>
    <x v="0"/>
    <n v="5767152"/>
    <n v="0"/>
    <n v="2.5099999999999998"/>
    <n v="2.5099999999999997E-2"/>
    <s v="2024-04-11"/>
    <x v="9"/>
    <x v="0"/>
    <x v="1"/>
    <x v="0"/>
    <s v="Completed"/>
    <n v="2"/>
    <n v="21"/>
    <n v="5622396.4847999997"/>
    <x v="1"/>
    <x v="0"/>
    <x v="1"/>
    <x v="2"/>
  </r>
  <r>
    <x v="222"/>
    <s v="Ngozi Adeyemi"/>
    <s v="Male"/>
    <x v="20"/>
    <x v="0"/>
    <x v="186"/>
    <n v="45215"/>
    <n v="37573665"/>
    <s v="Benue"/>
    <x v="2"/>
    <s v="Enugu"/>
    <x v="0"/>
    <x v="1"/>
    <s v="Agent C"/>
    <x v="1"/>
    <n v="13889692"/>
    <n v="6"/>
    <n v="3.64"/>
    <n v="3.6400000000000002E-2"/>
    <s v="2024-06-10"/>
    <x v="1"/>
    <x v="0"/>
    <x v="1"/>
    <x v="2"/>
    <s v="Cancelled"/>
    <n v="3"/>
    <n v="31"/>
    <n v="36205983.593999997"/>
    <x v="2"/>
    <x v="0"/>
    <x v="2"/>
    <x v="0"/>
  </r>
  <r>
    <x v="223"/>
    <s v="Tunde Effiong"/>
    <s v="Male"/>
    <x v="12"/>
    <x v="1"/>
    <x v="94"/>
    <n v="22019"/>
    <n v="21864867"/>
    <s v="Benue"/>
    <x v="2"/>
    <s v="Enugu"/>
    <x v="2"/>
    <x v="2"/>
    <s v="Agent A"/>
    <x v="1"/>
    <n v="5525931"/>
    <n v="3"/>
    <n v="6.07"/>
    <n v="6.0700000000000004E-2"/>
    <s v="2024-05-23"/>
    <x v="11"/>
    <x v="0"/>
    <x v="0"/>
    <x v="0"/>
    <s v="Cancelled"/>
    <n v="1"/>
    <n v="38"/>
    <n v="20537669.573100001"/>
    <x v="0"/>
    <x v="1"/>
    <x v="0"/>
    <x v="0"/>
  </r>
  <r>
    <x v="224"/>
    <s v="Blessing Ojo"/>
    <s v="Female"/>
    <x v="45"/>
    <x v="2"/>
    <x v="187"/>
    <n v="4402"/>
    <n v="1835634"/>
    <s v="Sokoto"/>
    <x v="4"/>
    <s v="Calabar"/>
    <x v="2"/>
    <x v="3"/>
    <s v="Agent A"/>
    <x v="1"/>
    <n v="727228"/>
    <n v="24"/>
    <n v="1.49"/>
    <n v="1.49E-2"/>
    <s v="2024-07-19"/>
    <x v="10"/>
    <x v="0"/>
    <x v="2"/>
    <x v="1"/>
    <s v="Cancelled"/>
    <n v="1"/>
    <n v="43"/>
    <n v="1808283.0533999999"/>
    <x v="1"/>
    <x v="0"/>
    <x v="1"/>
    <x v="2"/>
  </r>
  <r>
    <x v="225"/>
    <s v="Samuel Ojo"/>
    <s v="Male"/>
    <x v="10"/>
    <x v="2"/>
    <x v="188"/>
    <n v="35694"/>
    <n v="34801650"/>
    <s v="Ebonyi"/>
    <x v="1"/>
    <s v="Kano"/>
    <x v="0"/>
    <x v="0"/>
    <s v="Agent D"/>
    <x v="0"/>
    <n v="34801650"/>
    <n v="0"/>
    <n v="4.46"/>
    <n v="4.4600000000000001E-2"/>
    <s v="2024-04-01"/>
    <x v="9"/>
    <x v="0"/>
    <x v="3"/>
    <x v="2"/>
    <s v="Pending"/>
    <n v="3"/>
    <n v="15"/>
    <n v="33249496.41"/>
    <x v="2"/>
    <x v="0"/>
    <x v="2"/>
    <x v="0"/>
  </r>
  <r>
    <x v="226"/>
    <s v="David Bello"/>
    <s v="Female"/>
    <x v="12"/>
    <x v="1"/>
    <x v="189"/>
    <n v="25674"/>
    <n v="18742020"/>
    <s v="Ekiti"/>
    <x v="5"/>
    <s v="Port Harcourt"/>
    <x v="2"/>
    <x v="3"/>
    <s v="Agent B"/>
    <x v="1"/>
    <n v="8909405"/>
    <n v="24"/>
    <n v="8.82"/>
    <n v="8.8200000000000001E-2"/>
    <s v="2024-01-21"/>
    <x v="7"/>
    <x v="0"/>
    <x v="2"/>
    <x v="0"/>
    <s v="Pending"/>
    <n v="3"/>
    <n v="38"/>
    <n v="17088973.835999999"/>
    <x v="0"/>
    <x v="1"/>
    <x v="0"/>
    <x v="0"/>
  </r>
  <r>
    <x v="227"/>
    <s v="David Sani"/>
    <s v="Female"/>
    <x v="7"/>
    <x v="0"/>
    <x v="190"/>
    <n v="26663"/>
    <n v="12184991"/>
    <s v="Borno"/>
    <x v="0"/>
    <s v="Uyo"/>
    <x v="2"/>
    <x v="0"/>
    <s v="Agent D"/>
    <x v="0"/>
    <n v="12184991"/>
    <n v="0"/>
    <n v="5.16"/>
    <n v="5.16E-2"/>
    <s v="2024-06-29"/>
    <x v="1"/>
    <x v="0"/>
    <x v="3"/>
    <x v="2"/>
    <s v="Completed"/>
    <n v="5"/>
    <n v="42"/>
    <n v="11556245.464400001"/>
    <x v="0"/>
    <x v="1"/>
    <x v="0"/>
    <x v="2"/>
  </r>
  <r>
    <x v="228"/>
    <s v="Amina Sani"/>
    <s v="Female"/>
    <x v="10"/>
    <x v="0"/>
    <x v="191"/>
    <n v="12312"/>
    <n v="4813992"/>
    <s v="Delta"/>
    <x v="3"/>
    <s v="Kano"/>
    <x v="2"/>
    <x v="0"/>
    <s v="Agent D"/>
    <x v="1"/>
    <n v="1917571"/>
    <n v="3"/>
    <n v="4.1500000000000004"/>
    <n v="4.1500000000000002E-2"/>
    <s v="2024-06-18"/>
    <x v="1"/>
    <x v="0"/>
    <x v="0"/>
    <x v="2"/>
    <s v="Completed"/>
    <n v="2"/>
    <n v="37"/>
    <n v="4614211.3320000004"/>
    <x v="1"/>
    <x v="0"/>
    <x v="1"/>
    <x v="2"/>
  </r>
  <r>
    <x v="229"/>
    <s v="Chinedu Adeyemi"/>
    <s v="Female"/>
    <x v="36"/>
    <x v="1"/>
    <x v="192"/>
    <n v="35596"/>
    <n v="30043024"/>
    <s v="Kaduna"/>
    <x v="4"/>
    <s v="Kano"/>
    <x v="1"/>
    <x v="3"/>
    <s v="Agent E"/>
    <x v="0"/>
    <n v="30043024"/>
    <n v="0"/>
    <n v="8.91"/>
    <n v="8.9099999999999999E-2"/>
    <s v="2024-03-16"/>
    <x v="6"/>
    <x v="0"/>
    <x v="0"/>
    <x v="0"/>
    <s v="Cancelled"/>
    <n v="3"/>
    <n v="6"/>
    <n v="27366190.5616"/>
    <x v="0"/>
    <x v="1"/>
    <x v="0"/>
    <x v="0"/>
  </r>
  <r>
    <x v="230"/>
    <s v="Samuel Adeyemi"/>
    <s v="Male"/>
    <x v="21"/>
    <x v="1"/>
    <x v="95"/>
    <n v="33566"/>
    <n v="22892012"/>
    <s v="Abia"/>
    <x v="1"/>
    <s v="Calabar"/>
    <x v="2"/>
    <x v="4"/>
    <s v="Agent B"/>
    <x v="0"/>
    <n v="22892012"/>
    <n v="0"/>
    <n v="2.19"/>
    <n v="2.1899999999999999E-2"/>
    <s v="2024-07-29"/>
    <x v="10"/>
    <x v="0"/>
    <x v="1"/>
    <x v="1"/>
    <s v="Cancelled"/>
    <n v="5"/>
    <n v="5"/>
    <n v="22390676.937199999"/>
    <x v="0"/>
    <x v="0"/>
    <x v="0"/>
    <x v="1"/>
  </r>
  <r>
    <x v="231"/>
    <s v="Ngozi Adeyemi"/>
    <s v="Male"/>
    <x v="36"/>
    <x v="2"/>
    <x v="193"/>
    <n v="9115"/>
    <n v="3053525"/>
    <s v="Abia"/>
    <x v="1"/>
    <s v="Kaduna"/>
    <x v="2"/>
    <x v="3"/>
    <s v="Agent A"/>
    <x v="0"/>
    <n v="3053525"/>
    <n v="0"/>
    <n v="2.02"/>
    <n v="2.0199999999999999E-2"/>
    <s v="2024-09-15"/>
    <x v="5"/>
    <x v="0"/>
    <x v="0"/>
    <x v="2"/>
    <s v="Pending"/>
    <n v="2"/>
    <n v="39"/>
    <n v="2991843.7949999999"/>
    <x v="1"/>
    <x v="0"/>
    <x v="1"/>
    <x v="2"/>
  </r>
  <r>
    <x v="232"/>
    <s v="Ngozi Eze"/>
    <s v="Female"/>
    <x v="38"/>
    <x v="2"/>
    <x v="94"/>
    <n v="46470"/>
    <n v="46144710"/>
    <s v="Jigawa"/>
    <x v="4"/>
    <s v="Lagos"/>
    <x v="2"/>
    <x v="3"/>
    <s v="Agent A"/>
    <x v="1"/>
    <n v="14356230"/>
    <n v="24"/>
    <n v="0.43"/>
    <n v="4.3E-3"/>
    <s v="2024-09-28"/>
    <x v="5"/>
    <x v="0"/>
    <x v="2"/>
    <x v="2"/>
    <s v="Pending"/>
    <n v="4"/>
    <n v="50"/>
    <n v="45946287.747000001"/>
    <x v="2"/>
    <x v="0"/>
    <x v="2"/>
    <x v="0"/>
  </r>
  <r>
    <x v="233"/>
    <s v="Samuel Effiong"/>
    <s v="Male"/>
    <x v="33"/>
    <x v="0"/>
    <x v="194"/>
    <n v="37633"/>
    <n v="30557996"/>
    <s v="Anambra"/>
    <x v="1"/>
    <s v="Ibadan"/>
    <x v="1"/>
    <x v="0"/>
    <s v="Agent C"/>
    <x v="1"/>
    <n v="7844430"/>
    <n v="12"/>
    <n v="7.09"/>
    <n v="7.0900000000000005E-2"/>
    <s v="2024-01-04"/>
    <x v="7"/>
    <x v="0"/>
    <x v="2"/>
    <x v="1"/>
    <s v="Completed"/>
    <n v="2"/>
    <n v="28"/>
    <n v="28391434.0836"/>
    <x v="0"/>
    <x v="1"/>
    <x v="0"/>
    <x v="0"/>
  </r>
  <r>
    <x v="234"/>
    <s v="Blessing Obi"/>
    <s v="Female"/>
    <x v="36"/>
    <x v="2"/>
    <x v="195"/>
    <n v="37134"/>
    <n v="17341578"/>
    <s v="Gombe"/>
    <x v="0"/>
    <s v="Ibadan"/>
    <x v="2"/>
    <x v="3"/>
    <s v="Agent D"/>
    <x v="1"/>
    <n v="6651609"/>
    <n v="12"/>
    <n v="9.92"/>
    <n v="9.9199999999999997E-2"/>
    <s v="2024-07-22"/>
    <x v="10"/>
    <x v="0"/>
    <x v="1"/>
    <x v="1"/>
    <s v="Cancelled"/>
    <n v="3"/>
    <n v="50"/>
    <n v="15621293.462400001"/>
    <x v="0"/>
    <x v="1"/>
    <x v="0"/>
    <x v="1"/>
  </r>
  <r>
    <x v="235"/>
    <s v="Tunde Bello"/>
    <s v="Male"/>
    <x v="29"/>
    <x v="2"/>
    <x v="196"/>
    <n v="9804"/>
    <n v="8578500"/>
    <s v="Bauchi"/>
    <x v="0"/>
    <s v="Kano"/>
    <x v="1"/>
    <x v="3"/>
    <s v="Agent E"/>
    <x v="0"/>
    <n v="8578500"/>
    <n v="0"/>
    <n v="4.47"/>
    <n v="4.4699999999999997E-2"/>
    <s v="2024-12-24"/>
    <x v="3"/>
    <x v="0"/>
    <x v="0"/>
    <x v="2"/>
    <s v="Pending"/>
    <n v="1"/>
    <n v="6"/>
    <n v="8195041.0500000007"/>
    <x v="1"/>
    <x v="0"/>
    <x v="1"/>
    <x v="0"/>
  </r>
  <r>
    <x v="236"/>
    <s v="Amina Ojo"/>
    <s v="Male"/>
    <x v="38"/>
    <x v="2"/>
    <x v="197"/>
    <n v="7776"/>
    <n v="5015520"/>
    <s v="Abia"/>
    <x v="1"/>
    <s v="Calabar"/>
    <x v="2"/>
    <x v="3"/>
    <s v="Agent C"/>
    <x v="0"/>
    <n v="5015520"/>
    <n v="0"/>
    <n v="2.63"/>
    <n v="2.63E-2"/>
    <s v="2024-07-08"/>
    <x v="10"/>
    <x v="0"/>
    <x v="0"/>
    <x v="2"/>
    <s v="Cancelled"/>
    <n v="4"/>
    <n v="29"/>
    <n v="4883611.824"/>
    <x v="1"/>
    <x v="0"/>
    <x v="1"/>
    <x v="1"/>
  </r>
  <r>
    <x v="237"/>
    <s v="Grace Eze"/>
    <s v="Male"/>
    <x v="34"/>
    <x v="0"/>
    <x v="198"/>
    <n v="14762"/>
    <n v="7262904"/>
    <s v="Oyo"/>
    <x v="5"/>
    <s v="Uyo"/>
    <x v="1"/>
    <x v="0"/>
    <s v="Agent A"/>
    <x v="0"/>
    <n v="7262904"/>
    <n v="0"/>
    <n v="7.84"/>
    <n v="7.8399999999999997E-2"/>
    <s v="2024-09-18"/>
    <x v="5"/>
    <x v="0"/>
    <x v="3"/>
    <x v="2"/>
    <s v="Pending"/>
    <n v="4"/>
    <n v="23"/>
    <n v="6693492.3263999997"/>
    <x v="1"/>
    <x v="1"/>
    <x v="1"/>
    <x v="1"/>
  </r>
  <r>
    <x v="238"/>
    <s v="Amina Effiong"/>
    <s v="Female"/>
    <x v="8"/>
    <x v="1"/>
    <x v="199"/>
    <n v="15127"/>
    <n v="12101600"/>
    <s v="Bauchi"/>
    <x v="0"/>
    <s v="Kaduna"/>
    <x v="1"/>
    <x v="4"/>
    <s v="Agent C"/>
    <x v="0"/>
    <n v="12101600"/>
    <n v="0"/>
    <n v="7.37"/>
    <n v="7.3700000000000002E-2"/>
    <s v="2024-02-05"/>
    <x v="0"/>
    <x v="0"/>
    <x v="3"/>
    <x v="0"/>
    <s v="Completed"/>
    <n v="4"/>
    <n v="26"/>
    <n v="11209712.08"/>
    <x v="0"/>
    <x v="1"/>
    <x v="0"/>
    <x v="0"/>
  </r>
  <r>
    <x v="239"/>
    <s v="Musa Ogunleye"/>
    <s v="Male"/>
    <x v="29"/>
    <x v="2"/>
    <x v="200"/>
    <n v="28681"/>
    <n v="10870099"/>
    <s v="Kano"/>
    <x v="4"/>
    <s v="Ibadan"/>
    <x v="2"/>
    <x v="3"/>
    <s v="Agent C"/>
    <x v="0"/>
    <n v="10870099"/>
    <n v="0"/>
    <n v="5.59"/>
    <n v="5.5899999999999998E-2"/>
    <s v="2024-09-14"/>
    <x v="5"/>
    <x v="0"/>
    <x v="2"/>
    <x v="1"/>
    <s v="Cancelled"/>
    <n v="4"/>
    <n v="50"/>
    <n v="10262460.4659"/>
    <x v="0"/>
    <x v="1"/>
    <x v="0"/>
    <x v="2"/>
  </r>
  <r>
    <x v="240"/>
    <s v="Amina Obi"/>
    <s v="Male"/>
    <x v="34"/>
    <x v="1"/>
    <x v="158"/>
    <n v="32193"/>
    <n v="28877121"/>
    <s v="Enugu"/>
    <x v="1"/>
    <s v="Warri"/>
    <x v="0"/>
    <x v="4"/>
    <s v="Agent D"/>
    <x v="0"/>
    <n v="28877121"/>
    <n v="0"/>
    <n v="4.82"/>
    <n v="4.82E-2"/>
    <s v="2024-05-12"/>
    <x v="11"/>
    <x v="0"/>
    <x v="1"/>
    <x v="0"/>
    <s v="Cancelled"/>
    <n v="1"/>
    <n v="45"/>
    <n v="27485243.7678"/>
    <x v="0"/>
    <x v="0"/>
    <x v="0"/>
    <x v="0"/>
  </r>
  <r>
    <x v="241"/>
    <s v="David Eze"/>
    <s v="Female"/>
    <x v="36"/>
    <x v="1"/>
    <x v="44"/>
    <n v="28144"/>
    <n v="8302480"/>
    <s v="Delta"/>
    <x v="3"/>
    <s v="Ibadan"/>
    <x v="2"/>
    <x v="0"/>
    <s v="Agent D"/>
    <x v="1"/>
    <n v="3041742"/>
    <n v="3"/>
    <n v="1.78"/>
    <n v="1.78E-2"/>
    <s v="2024-06-09"/>
    <x v="1"/>
    <x v="0"/>
    <x v="3"/>
    <x v="2"/>
    <s v="Cancelled"/>
    <n v="2"/>
    <n v="17"/>
    <n v="8154695.8559999997"/>
    <x v="1"/>
    <x v="0"/>
    <x v="1"/>
    <x v="2"/>
  </r>
  <r>
    <x v="242"/>
    <s v="Ibrahim Ojo"/>
    <s v="Male"/>
    <x v="3"/>
    <x v="0"/>
    <x v="201"/>
    <n v="42540"/>
    <n v="19355700"/>
    <s v="Imo"/>
    <x v="1"/>
    <s v="Port Harcourt"/>
    <x v="1"/>
    <x v="4"/>
    <s v="Agent E"/>
    <x v="1"/>
    <n v="8394210"/>
    <n v="6"/>
    <n v="1.2"/>
    <n v="1.2E-2"/>
    <s v="2024-02-10"/>
    <x v="0"/>
    <x v="0"/>
    <x v="1"/>
    <x v="1"/>
    <s v="Cancelled"/>
    <n v="3"/>
    <n v="32"/>
    <n v="19123431.600000001"/>
    <x v="0"/>
    <x v="0"/>
    <x v="0"/>
    <x v="2"/>
  </r>
  <r>
    <x v="243"/>
    <s v="Ibrahim Effiong"/>
    <s v="Male"/>
    <x v="29"/>
    <x v="2"/>
    <x v="57"/>
    <n v="16555"/>
    <n v="10048885"/>
    <s v="Ebonyi"/>
    <x v="1"/>
    <s v="Ibadan"/>
    <x v="1"/>
    <x v="0"/>
    <s v="Agent D"/>
    <x v="0"/>
    <n v="10048885"/>
    <n v="0"/>
    <n v="0.54"/>
    <n v="5.4000000000000003E-3"/>
    <s v="2024-08-04"/>
    <x v="8"/>
    <x v="0"/>
    <x v="0"/>
    <x v="0"/>
    <s v="Cancelled"/>
    <n v="4"/>
    <n v="21"/>
    <n v="9994621.0209999997"/>
    <x v="1"/>
    <x v="0"/>
    <x v="1"/>
    <x v="1"/>
  </r>
  <r>
    <x v="244"/>
    <s v="Tunde Effiong"/>
    <s v="Female"/>
    <x v="32"/>
    <x v="2"/>
    <x v="202"/>
    <n v="15811"/>
    <n v="14071790"/>
    <s v="Borno"/>
    <x v="0"/>
    <s v="Lagos"/>
    <x v="1"/>
    <x v="3"/>
    <s v="Agent C"/>
    <x v="1"/>
    <n v="4188199"/>
    <n v="3"/>
    <n v="6.13"/>
    <n v="6.13E-2"/>
    <s v="2024-05-12"/>
    <x v="11"/>
    <x v="0"/>
    <x v="1"/>
    <x v="2"/>
    <s v="Pending"/>
    <n v="4"/>
    <n v="14"/>
    <n v="13209189.273"/>
    <x v="0"/>
    <x v="1"/>
    <x v="0"/>
    <x v="0"/>
  </r>
  <r>
    <x v="245"/>
    <s v="Blessing Bello"/>
    <s v="Female"/>
    <x v="32"/>
    <x v="1"/>
    <x v="203"/>
    <n v="28253"/>
    <n v="16188969"/>
    <s v="Nasarawa"/>
    <x v="2"/>
    <s v="Enugu"/>
    <x v="1"/>
    <x v="1"/>
    <s v="Agent B"/>
    <x v="1"/>
    <n v="4111460"/>
    <n v="24"/>
    <n v="1.31"/>
    <n v="1.3100000000000001E-2"/>
    <s v="2024-10-21"/>
    <x v="4"/>
    <x v="0"/>
    <x v="3"/>
    <x v="0"/>
    <s v="Completed"/>
    <n v="4"/>
    <n v="1"/>
    <n v="15976893.506100001"/>
    <x v="0"/>
    <x v="0"/>
    <x v="0"/>
    <x v="1"/>
  </r>
  <r>
    <x v="246"/>
    <s v="Chinedu Obi"/>
    <s v="Male"/>
    <x v="23"/>
    <x v="0"/>
    <x v="204"/>
    <n v="43330"/>
    <n v="14602210"/>
    <s v="Abia"/>
    <x v="1"/>
    <s v="Warri"/>
    <x v="0"/>
    <x v="0"/>
    <s v="Agent C"/>
    <x v="1"/>
    <n v="4234791"/>
    <n v="24"/>
    <n v="5.62"/>
    <n v="5.62E-2"/>
    <s v="2024-10-17"/>
    <x v="4"/>
    <x v="0"/>
    <x v="2"/>
    <x v="0"/>
    <s v="Completed"/>
    <n v="4"/>
    <n v="48"/>
    <n v="13781565.798"/>
    <x v="0"/>
    <x v="1"/>
    <x v="0"/>
    <x v="2"/>
  </r>
  <r>
    <x v="247"/>
    <s v="Samuel Eze"/>
    <s v="Male"/>
    <x v="6"/>
    <x v="2"/>
    <x v="205"/>
    <n v="38723"/>
    <n v="21994664"/>
    <s v="Bayelsa"/>
    <x v="3"/>
    <s v="Enugu"/>
    <x v="1"/>
    <x v="3"/>
    <s v="Agent D"/>
    <x v="1"/>
    <n v="4529814"/>
    <n v="12"/>
    <n v="1.21"/>
    <n v="1.21E-2"/>
    <s v="2024-12-13"/>
    <x v="3"/>
    <x v="0"/>
    <x v="2"/>
    <x v="2"/>
    <s v="Pending"/>
    <n v="5"/>
    <n v="19"/>
    <n v="21728528.5656"/>
    <x v="0"/>
    <x v="0"/>
    <x v="0"/>
    <x v="1"/>
  </r>
  <r>
    <x v="248"/>
    <s v="Amina Adeyemi"/>
    <s v="Female"/>
    <x v="31"/>
    <x v="2"/>
    <x v="206"/>
    <n v="43981"/>
    <n v="16316951"/>
    <s v="Nasarawa"/>
    <x v="2"/>
    <s v="Kano"/>
    <x v="1"/>
    <x v="4"/>
    <s v="Agent C"/>
    <x v="1"/>
    <n v="6353527"/>
    <n v="24"/>
    <n v="5.72"/>
    <n v="5.7200000000000001E-2"/>
    <s v="2024-02-06"/>
    <x v="0"/>
    <x v="0"/>
    <x v="2"/>
    <x v="1"/>
    <s v="Pending"/>
    <n v="3"/>
    <n v="48"/>
    <n v="15383621.402799999"/>
    <x v="0"/>
    <x v="1"/>
    <x v="0"/>
    <x v="2"/>
  </r>
  <r>
    <x v="249"/>
    <s v="Blessing Abdullahi"/>
    <s v="Male"/>
    <x v="42"/>
    <x v="0"/>
    <x v="207"/>
    <n v="12965"/>
    <n v="8077195"/>
    <s v="Kebbi"/>
    <x v="4"/>
    <s v="Warri"/>
    <x v="1"/>
    <x v="2"/>
    <s v="Agent A"/>
    <x v="0"/>
    <n v="8077195"/>
    <n v="0"/>
    <n v="8.5399999999999991"/>
    <n v="8.539999999999999E-2"/>
    <s v="2024-03-05"/>
    <x v="6"/>
    <x v="0"/>
    <x v="0"/>
    <x v="1"/>
    <s v="Cancelled"/>
    <n v="1"/>
    <n v="2"/>
    <n v="7387402.5469999993"/>
    <x v="1"/>
    <x v="1"/>
    <x v="1"/>
    <x v="1"/>
  </r>
  <r>
    <x v="250"/>
    <s v="Musa Eze"/>
    <s v="Male"/>
    <x v="6"/>
    <x v="2"/>
    <x v="208"/>
    <n v="19200"/>
    <n v="5875200"/>
    <s v="Plateau"/>
    <x v="2"/>
    <s v="Abuja"/>
    <x v="2"/>
    <x v="0"/>
    <s v="Agent B"/>
    <x v="0"/>
    <n v="5875200"/>
    <n v="0"/>
    <n v="0.84"/>
    <n v="8.3999999999999995E-3"/>
    <s v="2024-07-18"/>
    <x v="10"/>
    <x v="0"/>
    <x v="3"/>
    <x v="2"/>
    <s v="Completed"/>
    <n v="3"/>
    <n v="21"/>
    <n v="5825848.3200000003"/>
    <x v="1"/>
    <x v="0"/>
    <x v="1"/>
    <x v="2"/>
  </r>
  <r>
    <x v="251"/>
    <s v="Samuel Ojo"/>
    <s v="Female"/>
    <x v="24"/>
    <x v="1"/>
    <x v="209"/>
    <n v="37949"/>
    <n v="18139622"/>
    <s v="Benue"/>
    <x v="2"/>
    <s v="Uyo"/>
    <x v="2"/>
    <x v="3"/>
    <s v="Agent D"/>
    <x v="1"/>
    <n v="8904063"/>
    <n v="6"/>
    <n v="6.98"/>
    <n v="6.9800000000000001E-2"/>
    <s v="2024-03-31"/>
    <x v="6"/>
    <x v="0"/>
    <x v="1"/>
    <x v="1"/>
    <s v="Pending"/>
    <n v="5"/>
    <n v="15"/>
    <n v="16873476.384399999"/>
    <x v="0"/>
    <x v="1"/>
    <x v="0"/>
    <x v="1"/>
  </r>
  <r>
    <x v="252"/>
    <s v="David Abdullahi"/>
    <s v="Female"/>
    <x v="3"/>
    <x v="0"/>
    <x v="54"/>
    <n v="29014"/>
    <n v="16654036"/>
    <s v="Osun"/>
    <x v="5"/>
    <s v="Ibadan"/>
    <x v="2"/>
    <x v="1"/>
    <s v="Agent D"/>
    <x v="1"/>
    <n v="4847521"/>
    <n v="6"/>
    <n v="0"/>
    <n v="0"/>
    <s v="2024-03-10"/>
    <x v="6"/>
    <x v="0"/>
    <x v="1"/>
    <x v="2"/>
    <s v="Pending"/>
    <n v="3"/>
    <n v="39"/>
    <n v="16654036"/>
    <x v="0"/>
    <x v="0"/>
    <x v="0"/>
    <x v="1"/>
  </r>
  <r>
    <x v="253"/>
    <s v="Ngozi Obi"/>
    <s v="Male"/>
    <x v="12"/>
    <x v="0"/>
    <x v="210"/>
    <n v="14358"/>
    <n v="8356356"/>
    <s v="Anambra"/>
    <x v="1"/>
    <s v="Uyo"/>
    <x v="1"/>
    <x v="0"/>
    <s v="Agent E"/>
    <x v="1"/>
    <n v="2660878"/>
    <n v="24"/>
    <n v="1.63"/>
    <n v="1.6299999999999999E-2"/>
    <s v="2024-11-26"/>
    <x v="2"/>
    <x v="0"/>
    <x v="1"/>
    <x v="1"/>
    <s v="Cancelled"/>
    <n v="5"/>
    <n v="18"/>
    <n v="8220147.3972000005"/>
    <x v="1"/>
    <x v="0"/>
    <x v="1"/>
    <x v="1"/>
  </r>
  <r>
    <x v="254"/>
    <s v="Samuel Sani"/>
    <s v="Male"/>
    <x v="20"/>
    <x v="0"/>
    <x v="87"/>
    <n v="10953"/>
    <n v="4227858"/>
    <s v="Kwara"/>
    <x v="2"/>
    <s v="Abuja"/>
    <x v="0"/>
    <x v="2"/>
    <s v="Agent E"/>
    <x v="1"/>
    <n v="1653379"/>
    <n v="3"/>
    <n v="6.18"/>
    <n v="6.1799999999999994E-2"/>
    <s v="2024-05-19"/>
    <x v="11"/>
    <x v="0"/>
    <x v="0"/>
    <x v="2"/>
    <s v="Completed"/>
    <n v="3"/>
    <n v="18"/>
    <n v="3966576.3755999999"/>
    <x v="1"/>
    <x v="1"/>
    <x v="1"/>
    <x v="2"/>
  </r>
  <r>
    <x v="255"/>
    <s v="David Obi"/>
    <s v="Female"/>
    <x v="39"/>
    <x v="2"/>
    <x v="211"/>
    <n v="7911"/>
    <n v="3465018"/>
    <s v="Abia"/>
    <x v="1"/>
    <s v="Lagos"/>
    <x v="1"/>
    <x v="2"/>
    <s v="Agent C"/>
    <x v="0"/>
    <n v="3465018"/>
    <n v="0"/>
    <n v="0.15"/>
    <n v="1.5E-3"/>
    <s v="2024-04-21"/>
    <x v="9"/>
    <x v="0"/>
    <x v="0"/>
    <x v="2"/>
    <s v="Completed"/>
    <n v="3"/>
    <n v="50"/>
    <n v="3459820.4730000002"/>
    <x v="1"/>
    <x v="0"/>
    <x v="1"/>
    <x v="2"/>
  </r>
  <r>
    <x v="256"/>
    <s v="Ngozi Okafor"/>
    <s v="Male"/>
    <x v="2"/>
    <x v="0"/>
    <x v="212"/>
    <n v="13901"/>
    <n v="9466581"/>
    <s v="FCT"/>
    <x v="2"/>
    <s v="Uyo"/>
    <x v="1"/>
    <x v="1"/>
    <s v="Agent B"/>
    <x v="0"/>
    <n v="9466581"/>
    <n v="0"/>
    <n v="8.9600000000000009"/>
    <n v="8.9600000000000013E-2"/>
    <s v="2024-05-08"/>
    <x v="11"/>
    <x v="0"/>
    <x v="0"/>
    <x v="2"/>
    <s v="Pending"/>
    <n v="1"/>
    <n v="34"/>
    <n v="8618375.3423999995"/>
    <x v="1"/>
    <x v="1"/>
    <x v="1"/>
    <x v="1"/>
  </r>
  <r>
    <x v="257"/>
    <s v="Grace Bello"/>
    <s v="Female"/>
    <x v="10"/>
    <x v="1"/>
    <x v="213"/>
    <n v="46659"/>
    <n v="27902082"/>
    <s v="Yobe"/>
    <x v="0"/>
    <s v="Warri"/>
    <x v="1"/>
    <x v="0"/>
    <s v="Agent C"/>
    <x v="1"/>
    <n v="6908093"/>
    <n v="12"/>
    <n v="7.28"/>
    <n v="7.2800000000000004E-2"/>
    <s v="2024-10-08"/>
    <x v="4"/>
    <x v="0"/>
    <x v="0"/>
    <x v="0"/>
    <s v="Completed"/>
    <n v="1"/>
    <n v="16"/>
    <n v="25870810.430399999"/>
    <x v="0"/>
    <x v="1"/>
    <x v="0"/>
    <x v="1"/>
  </r>
  <r>
    <x v="258"/>
    <s v="Samuel Sani"/>
    <s v="Male"/>
    <x v="16"/>
    <x v="0"/>
    <x v="214"/>
    <n v="12968"/>
    <n v="2788120"/>
    <s v="Bauchi"/>
    <x v="0"/>
    <s v="Enugu"/>
    <x v="0"/>
    <x v="0"/>
    <s v="Agent D"/>
    <x v="1"/>
    <n v="888692"/>
    <n v="3"/>
    <n v="2.4300000000000002"/>
    <n v="2.4300000000000002E-2"/>
    <s v="2024-01-22"/>
    <x v="7"/>
    <x v="0"/>
    <x v="0"/>
    <x v="0"/>
    <s v="Cancelled"/>
    <n v="3"/>
    <n v="49"/>
    <n v="2720368.6839999999"/>
    <x v="1"/>
    <x v="0"/>
    <x v="1"/>
    <x v="2"/>
  </r>
  <r>
    <x v="259"/>
    <s v="Tunde Sani"/>
    <s v="Male"/>
    <x v="20"/>
    <x v="1"/>
    <x v="215"/>
    <n v="44242"/>
    <n v="24952488"/>
    <s v="Borno"/>
    <x v="0"/>
    <s v="Lagos"/>
    <x v="2"/>
    <x v="4"/>
    <s v="Agent D"/>
    <x v="0"/>
    <n v="24952488"/>
    <n v="0"/>
    <n v="7.01"/>
    <n v="7.0099999999999996E-2"/>
    <s v="2024-02-24"/>
    <x v="0"/>
    <x v="0"/>
    <x v="3"/>
    <x v="2"/>
    <s v="Cancelled"/>
    <n v="4"/>
    <n v="23"/>
    <n v="23203318.591199998"/>
    <x v="0"/>
    <x v="1"/>
    <x v="0"/>
    <x v="1"/>
  </r>
  <r>
    <x v="260"/>
    <s v="Tunde Effiong"/>
    <s v="Female"/>
    <x v="20"/>
    <x v="1"/>
    <x v="216"/>
    <n v="33804"/>
    <n v="8112960"/>
    <s v="Yobe"/>
    <x v="0"/>
    <s v="Ibadan"/>
    <x v="1"/>
    <x v="4"/>
    <s v="Agent E"/>
    <x v="1"/>
    <n v="2943546"/>
    <n v="12"/>
    <n v="4.9000000000000004"/>
    <n v="4.9000000000000002E-2"/>
    <s v="2024-10-17"/>
    <x v="4"/>
    <x v="0"/>
    <x v="3"/>
    <x v="2"/>
    <s v="Cancelled"/>
    <n v="2"/>
    <n v="29"/>
    <n v="7715424.96"/>
    <x v="1"/>
    <x v="0"/>
    <x v="1"/>
    <x v="2"/>
  </r>
  <r>
    <x v="261"/>
    <s v="Ngozi Adeyemi"/>
    <s v="Male"/>
    <x v="21"/>
    <x v="2"/>
    <x v="217"/>
    <n v="31758"/>
    <n v="18260850"/>
    <s v="Bayelsa"/>
    <x v="3"/>
    <s v="Uyo"/>
    <x v="2"/>
    <x v="0"/>
    <s v="Agent C"/>
    <x v="0"/>
    <n v="18260850"/>
    <n v="0"/>
    <n v="7.76"/>
    <n v="7.7600000000000002E-2"/>
    <s v="2024-09-16"/>
    <x v="5"/>
    <x v="0"/>
    <x v="0"/>
    <x v="0"/>
    <s v="Cancelled"/>
    <n v="4"/>
    <n v="13"/>
    <n v="16843808.039999999"/>
    <x v="0"/>
    <x v="1"/>
    <x v="0"/>
    <x v="1"/>
  </r>
  <r>
    <x v="262"/>
    <s v="Ngozi Ogunleye"/>
    <s v="Male"/>
    <x v="43"/>
    <x v="1"/>
    <x v="25"/>
    <n v="38140"/>
    <n v="37529760"/>
    <s v="Zamfara"/>
    <x v="4"/>
    <s v="Warri"/>
    <x v="2"/>
    <x v="2"/>
    <s v="Agent A"/>
    <x v="0"/>
    <n v="37529760"/>
    <n v="0"/>
    <n v="6.13"/>
    <n v="6.13E-2"/>
    <s v="2024-06-14"/>
    <x v="1"/>
    <x v="0"/>
    <x v="3"/>
    <x v="2"/>
    <s v="Completed"/>
    <n v="2"/>
    <n v="7"/>
    <n v="35229185.711999997"/>
    <x v="2"/>
    <x v="1"/>
    <x v="2"/>
    <x v="0"/>
  </r>
  <r>
    <x v="263"/>
    <s v="Chinedu Ogunleye"/>
    <s v="Male"/>
    <x v="7"/>
    <x v="1"/>
    <x v="218"/>
    <n v="39421"/>
    <n v="9145672"/>
    <s v="Kwara"/>
    <x v="2"/>
    <s v="Abuja"/>
    <x v="0"/>
    <x v="2"/>
    <s v="Agent B"/>
    <x v="1"/>
    <n v="3271831"/>
    <n v="24"/>
    <n v="7.01"/>
    <n v="7.0099999999999996E-2"/>
    <s v="2024-05-11"/>
    <x v="11"/>
    <x v="0"/>
    <x v="2"/>
    <x v="2"/>
    <s v="Pending"/>
    <n v="1"/>
    <n v="24"/>
    <n v="8504560.3927999996"/>
    <x v="1"/>
    <x v="1"/>
    <x v="1"/>
    <x v="2"/>
  </r>
  <r>
    <x v="264"/>
    <s v="Grace Okafor"/>
    <s v="Male"/>
    <x v="26"/>
    <x v="0"/>
    <x v="219"/>
    <n v="48427"/>
    <n v="27942379"/>
    <s v="Zamfara"/>
    <x v="4"/>
    <s v="Kaduna"/>
    <x v="0"/>
    <x v="3"/>
    <s v="Agent A"/>
    <x v="0"/>
    <n v="27942379"/>
    <n v="0"/>
    <n v="8.24"/>
    <n v="8.2400000000000001E-2"/>
    <s v="2024-05-16"/>
    <x v="11"/>
    <x v="0"/>
    <x v="0"/>
    <x v="0"/>
    <s v="Completed"/>
    <n v="5"/>
    <n v="25"/>
    <n v="25639926.970399998"/>
    <x v="0"/>
    <x v="1"/>
    <x v="0"/>
    <x v="1"/>
  </r>
  <r>
    <x v="265"/>
    <s v="Ngozi Bello"/>
    <s v="Female"/>
    <x v="34"/>
    <x v="2"/>
    <x v="220"/>
    <n v="18302"/>
    <n v="15959344"/>
    <s v="Imo"/>
    <x v="1"/>
    <s v="Uyo"/>
    <x v="2"/>
    <x v="1"/>
    <s v="Agent A"/>
    <x v="0"/>
    <n v="15959344"/>
    <n v="0"/>
    <n v="5.58"/>
    <n v="5.5800000000000002E-2"/>
    <s v="2024-10-12"/>
    <x v="4"/>
    <x v="0"/>
    <x v="3"/>
    <x v="2"/>
    <s v="Cancelled"/>
    <n v="4"/>
    <n v="33"/>
    <n v="15068812.604800001"/>
    <x v="0"/>
    <x v="1"/>
    <x v="0"/>
    <x v="0"/>
  </r>
  <r>
    <x v="266"/>
    <s v="David Obi"/>
    <s v="Female"/>
    <x v="20"/>
    <x v="1"/>
    <x v="88"/>
    <n v="41316"/>
    <n v="30821736"/>
    <s v="Cross River"/>
    <x v="3"/>
    <s v="Kano"/>
    <x v="0"/>
    <x v="3"/>
    <s v="Agent E"/>
    <x v="1"/>
    <n v="14509193"/>
    <n v="12"/>
    <n v="5.5"/>
    <n v="5.5E-2"/>
    <s v="2024-06-15"/>
    <x v="1"/>
    <x v="0"/>
    <x v="3"/>
    <x v="1"/>
    <s v="Cancelled"/>
    <n v="3"/>
    <n v="24"/>
    <n v="29126540.52"/>
    <x v="0"/>
    <x v="1"/>
    <x v="0"/>
    <x v="0"/>
  </r>
  <r>
    <x v="267"/>
    <s v="Chinedu Effiong"/>
    <s v="Male"/>
    <x v="26"/>
    <x v="0"/>
    <x v="221"/>
    <n v="49599"/>
    <n v="9919800"/>
    <s v="Benue"/>
    <x v="2"/>
    <s v="Kaduna"/>
    <x v="1"/>
    <x v="0"/>
    <s v="Agent B"/>
    <x v="0"/>
    <n v="9919800"/>
    <n v="0"/>
    <n v="9.83"/>
    <n v="9.8299999999999998E-2"/>
    <s v="2024-11-01"/>
    <x v="2"/>
    <x v="0"/>
    <x v="1"/>
    <x v="2"/>
    <s v="Cancelled"/>
    <n v="3"/>
    <n v="36"/>
    <n v="8944683.6600000001"/>
    <x v="1"/>
    <x v="1"/>
    <x v="1"/>
    <x v="2"/>
  </r>
  <r>
    <x v="268"/>
    <s v="Tunde Adeyemi"/>
    <s v="Female"/>
    <x v="16"/>
    <x v="1"/>
    <x v="222"/>
    <n v="12139"/>
    <n v="9529115"/>
    <s v="Kebbi"/>
    <x v="4"/>
    <s v="Calabar"/>
    <x v="0"/>
    <x v="0"/>
    <s v="Agent C"/>
    <x v="0"/>
    <n v="9529115"/>
    <n v="0"/>
    <n v="0.38"/>
    <n v="3.8E-3"/>
    <s v="2024-07-01"/>
    <x v="10"/>
    <x v="0"/>
    <x v="1"/>
    <x v="2"/>
    <s v="Cancelled"/>
    <n v="4"/>
    <n v="37"/>
    <n v="9492904.3629999999"/>
    <x v="1"/>
    <x v="0"/>
    <x v="1"/>
    <x v="0"/>
  </r>
  <r>
    <x v="269"/>
    <s v="Ngozi Bello"/>
    <s v="Male"/>
    <x v="1"/>
    <x v="2"/>
    <x v="223"/>
    <n v="13331"/>
    <n v="9251714"/>
    <s v="Anambra"/>
    <x v="1"/>
    <s v="Enugu"/>
    <x v="1"/>
    <x v="1"/>
    <s v="Agent A"/>
    <x v="1"/>
    <n v="3502415"/>
    <n v="3"/>
    <n v="3"/>
    <n v="0.03"/>
    <s v="2024-10-22"/>
    <x v="4"/>
    <x v="0"/>
    <x v="3"/>
    <x v="0"/>
    <s v="Cancelled"/>
    <n v="5"/>
    <n v="1"/>
    <n v="8974162.5800000001"/>
    <x v="1"/>
    <x v="0"/>
    <x v="1"/>
    <x v="1"/>
  </r>
  <r>
    <x v="270"/>
    <s v="Tunde Ogunleye"/>
    <s v="Male"/>
    <x v="18"/>
    <x v="0"/>
    <x v="224"/>
    <n v="21974"/>
    <n v="5603370"/>
    <s v="Taraba"/>
    <x v="0"/>
    <s v="Kaduna"/>
    <x v="2"/>
    <x v="1"/>
    <s v="Agent D"/>
    <x v="0"/>
    <n v="5603370"/>
    <n v="0"/>
    <n v="3.19"/>
    <n v="3.1899999999999998E-2"/>
    <s v="2024-10-16"/>
    <x v="4"/>
    <x v="0"/>
    <x v="0"/>
    <x v="2"/>
    <s v="Pending"/>
    <n v="3"/>
    <n v="26"/>
    <n v="5424622.4969999995"/>
    <x v="1"/>
    <x v="0"/>
    <x v="1"/>
    <x v="2"/>
  </r>
  <r>
    <x v="271"/>
    <s v="Amina Obi"/>
    <s v="Female"/>
    <x v="23"/>
    <x v="0"/>
    <x v="225"/>
    <n v="33185"/>
    <n v="9424540"/>
    <s v="Imo"/>
    <x v="1"/>
    <s v="Enugu"/>
    <x v="0"/>
    <x v="1"/>
    <s v="Agent E"/>
    <x v="0"/>
    <n v="9424540"/>
    <n v="0"/>
    <n v="5.48"/>
    <n v="5.4800000000000001E-2"/>
    <s v="2024-05-14"/>
    <x v="11"/>
    <x v="0"/>
    <x v="3"/>
    <x v="1"/>
    <s v="Pending"/>
    <n v="5"/>
    <n v="13"/>
    <n v="8908075.2080000006"/>
    <x v="1"/>
    <x v="1"/>
    <x v="1"/>
    <x v="2"/>
  </r>
  <r>
    <x v="272"/>
    <s v="David Ojo"/>
    <s v="Male"/>
    <x v="5"/>
    <x v="1"/>
    <x v="226"/>
    <n v="17880"/>
    <n v="8081760"/>
    <s v="Kebbi"/>
    <x v="4"/>
    <s v="Uyo"/>
    <x v="1"/>
    <x v="1"/>
    <s v="Agent C"/>
    <x v="0"/>
    <n v="8081760"/>
    <n v="0"/>
    <n v="2.66"/>
    <n v="2.6600000000000002E-2"/>
    <s v="2024-08-08"/>
    <x v="8"/>
    <x v="0"/>
    <x v="1"/>
    <x v="2"/>
    <s v="Pending"/>
    <n v="3"/>
    <n v="39"/>
    <n v="7866785.1840000004"/>
    <x v="1"/>
    <x v="0"/>
    <x v="1"/>
    <x v="2"/>
  </r>
  <r>
    <x v="273"/>
    <s v="Blessing Ogunleye"/>
    <s v="Male"/>
    <x v="17"/>
    <x v="0"/>
    <x v="227"/>
    <n v="24919"/>
    <n v="9294787"/>
    <s v="Borno"/>
    <x v="0"/>
    <s v="Ibadan"/>
    <x v="2"/>
    <x v="2"/>
    <s v="Agent B"/>
    <x v="1"/>
    <n v="3087162"/>
    <n v="6"/>
    <n v="9.24"/>
    <n v="9.2399999999999996E-2"/>
    <s v="2024-04-29"/>
    <x v="9"/>
    <x v="0"/>
    <x v="3"/>
    <x v="1"/>
    <s v="Completed"/>
    <n v="3"/>
    <n v="45"/>
    <n v="8435948.6811999995"/>
    <x v="1"/>
    <x v="1"/>
    <x v="1"/>
    <x v="2"/>
  </r>
  <r>
    <x v="274"/>
    <s v="Grace Abdullahi"/>
    <s v="Female"/>
    <x v="21"/>
    <x v="1"/>
    <x v="95"/>
    <n v="3490"/>
    <n v="2380180"/>
    <s v="Ogun"/>
    <x v="5"/>
    <s v="Warri"/>
    <x v="0"/>
    <x v="2"/>
    <s v="Agent D"/>
    <x v="1"/>
    <n v="1004445"/>
    <n v="6"/>
    <n v="2.12"/>
    <n v="2.12E-2"/>
    <s v="2024-10-06"/>
    <x v="4"/>
    <x v="0"/>
    <x v="0"/>
    <x v="1"/>
    <s v="Completed"/>
    <n v="1"/>
    <n v="19"/>
    <n v="2329720.1839999999"/>
    <x v="1"/>
    <x v="0"/>
    <x v="1"/>
    <x v="1"/>
  </r>
  <r>
    <x v="275"/>
    <s v="Musa Ogunleye"/>
    <s v="Male"/>
    <x v="41"/>
    <x v="2"/>
    <x v="228"/>
    <n v="32471"/>
    <n v="8247634"/>
    <s v="Ebonyi"/>
    <x v="1"/>
    <s v="Ibadan"/>
    <x v="2"/>
    <x v="1"/>
    <s v="Agent B"/>
    <x v="0"/>
    <n v="8247634"/>
    <n v="0"/>
    <n v="0.67"/>
    <n v="6.7000000000000002E-3"/>
    <s v="2024-12-04"/>
    <x v="3"/>
    <x v="0"/>
    <x v="2"/>
    <x v="0"/>
    <s v="Cancelled"/>
    <n v="1"/>
    <n v="21"/>
    <n v="8192374.8521999996"/>
    <x v="1"/>
    <x v="0"/>
    <x v="1"/>
    <x v="2"/>
  </r>
  <r>
    <x v="276"/>
    <s v="Grace Okafor"/>
    <s v="Male"/>
    <x v="32"/>
    <x v="1"/>
    <x v="229"/>
    <n v="7768"/>
    <n v="5779392"/>
    <s v="Niger"/>
    <x v="2"/>
    <s v="Calabar"/>
    <x v="1"/>
    <x v="4"/>
    <s v="Agent D"/>
    <x v="0"/>
    <n v="5779392"/>
    <n v="0"/>
    <n v="1.99"/>
    <n v="1.9900000000000001E-2"/>
    <s v="2024-08-22"/>
    <x v="8"/>
    <x v="0"/>
    <x v="2"/>
    <x v="0"/>
    <s v="Completed"/>
    <n v="1"/>
    <n v="23"/>
    <n v="5664382.0992000001"/>
    <x v="1"/>
    <x v="0"/>
    <x v="1"/>
    <x v="0"/>
  </r>
  <r>
    <x v="277"/>
    <s v="Musa Okafor"/>
    <s v="Female"/>
    <x v="38"/>
    <x v="0"/>
    <x v="230"/>
    <n v="21813"/>
    <n v="18322920"/>
    <s v="Adamawa"/>
    <x v="0"/>
    <s v="Enugu"/>
    <x v="2"/>
    <x v="4"/>
    <s v="Agent B"/>
    <x v="0"/>
    <n v="18322920"/>
    <n v="0"/>
    <n v="9.9600000000000009"/>
    <n v="9.9600000000000008E-2"/>
    <s v="2024-09-13"/>
    <x v="5"/>
    <x v="0"/>
    <x v="3"/>
    <x v="1"/>
    <s v="Pending"/>
    <n v="2"/>
    <n v="6"/>
    <n v="16497957.168"/>
    <x v="0"/>
    <x v="1"/>
    <x v="0"/>
    <x v="0"/>
  </r>
  <r>
    <x v="278"/>
    <s v="Tunde Obi"/>
    <s v="Female"/>
    <x v="7"/>
    <x v="2"/>
    <x v="170"/>
    <n v="42137"/>
    <n v="37670478"/>
    <s v="Bauchi"/>
    <x v="0"/>
    <s v="Uyo"/>
    <x v="1"/>
    <x v="3"/>
    <s v="Agent B"/>
    <x v="0"/>
    <n v="37670478"/>
    <n v="0"/>
    <n v="4.17"/>
    <n v="4.1700000000000001E-2"/>
    <s v="2024-10-20"/>
    <x v="4"/>
    <x v="0"/>
    <x v="3"/>
    <x v="0"/>
    <s v="Completed"/>
    <n v="5"/>
    <n v="35"/>
    <n v="36099619.067400001"/>
    <x v="2"/>
    <x v="0"/>
    <x v="2"/>
    <x v="0"/>
  </r>
  <r>
    <x v="279"/>
    <s v="Samuel Adeyemi"/>
    <s v="Female"/>
    <x v="27"/>
    <x v="1"/>
    <x v="231"/>
    <n v="47123"/>
    <n v="24315468"/>
    <s v="Yobe"/>
    <x v="0"/>
    <s v="Kano"/>
    <x v="2"/>
    <x v="2"/>
    <s v="Agent B"/>
    <x v="0"/>
    <n v="24315468"/>
    <n v="0"/>
    <n v="4.3"/>
    <n v="4.2999999999999997E-2"/>
    <s v="2024-03-15"/>
    <x v="6"/>
    <x v="0"/>
    <x v="1"/>
    <x v="2"/>
    <s v="Cancelled"/>
    <n v="1"/>
    <n v="49"/>
    <n v="23269902.875999998"/>
    <x v="0"/>
    <x v="0"/>
    <x v="0"/>
    <x v="1"/>
  </r>
  <r>
    <x v="280"/>
    <s v="Chinedu Ojo"/>
    <s v="Female"/>
    <x v="7"/>
    <x v="1"/>
    <x v="112"/>
    <n v="31032"/>
    <n v="15826320"/>
    <s v="Akwa Ibom"/>
    <x v="3"/>
    <s v="Kaduna"/>
    <x v="2"/>
    <x v="0"/>
    <s v="Agent E"/>
    <x v="1"/>
    <n v="6864387"/>
    <n v="6"/>
    <n v="1.07"/>
    <n v="1.0700000000000001E-2"/>
    <s v="2024-04-04"/>
    <x v="9"/>
    <x v="0"/>
    <x v="3"/>
    <x v="2"/>
    <s v="Cancelled"/>
    <n v="1"/>
    <n v="23"/>
    <n v="15656978.376"/>
    <x v="0"/>
    <x v="0"/>
    <x v="0"/>
    <x v="1"/>
  </r>
  <r>
    <x v="281"/>
    <s v="Tunde Adeyemi"/>
    <s v="Male"/>
    <x v="31"/>
    <x v="0"/>
    <x v="204"/>
    <n v="34920"/>
    <n v="11768040"/>
    <s v="Ekiti"/>
    <x v="5"/>
    <s v="Warri"/>
    <x v="1"/>
    <x v="2"/>
    <s v="Agent C"/>
    <x v="1"/>
    <n v="3003121"/>
    <n v="12"/>
    <n v="3.87"/>
    <n v="3.8699999999999998E-2"/>
    <s v="2024-08-30"/>
    <x v="8"/>
    <x v="0"/>
    <x v="2"/>
    <x v="2"/>
    <s v="Cancelled"/>
    <n v="2"/>
    <n v="49"/>
    <n v="11312616.852"/>
    <x v="0"/>
    <x v="0"/>
    <x v="0"/>
    <x v="2"/>
  </r>
  <r>
    <x v="282"/>
    <s v="Ngozi Okafor"/>
    <s v="Female"/>
    <x v="20"/>
    <x v="2"/>
    <x v="108"/>
    <n v="42439"/>
    <n v="27542911"/>
    <s v="Anambra"/>
    <x v="1"/>
    <s v="Kano"/>
    <x v="2"/>
    <x v="3"/>
    <s v="Agent E"/>
    <x v="1"/>
    <n v="12670633"/>
    <n v="12"/>
    <n v="8.8800000000000008"/>
    <n v="8.8800000000000004E-2"/>
    <s v="2024-08-06"/>
    <x v="8"/>
    <x v="0"/>
    <x v="0"/>
    <x v="0"/>
    <s v="Completed"/>
    <n v="4"/>
    <n v="30"/>
    <n v="25097100.503200002"/>
    <x v="0"/>
    <x v="1"/>
    <x v="0"/>
    <x v="1"/>
  </r>
  <r>
    <x v="283"/>
    <s v="Chinedu Eze"/>
    <s v="Female"/>
    <x v="19"/>
    <x v="2"/>
    <x v="232"/>
    <n v="27926"/>
    <n v="20944500"/>
    <s v="Oyo"/>
    <x v="5"/>
    <s v="Uyo"/>
    <x v="1"/>
    <x v="4"/>
    <s v="Agent D"/>
    <x v="0"/>
    <n v="20944500"/>
    <n v="0"/>
    <n v="5.58"/>
    <n v="5.5800000000000002E-2"/>
    <s v="2024-09-21"/>
    <x v="5"/>
    <x v="0"/>
    <x v="3"/>
    <x v="1"/>
    <s v="Pending"/>
    <n v="5"/>
    <n v="4"/>
    <n v="19775796.900000002"/>
    <x v="0"/>
    <x v="1"/>
    <x v="0"/>
    <x v="0"/>
  </r>
  <r>
    <x v="284"/>
    <s v="Grace Adeyemi"/>
    <s v="Female"/>
    <x v="28"/>
    <x v="2"/>
    <x v="233"/>
    <n v="44342"/>
    <n v="29886508"/>
    <s v="Gombe"/>
    <x v="0"/>
    <s v="Kano"/>
    <x v="1"/>
    <x v="2"/>
    <s v="Agent B"/>
    <x v="1"/>
    <n v="12456518"/>
    <n v="3"/>
    <n v="1.1299999999999999"/>
    <n v="1.1299999999999999E-2"/>
    <s v="2024-10-26"/>
    <x v="4"/>
    <x v="0"/>
    <x v="2"/>
    <x v="0"/>
    <s v="Cancelled"/>
    <n v="2"/>
    <n v="30"/>
    <n v="29548790.459600002"/>
    <x v="0"/>
    <x v="0"/>
    <x v="0"/>
    <x v="1"/>
  </r>
  <r>
    <x v="285"/>
    <s v="Amina Bello"/>
    <s v="Female"/>
    <x v="24"/>
    <x v="2"/>
    <x v="234"/>
    <n v="44505"/>
    <n v="40410540"/>
    <s v="Ogun"/>
    <x v="5"/>
    <s v="Enugu"/>
    <x v="0"/>
    <x v="3"/>
    <s v="Agent D"/>
    <x v="0"/>
    <n v="40410540"/>
    <n v="0"/>
    <n v="7.18"/>
    <n v="7.1800000000000003E-2"/>
    <s v="2024-03-04"/>
    <x v="6"/>
    <x v="0"/>
    <x v="3"/>
    <x v="1"/>
    <s v="Cancelled"/>
    <n v="4"/>
    <n v="3"/>
    <n v="37509063.228"/>
    <x v="2"/>
    <x v="1"/>
    <x v="2"/>
    <x v="0"/>
  </r>
  <r>
    <x v="286"/>
    <s v="Chinedu Obi"/>
    <s v="Female"/>
    <x v="26"/>
    <x v="1"/>
    <x v="196"/>
    <n v="11836"/>
    <n v="10356500"/>
    <s v="Enugu"/>
    <x v="1"/>
    <s v="Calabar"/>
    <x v="1"/>
    <x v="4"/>
    <s v="Agent B"/>
    <x v="0"/>
    <n v="10356500"/>
    <n v="0"/>
    <n v="8.69"/>
    <n v="8.6899999999999991E-2"/>
    <s v="2024-04-01"/>
    <x v="9"/>
    <x v="0"/>
    <x v="0"/>
    <x v="2"/>
    <s v="Completed"/>
    <n v="1"/>
    <n v="40"/>
    <n v="9456520.1500000004"/>
    <x v="1"/>
    <x v="1"/>
    <x v="1"/>
    <x v="0"/>
  </r>
  <r>
    <x v="287"/>
    <s v="Blessing Eze"/>
    <s v="Female"/>
    <x v="25"/>
    <x v="2"/>
    <x v="89"/>
    <n v="34679"/>
    <n v="24587411"/>
    <s v="Rivers"/>
    <x v="3"/>
    <s v="Warri"/>
    <x v="1"/>
    <x v="2"/>
    <s v="Agent E"/>
    <x v="0"/>
    <n v="24587411"/>
    <n v="0"/>
    <n v="6.08"/>
    <n v="6.08E-2"/>
    <s v="2024-09-09"/>
    <x v="5"/>
    <x v="0"/>
    <x v="0"/>
    <x v="2"/>
    <s v="Cancelled"/>
    <n v="3"/>
    <n v="40"/>
    <n v="23092496.411200002"/>
    <x v="0"/>
    <x v="1"/>
    <x v="0"/>
    <x v="1"/>
  </r>
  <r>
    <x v="288"/>
    <s v="Chinedu Adeyemi"/>
    <s v="Male"/>
    <x v="15"/>
    <x v="1"/>
    <x v="235"/>
    <n v="14113"/>
    <n v="3528250"/>
    <s v="Gombe"/>
    <x v="0"/>
    <s v="Port Harcourt"/>
    <x v="2"/>
    <x v="4"/>
    <s v="Agent C"/>
    <x v="0"/>
    <n v="3528250"/>
    <n v="0"/>
    <n v="0.55000000000000004"/>
    <n v="5.5000000000000005E-3"/>
    <s v="2024-06-27"/>
    <x v="1"/>
    <x v="0"/>
    <x v="0"/>
    <x v="2"/>
    <s v="Completed"/>
    <n v="4"/>
    <n v="12"/>
    <n v="3508844.625"/>
    <x v="1"/>
    <x v="0"/>
    <x v="1"/>
    <x v="2"/>
  </r>
  <r>
    <x v="289"/>
    <s v="David Okafor"/>
    <s v="Male"/>
    <x v="26"/>
    <x v="2"/>
    <x v="38"/>
    <n v="47319"/>
    <n v="41451444"/>
    <s v="Enugu"/>
    <x v="1"/>
    <s v="Calabar"/>
    <x v="1"/>
    <x v="1"/>
    <s v="Agent A"/>
    <x v="0"/>
    <n v="41451444"/>
    <n v="0"/>
    <n v="9.66"/>
    <n v="9.6600000000000005E-2"/>
    <s v="2024-10-23"/>
    <x v="4"/>
    <x v="0"/>
    <x v="2"/>
    <x v="0"/>
    <s v="Completed"/>
    <n v="3"/>
    <n v="31"/>
    <n v="37447234.509599999"/>
    <x v="2"/>
    <x v="1"/>
    <x v="2"/>
    <x v="0"/>
  </r>
  <r>
    <x v="290"/>
    <s v="Samuel Effiong"/>
    <s v="Male"/>
    <x v="10"/>
    <x v="1"/>
    <x v="42"/>
    <n v="36540"/>
    <n v="19621980"/>
    <s v="Anambra"/>
    <x v="1"/>
    <s v="Ibadan"/>
    <x v="2"/>
    <x v="3"/>
    <s v="Agent C"/>
    <x v="1"/>
    <n v="8020462"/>
    <n v="6"/>
    <n v="6.12"/>
    <n v="6.1200000000000004E-2"/>
    <s v="2024-02-25"/>
    <x v="0"/>
    <x v="0"/>
    <x v="2"/>
    <x v="0"/>
    <s v="Pending"/>
    <n v="3"/>
    <n v="34"/>
    <n v="18421114.824000001"/>
    <x v="0"/>
    <x v="1"/>
    <x v="0"/>
    <x v="1"/>
  </r>
  <r>
    <x v="291"/>
    <s v="Blessing Abdullahi"/>
    <s v="Male"/>
    <x v="30"/>
    <x v="0"/>
    <x v="86"/>
    <n v="42258"/>
    <n v="14029656"/>
    <s v="Kebbi"/>
    <x v="4"/>
    <s v="Enugu"/>
    <x v="0"/>
    <x v="1"/>
    <s v="Agent A"/>
    <x v="1"/>
    <n v="4878832"/>
    <n v="24"/>
    <n v="1.8"/>
    <n v="1.8000000000000002E-2"/>
    <s v="2024-11-08"/>
    <x v="2"/>
    <x v="0"/>
    <x v="3"/>
    <x v="0"/>
    <s v="Pending"/>
    <n v="4"/>
    <n v="3"/>
    <n v="13777122.192"/>
    <x v="0"/>
    <x v="0"/>
    <x v="0"/>
    <x v="2"/>
  </r>
  <r>
    <x v="292"/>
    <s v="Musa Abdullahi"/>
    <s v="Male"/>
    <x v="26"/>
    <x v="2"/>
    <x v="236"/>
    <n v="15915"/>
    <n v="13559580"/>
    <s v="Bayelsa"/>
    <x v="3"/>
    <s v="Uyo"/>
    <x v="2"/>
    <x v="3"/>
    <s v="Agent C"/>
    <x v="0"/>
    <n v="13559580"/>
    <n v="0"/>
    <n v="6.41"/>
    <n v="6.4100000000000004E-2"/>
    <s v="2024-12-19"/>
    <x v="3"/>
    <x v="0"/>
    <x v="0"/>
    <x v="2"/>
    <s v="Cancelled"/>
    <n v="3"/>
    <n v="22"/>
    <n v="12690410.922"/>
    <x v="0"/>
    <x v="1"/>
    <x v="0"/>
    <x v="0"/>
  </r>
  <r>
    <x v="293"/>
    <s v="Ibrahim Sani"/>
    <s v="Male"/>
    <x v="37"/>
    <x v="0"/>
    <x v="237"/>
    <n v="3908"/>
    <n v="3243640"/>
    <s v="Nasarawa"/>
    <x v="2"/>
    <s v="Calabar"/>
    <x v="1"/>
    <x v="0"/>
    <s v="Agent D"/>
    <x v="0"/>
    <n v="3243640"/>
    <n v="0"/>
    <n v="1.94"/>
    <n v="1.9400000000000001E-2"/>
    <s v="2024-06-22"/>
    <x v="1"/>
    <x v="0"/>
    <x v="1"/>
    <x v="1"/>
    <s v="Pending"/>
    <n v="1"/>
    <n v="34"/>
    <n v="3180713.3840000001"/>
    <x v="1"/>
    <x v="0"/>
    <x v="1"/>
    <x v="0"/>
  </r>
  <r>
    <x v="294"/>
    <s v="David Ogunleye"/>
    <s v="Male"/>
    <x v="18"/>
    <x v="2"/>
    <x v="238"/>
    <n v="37119"/>
    <n v="28507392"/>
    <s v="Edo"/>
    <x v="3"/>
    <s v="Enugu"/>
    <x v="0"/>
    <x v="4"/>
    <s v="Agent D"/>
    <x v="0"/>
    <n v="28507392"/>
    <n v="0"/>
    <n v="2.08"/>
    <n v="2.0799999999999999E-2"/>
    <s v="2024-12-16"/>
    <x v="3"/>
    <x v="0"/>
    <x v="3"/>
    <x v="0"/>
    <s v="Cancelled"/>
    <n v="4"/>
    <n v="12"/>
    <n v="27914438.246399999"/>
    <x v="0"/>
    <x v="0"/>
    <x v="0"/>
    <x v="0"/>
  </r>
  <r>
    <x v="295"/>
    <s v="Ibrahim Eze"/>
    <s v="Female"/>
    <x v="19"/>
    <x v="2"/>
    <x v="239"/>
    <n v="22611"/>
    <n v="20847342"/>
    <s v="Kano"/>
    <x v="4"/>
    <s v="Ibadan"/>
    <x v="0"/>
    <x v="3"/>
    <s v="Agent C"/>
    <x v="0"/>
    <n v="20847342"/>
    <n v="0"/>
    <n v="2.71"/>
    <n v="2.7099999999999999E-2"/>
    <s v="2024-02-14"/>
    <x v="0"/>
    <x v="0"/>
    <x v="3"/>
    <x v="2"/>
    <s v="Pending"/>
    <n v="1"/>
    <n v="50"/>
    <n v="20282379.031799998"/>
    <x v="0"/>
    <x v="0"/>
    <x v="0"/>
    <x v="0"/>
  </r>
  <r>
    <x v="296"/>
    <s v="Musa Ogunleye"/>
    <s v="Male"/>
    <x v="43"/>
    <x v="1"/>
    <x v="240"/>
    <n v="3634"/>
    <n v="2609212"/>
    <s v="Anambra"/>
    <x v="1"/>
    <s v="Warri"/>
    <x v="2"/>
    <x v="0"/>
    <s v="Agent B"/>
    <x v="1"/>
    <n v="670733"/>
    <n v="6"/>
    <n v="9.24"/>
    <n v="9.2399999999999996E-2"/>
    <s v="2024-09-25"/>
    <x v="5"/>
    <x v="0"/>
    <x v="0"/>
    <x v="1"/>
    <s v="Pending"/>
    <n v="5"/>
    <n v="8"/>
    <n v="2368120.8111999999"/>
    <x v="1"/>
    <x v="1"/>
    <x v="1"/>
    <x v="1"/>
  </r>
  <r>
    <x v="297"/>
    <s v="Amina Effiong"/>
    <s v="Female"/>
    <x v="41"/>
    <x v="1"/>
    <x v="241"/>
    <n v="40947"/>
    <n v="36975141"/>
    <s v="Ogun"/>
    <x v="5"/>
    <s v="Lagos"/>
    <x v="1"/>
    <x v="0"/>
    <s v="Agent C"/>
    <x v="0"/>
    <n v="36975141"/>
    <n v="0"/>
    <n v="3.33"/>
    <n v="3.3300000000000003E-2"/>
    <s v="2024-01-24"/>
    <x v="7"/>
    <x v="0"/>
    <x v="3"/>
    <x v="2"/>
    <s v="Pending"/>
    <n v="3"/>
    <n v="35"/>
    <n v="35743868.804700002"/>
    <x v="2"/>
    <x v="0"/>
    <x v="2"/>
    <x v="0"/>
  </r>
  <r>
    <x v="298"/>
    <s v="Samuel Effiong"/>
    <s v="Male"/>
    <x v="42"/>
    <x v="1"/>
    <x v="27"/>
    <n v="11785"/>
    <n v="5645015"/>
    <s v="Akwa Ibom"/>
    <x v="3"/>
    <s v="Abuja"/>
    <x v="1"/>
    <x v="3"/>
    <s v="Agent C"/>
    <x v="0"/>
    <n v="5645015"/>
    <n v="0"/>
    <n v="2.74"/>
    <n v="2.7400000000000001E-2"/>
    <s v="2024-01-08"/>
    <x v="7"/>
    <x v="0"/>
    <x v="1"/>
    <x v="2"/>
    <s v="Cancelled"/>
    <n v="3"/>
    <n v="37"/>
    <n v="5490341.5889999997"/>
    <x v="1"/>
    <x v="0"/>
    <x v="1"/>
    <x v="1"/>
  </r>
  <r>
    <x v="299"/>
    <s v="Chinedu Bello"/>
    <s v="Female"/>
    <x v="13"/>
    <x v="0"/>
    <x v="242"/>
    <n v="42190"/>
    <n v="21854420"/>
    <s v="Imo"/>
    <x v="1"/>
    <s v="Abuja"/>
    <x v="1"/>
    <x v="1"/>
    <s v="Agent B"/>
    <x v="1"/>
    <n v="4703461"/>
    <n v="24"/>
    <n v="0.28999999999999998"/>
    <n v="2.8999999999999998E-3"/>
    <s v="2024-12-11"/>
    <x v="3"/>
    <x v="0"/>
    <x v="2"/>
    <x v="0"/>
    <s v="Pending"/>
    <n v="3"/>
    <n v="22"/>
    <n v="21791042.182"/>
    <x v="0"/>
    <x v="0"/>
    <x v="0"/>
    <x v="1"/>
  </r>
  <r>
    <x v="300"/>
    <s v="Ibrahim Bello"/>
    <s v="Female"/>
    <x v="26"/>
    <x v="1"/>
    <x v="243"/>
    <n v="32519"/>
    <n v="31640987"/>
    <s v="Ebonyi"/>
    <x v="1"/>
    <s v="Abuja"/>
    <x v="2"/>
    <x v="1"/>
    <s v="Agent D"/>
    <x v="0"/>
    <n v="31640987"/>
    <n v="0"/>
    <n v="0.93"/>
    <n v="9.300000000000001E-3"/>
    <s v="2024-12-23"/>
    <x v="3"/>
    <x v="0"/>
    <x v="3"/>
    <x v="2"/>
    <s v="Completed"/>
    <n v="5"/>
    <n v="17"/>
    <n v="31346725.820900001"/>
    <x v="2"/>
    <x v="0"/>
    <x v="2"/>
    <x v="0"/>
  </r>
  <r>
    <x v="301"/>
    <s v="Amina Ogunleye"/>
    <s v="Female"/>
    <x v="25"/>
    <x v="0"/>
    <x v="244"/>
    <n v="45593"/>
    <n v="41763188"/>
    <s v="Akwa Ibom"/>
    <x v="3"/>
    <s v="Kano"/>
    <x v="1"/>
    <x v="4"/>
    <s v="Agent E"/>
    <x v="1"/>
    <n v="14031801"/>
    <n v="12"/>
    <n v="0.3"/>
    <n v="3.0000000000000001E-3"/>
    <s v="2024-08-31"/>
    <x v="8"/>
    <x v="0"/>
    <x v="3"/>
    <x v="0"/>
    <s v="Completed"/>
    <n v="4"/>
    <n v="46"/>
    <n v="41637898.435999997"/>
    <x v="2"/>
    <x v="0"/>
    <x v="2"/>
    <x v="0"/>
  </r>
  <r>
    <x v="302"/>
    <s v="Blessing Effiong"/>
    <s v="Male"/>
    <x v="10"/>
    <x v="2"/>
    <x v="245"/>
    <n v="6648"/>
    <n v="5750520"/>
    <s v="Ogun"/>
    <x v="5"/>
    <s v="Uyo"/>
    <x v="0"/>
    <x v="4"/>
    <s v="Agent B"/>
    <x v="1"/>
    <n v="1841575"/>
    <n v="24"/>
    <n v="4.13"/>
    <n v="4.1299999999999996E-2"/>
    <s v="2024-11-13"/>
    <x v="2"/>
    <x v="0"/>
    <x v="2"/>
    <x v="1"/>
    <s v="Cancelled"/>
    <n v="3"/>
    <n v="35"/>
    <n v="5513023.5240000002"/>
    <x v="1"/>
    <x v="0"/>
    <x v="1"/>
    <x v="0"/>
  </r>
  <r>
    <x v="303"/>
    <s v="Samuel Sani"/>
    <s v="Male"/>
    <x v="9"/>
    <x v="1"/>
    <x v="246"/>
    <n v="45883"/>
    <n v="40285274"/>
    <s v="Yobe"/>
    <x v="0"/>
    <s v="Kano"/>
    <x v="1"/>
    <x v="4"/>
    <s v="Agent E"/>
    <x v="0"/>
    <n v="40285274"/>
    <n v="0"/>
    <n v="7.39"/>
    <n v="7.3899999999999993E-2"/>
    <s v="2024-12-30"/>
    <x v="3"/>
    <x v="0"/>
    <x v="0"/>
    <x v="1"/>
    <s v="Completed"/>
    <n v="3"/>
    <n v="26"/>
    <n v="37308192.251400001"/>
    <x v="2"/>
    <x v="1"/>
    <x v="2"/>
    <x v="0"/>
  </r>
  <r>
    <x v="304"/>
    <s v="Blessing Adeyemi"/>
    <s v="Male"/>
    <x v="18"/>
    <x v="1"/>
    <x v="247"/>
    <n v="41086"/>
    <n v="37018486"/>
    <s v="Ondo"/>
    <x v="5"/>
    <s v="Abuja"/>
    <x v="0"/>
    <x v="1"/>
    <s v="Agent E"/>
    <x v="1"/>
    <n v="12893115"/>
    <n v="12"/>
    <n v="6.6"/>
    <n v="6.6000000000000003E-2"/>
    <s v="2024-02-16"/>
    <x v="0"/>
    <x v="0"/>
    <x v="1"/>
    <x v="1"/>
    <s v="Cancelled"/>
    <n v="5"/>
    <n v="29"/>
    <n v="34575265.923999995"/>
    <x v="2"/>
    <x v="1"/>
    <x v="2"/>
    <x v="0"/>
  </r>
  <r>
    <x v="305"/>
    <s v="Samuel Okafor"/>
    <s v="Female"/>
    <x v="45"/>
    <x v="2"/>
    <x v="248"/>
    <n v="39373"/>
    <n v="19922738"/>
    <s v="Imo"/>
    <x v="1"/>
    <s v="Enugu"/>
    <x v="0"/>
    <x v="4"/>
    <s v="Agent E"/>
    <x v="1"/>
    <n v="8274658"/>
    <n v="24"/>
    <n v="9.15"/>
    <n v="9.1499999999999998E-2"/>
    <s v="2024-02-15"/>
    <x v="0"/>
    <x v="0"/>
    <x v="0"/>
    <x v="2"/>
    <s v="Cancelled"/>
    <n v="5"/>
    <n v="23"/>
    <n v="18099807.473000001"/>
    <x v="0"/>
    <x v="1"/>
    <x v="0"/>
    <x v="1"/>
  </r>
  <r>
    <x v="306"/>
    <s v="Grace Eze"/>
    <s v="Male"/>
    <x v="10"/>
    <x v="0"/>
    <x v="249"/>
    <n v="30292"/>
    <n v="13328480"/>
    <s v="Ogun"/>
    <x v="5"/>
    <s v="Lagos"/>
    <x v="0"/>
    <x v="3"/>
    <s v="Agent D"/>
    <x v="1"/>
    <n v="5511754"/>
    <n v="12"/>
    <n v="4.0599999999999996"/>
    <n v="4.0599999999999997E-2"/>
    <s v="2024-08-10"/>
    <x v="8"/>
    <x v="0"/>
    <x v="1"/>
    <x v="1"/>
    <s v="Completed"/>
    <n v="3"/>
    <n v="43"/>
    <n v="12787343.712000001"/>
    <x v="0"/>
    <x v="0"/>
    <x v="0"/>
    <x v="2"/>
  </r>
  <r>
    <x v="307"/>
    <s v="Ngozi Adeyemi"/>
    <s v="Male"/>
    <x v="45"/>
    <x v="1"/>
    <x v="250"/>
    <n v="44492"/>
    <n v="12146316"/>
    <s v="Imo"/>
    <x v="1"/>
    <s v="Lagos"/>
    <x v="1"/>
    <x v="1"/>
    <s v="Agent E"/>
    <x v="0"/>
    <n v="12146316"/>
    <n v="0"/>
    <n v="1.44"/>
    <n v="1.44E-2"/>
    <s v="2024-09-06"/>
    <x v="5"/>
    <x v="0"/>
    <x v="2"/>
    <x v="0"/>
    <s v="Completed"/>
    <n v="4"/>
    <n v="33"/>
    <n v="11971409.0496"/>
    <x v="0"/>
    <x v="0"/>
    <x v="0"/>
    <x v="2"/>
  </r>
  <r>
    <x v="308"/>
    <s v="Chinedu Ojo"/>
    <s v="Female"/>
    <x v="32"/>
    <x v="1"/>
    <x v="251"/>
    <n v="25285"/>
    <n v="14994005"/>
    <s v="Plateau"/>
    <x v="2"/>
    <s v="Warri"/>
    <x v="2"/>
    <x v="4"/>
    <s v="Agent D"/>
    <x v="0"/>
    <n v="14994005"/>
    <n v="0"/>
    <n v="1.86"/>
    <n v="1.8600000000000002E-2"/>
    <s v="2024-11-05"/>
    <x v="2"/>
    <x v="0"/>
    <x v="1"/>
    <x v="2"/>
    <s v="Completed"/>
    <n v="5"/>
    <n v="31"/>
    <n v="14715116.507000001"/>
    <x v="0"/>
    <x v="0"/>
    <x v="0"/>
    <x v="1"/>
  </r>
  <r>
    <x v="309"/>
    <s v="Musa Sani"/>
    <s v="Male"/>
    <x v="33"/>
    <x v="1"/>
    <x v="252"/>
    <n v="33557"/>
    <n v="26644258"/>
    <s v="Adamawa"/>
    <x v="0"/>
    <s v="Abuja"/>
    <x v="0"/>
    <x v="0"/>
    <s v="Agent D"/>
    <x v="0"/>
    <n v="26644258"/>
    <n v="0"/>
    <n v="1.42"/>
    <n v="1.4199999999999999E-2"/>
    <s v="2024-09-26"/>
    <x v="5"/>
    <x v="0"/>
    <x v="0"/>
    <x v="0"/>
    <s v="Cancelled"/>
    <n v="5"/>
    <n v="38"/>
    <n v="26265909.536400001"/>
    <x v="0"/>
    <x v="0"/>
    <x v="0"/>
    <x v="0"/>
  </r>
  <r>
    <x v="310"/>
    <s v="Ibrahim Ojo"/>
    <s v="Female"/>
    <x v="28"/>
    <x v="2"/>
    <x v="253"/>
    <n v="37063"/>
    <n v="20421713"/>
    <s v="Edo"/>
    <x v="3"/>
    <s v="Lagos"/>
    <x v="1"/>
    <x v="4"/>
    <s v="Agent B"/>
    <x v="0"/>
    <n v="20421713"/>
    <n v="0"/>
    <n v="4.6900000000000004"/>
    <n v="4.6900000000000004E-2"/>
    <s v="2024-09-19"/>
    <x v="5"/>
    <x v="0"/>
    <x v="0"/>
    <x v="0"/>
    <s v="Cancelled"/>
    <n v="3"/>
    <n v="47"/>
    <n v="19463934.660299998"/>
    <x v="0"/>
    <x v="0"/>
    <x v="0"/>
    <x v="1"/>
  </r>
  <r>
    <x v="311"/>
    <s v="Musa Ojo"/>
    <s v="Male"/>
    <x v="6"/>
    <x v="2"/>
    <x v="192"/>
    <n v="33009"/>
    <n v="27859596"/>
    <s v="Katsina"/>
    <x v="4"/>
    <s v="Lagos"/>
    <x v="0"/>
    <x v="0"/>
    <s v="Agent E"/>
    <x v="0"/>
    <n v="27859596"/>
    <n v="0"/>
    <n v="5.73"/>
    <n v="5.7300000000000004E-2"/>
    <s v="2024-12-02"/>
    <x v="3"/>
    <x v="0"/>
    <x v="0"/>
    <x v="1"/>
    <s v="Pending"/>
    <n v="2"/>
    <n v="40"/>
    <n v="26263241.1492"/>
    <x v="0"/>
    <x v="1"/>
    <x v="0"/>
    <x v="0"/>
  </r>
  <r>
    <x v="312"/>
    <s v="Ibrahim Ogunleye"/>
    <s v="Male"/>
    <x v="12"/>
    <x v="1"/>
    <x v="254"/>
    <n v="9310"/>
    <n v="1992340"/>
    <s v="Bayelsa"/>
    <x v="3"/>
    <s v="Ibadan"/>
    <x v="0"/>
    <x v="1"/>
    <s v="Agent B"/>
    <x v="0"/>
    <n v="1992340"/>
    <n v="0"/>
    <n v="9.1"/>
    <n v="9.0999999999999998E-2"/>
    <s v="2024-03-18"/>
    <x v="6"/>
    <x v="0"/>
    <x v="0"/>
    <x v="1"/>
    <s v="Completed"/>
    <n v="2"/>
    <n v="39"/>
    <n v="1811037.06"/>
    <x v="1"/>
    <x v="1"/>
    <x v="1"/>
    <x v="2"/>
  </r>
  <r>
    <x v="313"/>
    <s v="Tunde Eze"/>
    <s v="Female"/>
    <x v="13"/>
    <x v="1"/>
    <x v="255"/>
    <n v="27111"/>
    <n v="26785668"/>
    <s v="Abia"/>
    <x v="1"/>
    <s v="Kaduna"/>
    <x v="1"/>
    <x v="2"/>
    <s v="Agent A"/>
    <x v="0"/>
    <n v="26785668"/>
    <n v="0"/>
    <n v="6.61"/>
    <n v="6.6100000000000006E-2"/>
    <s v="2024-11-22"/>
    <x v="2"/>
    <x v="0"/>
    <x v="3"/>
    <x v="1"/>
    <s v="Pending"/>
    <n v="4"/>
    <n v="20"/>
    <n v="25015135.345199998"/>
    <x v="0"/>
    <x v="1"/>
    <x v="0"/>
    <x v="0"/>
  </r>
  <r>
    <x v="314"/>
    <s v="Chinedu Abdullahi"/>
    <s v="Female"/>
    <x v="38"/>
    <x v="1"/>
    <x v="256"/>
    <n v="26890"/>
    <n v="11804710"/>
    <s v="Nasarawa"/>
    <x v="2"/>
    <s v="Uyo"/>
    <x v="1"/>
    <x v="3"/>
    <s v="Agent A"/>
    <x v="1"/>
    <n v="3291006"/>
    <n v="24"/>
    <n v="5.3"/>
    <n v="5.2999999999999999E-2"/>
    <s v="2024-08-10"/>
    <x v="8"/>
    <x v="0"/>
    <x v="0"/>
    <x v="0"/>
    <s v="Cancelled"/>
    <n v="3"/>
    <n v="28"/>
    <n v="11179060.369999999"/>
    <x v="0"/>
    <x v="1"/>
    <x v="0"/>
    <x v="2"/>
  </r>
  <r>
    <x v="315"/>
    <s v="Blessing Ojo"/>
    <s v="Male"/>
    <x v="33"/>
    <x v="2"/>
    <x v="257"/>
    <n v="19716"/>
    <n v="10705788"/>
    <s v="Zamfara"/>
    <x v="4"/>
    <s v="Ibadan"/>
    <x v="2"/>
    <x v="0"/>
    <s v="Agent C"/>
    <x v="1"/>
    <n v="2961255"/>
    <n v="3"/>
    <n v="5.84"/>
    <n v="5.8400000000000001E-2"/>
    <s v="2024-08-24"/>
    <x v="8"/>
    <x v="0"/>
    <x v="0"/>
    <x v="0"/>
    <s v="Completed"/>
    <n v="1"/>
    <n v="1"/>
    <n v="10080569.980799999"/>
    <x v="0"/>
    <x v="1"/>
    <x v="0"/>
    <x v="1"/>
  </r>
  <r>
    <x v="316"/>
    <s v="Chinedu Okafor"/>
    <s v="Male"/>
    <x v="13"/>
    <x v="1"/>
    <x v="208"/>
    <n v="46924"/>
    <n v="14358744"/>
    <s v="FCT"/>
    <x v="2"/>
    <s v="Uyo"/>
    <x v="2"/>
    <x v="0"/>
    <s v="Agent E"/>
    <x v="1"/>
    <n v="3816912"/>
    <n v="12"/>
    <n v="2.83"/>
    <n v="2.8300000000000002E-2"/>
    <s v="2024-04-08"/>
    <x v="9"/>
    <x v="0"/>
    <x v="0"/>
    <x v="0"/>
    <s v="Completed"/>
    <n v="1"/>
    <n v="39"/>
    <n v="13952391.5448"/>
    <x v="0"/>
    <x v="0"/>
    <x v="0"/>
    <x v="2"/>
  </r>
  <r>
    <x v="317"/>
    <s v="Amina Sani"/>
    <s v="Female"/>
    <x v="44"/>
    <x v="1"/>
    <x v="258"/>
    <n v="9264"/>
    <n v="3603696"/>
    <s v="Abia"/>
    <x v="1"/>
    <s v="Calabar"/>
    <x v="2"/>
    <x v="4"/>
    <s v="Agent C"/>
    <x v="0"/>
    <n v="3603696"/>
    <n v="0"/>
    <n v="2.5299999999999998"/>
    <n v="2.53E-2"/>
    <s v="2024-08-27"/>
    <x v="8"/>
    <x v="0"/>
    <x v="3"/>
    <x v="2"/>
    <s v="Pending"/>
    <n v="1"/>
    <n v="25"/>
    <n v="3512522.4912"/>
    <x v="1"/>
    <x v="0"/>
    <x v="1"/>
    <x v="2"/>
  </r>
  <r>
    <x v="318"/>
    <s v="Blessing Ojo"/>
    <s v="Female"/>
    <x v="36"/>
    <x v="1"/>
    <x v="259"/>
    <n v="19345"/>
    <n v="8976080"/>
    <s v="Kogi"/>
    <x v="2"/>
    <s v="Lagos"/>
    <x v="1"/>
    <x v="2"/>
    <s v="Agent B"/>
    <x v="0"/>
    <n v="8976080"/>
    <n v="0"/>
    <n v="4.41"/>
    <n v="4.41E-2"/>
    <s v="2024-09-08"/>
    <x v="5"/>
    <x v="0"/>
    <x v="2"/>
    <x v="2"/>
    <s v="Cancelled"/>
    <n v="1"/>
    <n v="29"/>
    <n v="8580234.8719999995"/>
    <x v="1"/>
    <x v="0"/>
    <x v="1"/>
    <x v="2"/>
  </r>
  <r>
    <x v="319"/>
    <s v="Ibrahim Okafor"/>
    <s v="Female"/>
    <x v="18"/>
    <x v="1"/>
    <x v="260"/>
    <n v="6778"/>
    <n v="1592830"/>
    <s v="Adamawa"/>
    <x v="0"/>
    <s v="Abuja"/>
    <x v="2"/>
    <x v="2"/>
    <s v="Agent A"/>
    <x v="0"/>
    <n v="1592830"/>
    <n v="0"/>
    <n v="5.71"/>
    <n v="5.7099999999999998E-2"/>
    <s v="2024-05-08"/>
    <x v="11"/>
    <x v="0"/>
    <x v="2"/>
    <x v="1"/>
    <s v="Completed"/>
    <n v="3"/>
    <n v="26"/>
    <n v="1501879.4069999999"/>
    <x v="1"/>
    <x v="1"/>
    <x v="1"/>
    <x v="2"/>
  </r>
  <r>
    <x v="320"/>
    <s v="Grace Eze"/>
    <s v="Male"/>
    <x v="38"/>
    <x v="1"/>
    <x v="261"/>
    <n v="34157"/>
    <n v="31561068"/>
    <s v="Kano"/>
    <x v="4"/>
    <s v="Uyo"/>
    <x v="1"/>
    <x v="2"/>
    <s v="Agent E"/>
    <x v="1"/>
    <n v="10136589"/>
    <n v="24"/>
    <n v="7.28"/>
    <n v="7.2800000000000004E-2"/>
    <s v="2024-02-05"/>
    <x v="0"/>
    <x v="0"/>
    <x v="1"/>
    <x v="1"/>
    <s v="Cancelled"/>
    <n v="3"/>
    <n v="26"/>
    <n v="29263422.249600001"/>
    <x v="0"/>
    <x v="1"/>
    <x v="0"/>
    <x v="0"/>
  </r>
  <r>
    <x v="321"/>
    <s v="Blessing Adeyemi"/>
    <s v="Male"/>
    <x v="38"/>
    <x v="1"/>
    <x v="54"/>
    <n v="37037"/>
    <n v="21259238"/>
    <s v="Ekiti"/>
    <x v="5"/>
    <s v="Abuja"/>
    <x v="0"/>
    <x v="4"/>
    <s v="Agent D"/>
    <x v="1"/>
    <n v="9616711"/>
    <n v="3"/>
    <n v="7.6"/>
    <n v="7.5999999999999998E-2"/>
    <s v="2024-05-28"/>
    <x v="11"/>
    <x v="0"/>
    <x v="0"/>
    <x v="0"/>
    <s v="Cancelled"/>
    <n v="3"/>
    <n v="32"/>
    <n v="19643535.912"/>
    <x v="0"/>
    <x v="1"/>
    <x v="0"/>
    <x v="1"/>
  </r>
  <r>
    <x v="322"/>
    <s v="Samuel Eze"/>
    <s v="Female"/>
    <x v="38"/>
    <x v="0"/>
    <x v="262"/>
    <n v="14416"/>
    <n v="13724032"/>
    <s v="Ekiti"/>
    <x v="5"/>
    <s v="Warri"/>
    <x v="2"/>
    <x v="4"/>
    <s v="Agent D"/>
    <x v="0"/>
    <n v="13724032"/>
    <n v="0"/>
    <n v="0.36"/>
    <n v="3.5999999999999999E-3"/>
    <s v="2024-01-13"/>
    <x v="7"/>
    <x v="0"/>
    <x v="2"/>
    <x v="2"/>
    <s v="Completed"/>
    <n v="3"/>
    <n v="4"/>
    <n v="13674625.4848"/>
    <x v="0"/>
    <x v="0"/>
    <x v="0"/>
    <x v="0"/>
  </r>
  <r>
    <x v="323"/>
    <s v="Grace Sani"/>
    <s v="Male"/>
    <x v="9"/>
    <x v="0"/>
    <x v="263"/>
    <n v="9745"/>
    <n v="5993175"/>
    <s v="Cross River"/>
    <x v="3"/>
    <s v="Lagos"/>
    <x v="0"/>
    <x v="2"/>
    <s v="Agent B"/>
    <x v="0"/>
    <n v="5993175"/>
    <n v="0"/>
    <n v="8.07"/>
    <n v="8.0700000000000008E-2"/>
    <s v="2024-12-07"/>
    <x v="3"/>
    <x v="0"/>
    <x v="2"/>
    <x v="0"/>
    <s v="Completed"/>
    <n v="4"/>
    <n v="40"/>
    <n v="5509525.7774999999"/>
    <x v="1"/>
    <x v="1"/>
    <x v="1"/>
    <x v="1"/>
  </r>
  <r>
    <x v="324"/>
    <s v="Ibrahim Ojo"/>
    <s v="Male"/>
    <x v="9"/>
    <x v="0"/>
    <x v="254"/>
    <n v="13288"/>
    <n v="2843632"/>
    <s v="Oyo"/>
    <x v="5"/>
    <s v="Kano"/>
    <x v="0"/>
    <x v="2"/>
    <s v="Agent D"/>
    <x v="0"/>
    <n v="2843632"/>
    <n v="0"/>
    <n v="9.0500000000000007"/>
    <n v="9.0500000000000011E-2"/>
    <s v="2024-02-19"/>
    <x v="0"/>
    <x v="0"/>
    <x v="3"/>
    <x v="2"/>
    <s v="Completed"/>
    <n v="4"/>
    <n v="22"/>
    <n v="2586283.304"/>
    <x v="1"/>
    <x v="1"/>
    <x v="1"/>
    <x v="2"/>
  </r>
  <r>
    <x v="325"/>
    <s v="Chinedu Ojo"/>
    <s v="Male"/>
    <x v="1"/>
    <x v="0"/>
    <x v="264"/>
    <n v="9916"/>
    <n v="5275312"/>
    <s v="Taraba"/>
    <x v="0"/>
    <s v="Kaduna"/>
    <x v="0"/>
    <x v="4"/>
    <s v="Agent B"/>
    <x v="0"/>
    <n v="5275312"/>
    <n v="0"/>
    <n v="3.22"/>
    <n v="3.2199999999999999E-2"/>
    <s v="2024-04-19"/>
    <x v="9"/>
    <x v="0"/>
    <x v="2"/>
    <x v="2"/>
    <s v="Cancelled"/>
    <n v="3"/>
    <n v="36"/>
    <n v="5105446.9535999997"/>
    <x v="1"/>
    <x v="0"/>
    <x v="1"/>
    <x v="1"/>
  </r>
  <r>
    <x v="326"/>
    <s v="Samuel Obi"/>
    <s v="Male"/>
    <x v="41"/>
    <x v="2"/>
    <x v="265"/>
    <n v="4667"/>
    <n v="3710265"/>
    <s v="Abia"/>
    <x v="1"/>
    <s v="Port Harcourt"/>
    <x v="0"/>
    <x v="2"/>
    <s v="Agent A"/>
    <x v="0"/>
    <n v="3710265"/>
    <n v="0"/>
    <n v="1"/>
    <n v="0.01"/>
    <s v="2024-11-19"/>
    <x v="2"/>
    <x v="0"/>
    <x v="3"/>
    <x v="2"/>
    <s v="Cancelled"/>
    <n v="5"/>
    <n v="19"/>
    <n v="3673162.35"/>
    <x v="1"/>
    <x v="0"/>
    <x v="1"/>
    <x v="0"/>
  </r>
  <r>
    <x v="327"/>
    <s v="Grace Sani"/>
    <s v="Female"/>
    <x v="32"/>
    <x v="0"/>
    <x v="234"/>
    <n v="10316"/>
    <n v="9366928"/>
    <s v="Nasarawa"/>
    <x v="2"/>
    <s v="Warri"/>
    <x v="2"/>
    <x v="2"/>
    <s v="Agent E"/>
    <x v="0"/>
    <n v="9366928"/>
    <n v="0"/>
    <n v="1.43"/>
    <n v="1.43E-2"/>
    <s v="2024-05-18"/>
    <x v="11"/>
    <x v="0"/>
    <x v="3"/>
    <x v="0"/>
    <s v="Pending"/>
    <n v="5"/>
    <n v="6"/>
    <n v="9232980.9296000004"/>
    <x v="1"/>
    <x v="0"/>
    <x v="1"/>
    <x v="0"/>
  </r>
  <r>
    <x v="328"/>
    <s v="Amina Ojo"/>
    <s v="Female"/>
    <x v="3"/>
    <x v="1"/>
    <x v="128"/>
    <n v="2299"/>
    <n v="1443772"/>
    <s v="Adamawa"/>
    <x v="0"/>
    <s v="Enugu"/>
    <x v="0"/>
    <x v="1"/>
    <s v="Agent B"/>
    <x v="0"/>
    <n v="1443772"/>
    <n v="0"/>
    <n v="1.92"/>
    <n v="1.9199999999999998E-2"/>
    <s v="2024-09-28"/>
    <x v="5"/>
    <x v="0"/>
    <x v="1"/>
    <x v="2"/>
    <s v="Completed"/>
    <n v="1"/>
    <n v="10"/>
    <n v="1416051.5776"/>
    <x v="1"/>
    <x v="0"/>
    <x v="1"/>
    <x v="1"/>
  </r>
  <r>
    <x v="329"/>
    <s v="Musa Eze"/>
    <s v="Female"/>
    <x v="12"/>
    <x v="2"/>
    <x v="266"/>
    <n v="12470"/>
    <n v="4738600"/>
    <s v="Bauchi"/>
    <x v="0"/>
    <s v="Warri"/>
    <x v="2"/>
    <x v="1"/>
    <s v="Agent A"/>
    <x v="0"/>
    <n v="4738600"/>
    <n v="0"/>
    <n v="0.54"/>
    <n v="5.4000000000000003E-3"/>
    <s v="2024-07-05"/>
    <x v="10"/>
    <x v="0"/>
    <x v="0"/>
    <x v="0"/>
    <s v="Completed"/>
    <n v="5"/>
    <n v="12"/>
    <n v="4713011.5600000005"/>
    <x v="1"/>
    <x v="0"/>
    <x v="1"/>
    <x v="2"/>
  </r>
  <r>
    <x v="330"/>
    <s v="Samuel Ojo"/>
    <s v="Female"/>
    <x v="28"/>
    <x v="0"/>
    <x v="80"/>
    <n v="9606"/>
    <n v="6983562"/>
    <s v="Anambra"/>
    <x v="1"/>
    <s v="Warri"/>
    <x v="2"/>
    <x v="4"/>
    <s v="Agent B"/>
    <x v="0"/>
    <n v="6983562"/>
    <n v="0"/>
    <n v="8.9499999999999993"/>
    <n v="8.9499999999999996E-2"/>
    <s v="2024-08-15"/>
    <x v="8"/>
    <x v="0"/>
    <x v="0"/>
    <x v="1"/>
    <s v="Completed"/>
    <n v="1"/>
    <n v="16"/>
    <n v="6358533.2009999994"/>
    <x v="1"/>
    <x v="1"/>
    <x v="1"/>
    <x v="1"/>
  </r>
  <r>
    <x v="331"/>
    <s v="Chinedu Obi"/>
    <s v="Male"/>
    <x v="42"/>
    <x v="1"/>
    <x v="267"/>
    <n v="16461"/>
    <n v="9613224"/>
    <s v="Bauchi"/>
    <x v="0"/>
    <s v="Port Harcourt"/>
    <x v="1"/>
    <x v="0"/>
    <s v="Agent D"/>
    <x v="0"/>
    <n v="9613224"/>
    <n v="0"/>
    <n v="4.71"/>
    <n v="4.7100000000000003E-2"/>
    <s v="2024-09-05"/>
    <x v="5"/>
    <x v="0"/>
    <x v="1"/>
    <x v="2"/>
    <s v="Pending"/>
    <n v="2"/>
    <n v="41"/>
    <n v="9160441.1495999992"/>
    <x v="1"/>
    <x v="0"/>
    <x v="1"/>
    <x v="1"/>
  </r>
  <r>
    <x v="332"/>
    <s v="Musa Adeyemi"/>
    <s v="Male"/>
    <x v="25"/>
    <x v="2"/>
    <x v="257"/>
    <n v="10336"/>
    <n v="5612448"/>
    <s v="Bayelsa"/>
    <x v="3"/>
    <s v="Port Harcourt"/>
    <x v="1"/>
    <x v="0"/>
    <s v="Agent C"/>
    <x v="0"/>
    <n v="5612448"/>
    <n v="0"/>
    <n v="6.92"/>
    <n v="6.9199999999999998E-2"/>
    <s v="2024-01-31"/>
    <x v="7"/>
    <x v="0"/>
    <x v="3"/>
    <x v="1"/>
    <s v="Cancelled"/>
    <n v="2"/>
    <n v="41"/>
    <n v="5224066.5983999996"/>
    <x v="1"/>
    <x v="1"/>
    <x v="1"/>
    <x v="1"/>
  </r>
  <r>
    <x v="333"/>
    <s v="Ibrahim Eze"/>
    <s v="Female"/>
    <x v="25"/>
    <x v="2"/>
    <x v="268"/>
    <n v="17053"/>
    <n v="13062598"/>
    <s v="Kaduna"/>
    <x v="4"/>
    <s v="Calabar"/>
    <x v="0"/>
    <x v="1"/>
    <s v="Agent B"/>
    <x v="0"/>
    <n v="13062598"/>
    <n v="0"/>
    <n v="4.12"/>
    <n v="4.1200000000000001E-2"/>
    <s v="2024-09-24"/>
    <x v="5"/>
    <x v="0"/>
    <x v="3"/>
    <x v="1"/>
    <s v="Pending"/>
    <n v="5"/>
    <n v="15"/>
    <n v="12524418.962400001"/>
    <x v="0"/>
    <x v="0"/>
    <x v="0"/>
    <x v="0"/>
  </r>
  <r>
    <x v="334"/>
    <s v="Grace Okafor"/>
    <s v="Female"/>
    <x v="33"/>
    <x v="2"/>
    <x v="269"/>
    <n v="29379"/>
    <n v="6022695"/>
    <s v="Kaduna"/>
    <x v="4"/>
    <s v="Calabar"/>
    <x v="1"/>
    <x v="2"/>
    <s v="Agent D"/>
    <x v="0"/>
    <n v="6022695"/>
    <n v="0"/>
    <n v="0.4"/>
    <n v="4.0000000000000001E-3"/>
    <s v="2024-08-28"/>
    <x v="8"/>
    <x v="0"/>
    <x v="2"/>
    <x v="2"/>
    <s v="Completed"/>
    <n v="5"/>
    <n v="49"/>
    <n v="5998604.2199999997"/>
    <x v="1"/>
    <x v="0"/>
    <x v="1"/>
    <x v="2"/>
  </r>
  <r>
    <x v="335"/>
    <s v="Ibrahim Abdullahi"/>
    <s v="Male"/>
    <x v="2"/>
    <x v="2"/>
    <x v="270"/>
    <n v="10697"/>
    <n v="4524831"/>
    <s v="Ekiti"/>
    <x v="5"/>
    <s v="Kaduna"/>
    <x v="2"/>
    <x v="3"/>
    <s v="Agent A"/>
    <x v="1"/>
    <n v="1229481"/>
    <n v="12"/>
    <n v="9.99"/>
    <n v="9.9900000000000003E-2"/>
    <s v="2024-01-09"/>
    <x v="7"/>
    <x v="0"/>
    <x v="2"/>
    <x v="1"/>
    <s v="Completed"/>
    <n v="4"/>
    <n v="12"/>
    <n v="4072800.3831000002"/>
    <x v="1"/>
    <x v="1"/>
    <x v="1"/>
    <x v="2"/>
  </r>
  <r>
    <x v="336"/>
    <s v="Ngozi Ogunleye"/>
    <s v="Male"/>
    <x v="6"/>
    <x v="2"/>
    <x v="103"/>
    <n v="43510"/>
    <n v="40029200"/>
    <s v="Cross River"/>
    <x v="3"/>
    <s v="Warri"/>
    <x v="1"/>
    <x v="3"/>
    <s v="Agent E"/>
    <x v="0"/>
    <n v="40029200"/>
    <n v="0"/>
    <n v="8.6"/>
    <n v="8.5999999999999993E-2"/>
    <s v="2024-02-06"/>
    <x v="0"/>
    <x v="0"/>
    <x v="3"/>
    <x v="0"/>
    <s v="Completed"/>
    <n v="5"/>
    <n v="22"/>
    <n v="36586688.800000004"/>
    <x v="2"/>
    <x v="1"/>
    <x v="2"/>
    <x v="0"/>
  </r>
  <r>
    <x v="337"/>
    <s v="Ibrahim Ojo"/>
    <s v="Male"/>
    <x v="16"/>
    <x v="2"/>
    <x v="202"/>
    <n v="25854"/>
    <n v="23010060"/>
    <s v="Borno"/>
    <x v="0"/>
    <s v="Uyo"/>
    <x v="0"/>
    <x v="3"/>
    <s v="Agent A"/>
    <x v="0"/>
    <n v="23010060"/>
    <n v="0"/>
    <n v="1.1100000000000001"/>
    <n v="1.11E-2"/>
    <s v="2024-07-06"/>
    <x v="10"/>
    <x v="0"/>
    <x v="3"/>
    <x v="2"/>
    <s v="Pending"/>
    <n v="2"/>
    <n v="35"/>
    <n v="22754648.333999999"/>
    <x v="0"/>
    <x v="0"/>
    <x v="0"/>
    <x v="0"/>
  </r>
  <r>
    <x v="338"/>
    <s v="David Ogunleye"/>
    <s v="Female"/>
    <x v="29"/>
    <x v="1"/>
    <x v="271"/>
    <n v="40018"/>
    <n v="38217190"/>
    <s v="Ekiti"/>
    <x v="5"/>
    <s v="Warri"/>
    <x v="1"/>
    <x v="4"/>
    <s v="Agent A"/>
    <x v="0"/>
    <n v="38217190"/>
    <n v="0"/>
    <n v="7.53"/>
    <n v="7.5300000000000006E-2"/>
    <s v="2024-04-25"/>
    <x v="9"/>
    <x v="0"/>
    <x v="0"/>
    <x v="1"/>
    <s v="Pending"/>
    <n v="4"/>
    <n v="32"/>
    <n v="35339435.593000002"/>
    <x v="2"/>
    <x v="1"/>
    <x v="2"/>
    <x v="0"/>
  </r>
  <r>
    <x v="339"/>
    <s v="Amina Eze"/>
    <s v="Female"/>
    <x v="17"/>
    <x v="0"/>
    <x v="212"/>
    <n v="48519"/>
    <n v="33041439"/>
    <s v="Kebbi"/>
    <x v="4"/>
    <s v="Abuja"/>
    <x v="1"/>
    <x v="0"/>
    <s v="Agent C"/>
    <x v="1"/>
    <n v="12763425"/>
    <n v="24"/>
    <n v="8"/>
    <n v="0.08"/>
    <s v="2024-12-20"/>
    <x v="3"/>
    <x v="0"/>
    <x v="0"/>
    <x v="2"/>
    <s v="Completed"/>
    <n v="3"/>
    <n v="8"/>
    <n v="30398123.880000003"/>
    <x v="2"/>
    <x v="1"/>
    <x v="2"/>
    <x v="1"/>
  </r>
  <r>
    <x v="340"/>
    <s v="Grace Adeyemi"/>
    <s v="Female"/>
    <x v="14"/>
    <x v="2"/>
    <x v="272"/>
    <n v="15386"/>
    <n v="5446644"/>
    <s v="Yobe"/>
    <x v="0"/>
    <s v="Warri"/>
    <x v="1"/>
    <x v="2"/>
    <s v="Agent C"/>
    <x v="0"/>
    <n v="5446644"/>
    <n v="0"/>
    <n v="2.93"/>
    <n v="2.9300000000000003E-2"/>
    <s v="2024-12-15"/>
    <x v="3"/>
    <x v="0"/>
    <x v="3"/>
    <x v="2"/>
    <s v="Completed"/>
    <n v="2"/>
    <n v="34"/>
    <n v="5287057.3307999996"/>
    <x v="1"/>
    <x v="0"/>
    <x v="1"/>
    <x v="2"/>
  </r>
  <r>
    <x v="341"/>
    <s v="Ibrahim Sani"/>
    <s v="Female"/>
    <x v="22"/>
    <x v="0"/>
    <x v="30"/>
    <n v="24465"/>
    <n v="19376280"/>
    <s v="Adamawa"/>
    <x v="0"/>
    <s v="Kaduna"/>
    <x v="1"/>
    <x v="0"/>
    <s v="Agent C"/>
    <x v="1"/>
    <n v="7324373"/>
    <n v="24"/>
    <n v="6.97"/>
    <n v="6.9699999999999998E-2"/>
    <s v="2024-10-07"/>
    <x v="4"/>
    <x v="0"/>
    <x v="3"/>
    <x v="1"/>
    <s v="Pending"/>
    <n v="3"/>
    <n v="50"/>
    <n v="18025753.284000002"/>
    <x v="0"/>
    <x v="1"/>
    <x v="0"/>
    <x v="0"/>
  </r>
  <r>
    <x v="342"/>
    <s v="Grace Abdullahi"/>
    <s v="Male"/>
    <x v="36"/>
    <x v="1"/>
    <x v="273"/>
    <n v="31879"/>
    <n v="15652589"/>
    <s v="Oyo"/>
    <x v="5"/>
    <s v="Enugu"/>
    <x v="2"/>
    <x v="0"/>
    <s v="Agent B"/>
    <x v="0"/>
    <n v="15652589"/>
    <n v="0"/>
    <n v="6.19"/>
    <n v="6.1900000000000004E-2"/>
    <s v="2024-03-23"/>
    <x v="6"/>
    <x v="0"/>
    <x v="3"/>
    <x v="2"/>
    <s v="Completed"/>
    <n v="3"/>
    <n v="37"/>
    <n v="14683693.740900001"/>
    <x v="0"/>
    <x v="1"/>
    <x v="0"/>
    <x v="1"/>
  </r>
  <r>
    <x v="343"/>
    <s v="David Ogunleye"/>
    <s v="Male"/>
    <x v="16"/>
    <x v="2"/>
    <x v="274"/>
    <n v="14091"/>
    <n v="8144598"/>
    <s v="Abia"/>
    <x v="1"/>
    <s v="Ibadan"/>
    <x v="2"/>
    <x v="0"/>
    <s v="Agent E"/>
    <x v="0"/>
    <n v="8144598"/>
    <n v="0"/>
    <n v="5.62"/>
    <n v="5.62E-2"/>
    <s v="2024-01-18"/>
    <x v="7"/>
    <x v="0"/>
    <x v="1"/>
    <x v="2"/>
    <s v="Completed"/>
    <n v="4"/>
    <n v="32"/>
    <n v="7686871.5923999995"/>
    <x v="1"/>
    <x v="1"/>
    <x v="1"/>
    <x v="1"/>
  </r>
  <r>
    <x v="344"/>
    <s v="Tunde Ojo"/>
    <s v="Female"/>
    <x v="1"/>
    <x v="1"/>
    <x v="275"/>
    <n v="2281"/>
    <n v="818879"/>
    <s v="Abia"/>
    <x v="1"/>
    <s v="Enugu"/>
    <x v="0"/>
    <x v="1"/>
    <s v="Agent A"/>
    <x v="1"/>
    <n v="280198"/>
    <n v="12"/>
    <n v="2.9"/>
    <n v="2.8999999999999998E-2"/>
    <s v="2024-10-20"/>
    <x v="4"/>
    <x v="0"/>
    <x v="3"/>
    <x v="0"/>
    <s v="Cancelled"/>
    <n v="1"/>
    <n v="20"/>
    <n v="795131.50899999996"/>
    <x v="1"/>
    <x v="0"/>
    <x v="1"/>
    <x v="2"/>
  </r>
  <r>
    <x v="345"/>
    <s v="Samuel Effiong"/>
    <s v="Male"/>
    <x v="11"/>
    <x v="0"/>
    <x v="276"/>
    <n v="31227"/>
    <n v="13271475"/>
    <s v="Osun"/>
    <x v="5"/>
    <s v="Calabar"/>
    <x v="0"/>
    <x v="2"/>
    <s v="Agent E"/>
    <x v="1"/>
    <n v="3953704"/>
    <n v="3"/>
    <n v="6.08"/>
    <n v="6.08E-2"/>
    <s v="2024-04-09"/>
    <x v="9"/>
    <x v="0"/>
    <x v="2"/>
    <x v="0"/>
    <s v="Cancelled"/>
    <n v="1"/>
    <n v="33"/>
    <n v="12464569.32"/>
    <x v="0"/>
    <x v="1"/>
    <x v="0"/>
    <x v="2"/>
  </r>
  <r>
    <x v="346"/>
    <s v="Ngozi Adeyemi"/>
    <s v="Female"/>
    <x v="16"/>
    <x v="2"/>
    <x v="277"/>
    <n v="41529"/>
    <n v="21802725"/>
    <s v="Kwara"/>
    <x v="2"/>
    <s v="Warri"/>
    <x v="1"/>
    <x v="2"/>
    <s v="Agent C"/>
    <x v="0"/>
    <n v="21802725"/>
    <n v="0"/>
    <n v="9.08"/>
    <n v="9.0800000000000006E-2"/>
    <s v="2024-07-03"/>
    <x v="10"/>
    <x v="0"/>
    <x v="1"/>
    <x v="1"/>
    <s v="Pending"/>
    <n v="4"/>
    <n v="36"/>
    <n v="19823037.57"/>
    <x v="0"/>
    <x v="1"/>
    <x v="0"/>
    <x v="1"/>
  </r>
  <r>
    <x v="347"/>
    <s v="Ngozi Adeyemi"/>
    <s v="Male"/>
    <x v="18"/>
    <x v="0"/>
    <x v="0"/>
    <n v="29237"/>
    <n v="28038283"/>
    <s v="Oyo"/>
    <x v="5"/>
    <s v="Warri"/>
    <x v="1"/>
    <x v="1"/>
    <s v="Agent E"/>
    <x v="1"/>
    <n v="6985377"/>
    <n v="12"/>
    <n v="7.28"/>
    <n v="7.2800000000000004E-2"/>
    <s v="2024-08-05"/>
    <x v="8"/>
    <x v="0"/>
    <x v="1"/>
    <x v="2"/>
    <s v="Cancelled"/>
    <n v="4"/>
    <n v="6"/>
    <n v="25997095.9976"/>
    <x v="0"/>
    <x v="1"/>
    <x v="0"/>
    <x v="0"/>
  </r>
  <r>
    <x v="348"/>
    <s v="Grace Sani"/>
    <s v="Male"/>
    <x v="26"/>
    <x v="1"/>
    <x v="56"/>
    <n v="13461"/>
    <n v="8399664"/>
    <s v="Osun"/>
    <x v="5"/>
    <s v="Ibadan"/>
    <x v="1"/>
    <x v="1"/>
    <s v="Agent E"/>
    <x v="1"/>
    <n v="2182042"/>
    <n v="6"/>
    <n v="8.32"/>
    <n v="8.3199999999999996E-2"/>
    <s v="2024-05-28"/>
    <x v="11"/>
    <x v="0"/>
    <x v="2"/>
    <x v="2"/>
    <s v="Completed"/>
    <n v="1"/>
    <n v="10"/>
    <n v="7700811.9552000007"/>
    <x v="1"/>
    <x v="1"/>
    <x v="1"/>
    <x v="1"/>
  </r>
  <r>
    <x v="349"/>
    <s v="Blessing Okafor"/>
    <s v="Male"/>
    <x v="11"/>
    <x v="2"/>
    <x v="2"/>
    <n v="44848"/>
    <n v="14665296"/>
    <s v="Bayelsa"/>
    <x v="3"/>
    <s v="Warri"/>
    <x v="0"/>
    <x v="3"/>
    <s v="Agent C"/>
    <x v="1"/>
    <n v="3722224"/>
    <n v="24"/>
    <n v="9.07"/>
    <n v="9.0700000000000003E-2"/>
    <s v="2024-11-26"/>
    <x v="2"/>
    <x v="0"/>
    <x v="2"/>
    <x v="0"/>
    <s v="Pending"/>
    <n v="3"/>
    <n v="41"/>
    <n v="13335153.652799999"/>
    <x v="0"/>
    <x v="1"/>
    <x v="0"/>
    <x v="2"/>
  </r>
  <r>
    <x v="350"/>
    <s v="Samuel Okafor"/>
    <s v="Male"/>
    <x v="20"/>
    <x v="2"/>
    <x v="210"/>
    <n v="35588"/>
    <n v="20712216"/>
    <s v="Bauchi"/>
    <x v="0"/>
    <s v="Abuja"/>
    <x v="2"/>
    <x v="0"/>
    <s v="Agent C"/>
    <x v="0"/>
    <n v="20712216"/>
    <n v="0"/>
    <n v="8.4499999999999993"/>
    <n v="8.4499999999999992E-2"/>
    <s v="2024-03-24"/>
    <x v="6"/>
    <x v="0"/>
    <x v="3"/>
    <x v="2"/>
    <s v="Pending"/>
    <n v="3"/>
    <n v="27"/>
    <n v="18962033.748"/>
    <x v="0"/>
    <x v="1"/>
    <x v="0"/>
    <x v="1"/>
  </r>
  <r>
    <x v="351"/>
    <s v="Tunde Bello"/>
    <s v="Male"/>
    <x v="3"/>
    <x v="2"/>
    <x v="278"/>
    <n v="21114"/>
    <n v="10472544"/>
    <s v="Adamawa"/>
    <x v="0"/>
    <s v="Lagos"/>
    <x v="1"/>
    <x v="4"/>
    <s v="Agent C"/>
    <x v="0"/>
    <n v="10472544"/>
    <n v="0"/>
    <n v="5.14"/>
    <n v="5.1399999999999994E-2"/>
    <s v="2024-11-17"/>
    <x v="2"/>
    <x v="0"/>
    <x v="1"/>
    <x v="2"/>
    <s v="Cancelled"/>
    <n v="5"/>
    <n v="23"/>
    <n v="9934255.2383999992"/>
    <x v="1"/>
    <x v="1"/>
    <x v="1"/>
    <x v="1"/>
  </r>
  <r>
    <x v="352"/>
    <s v="Amina Eze"/>
    <s v="Male"/>
    <x v="29"/>
    <x v="0"/>
    <x v="189"/>
    <n v="20442"/>
    <n v="14922660"/>
    <s v="Anambra"/>
    <x v="1"/>
    <s v="Kano"/>
    <x v="0"/>
    <x v="3"/>
    <s v="Agent E"/>
    <x v="1"/>
    <n v="4828948"/>
    <n v="24"/>
    <n v="9.2100000000000009"/>
    <n v="9.2100000000000015E-2"/>
    <s v="2024-03-24"/>
    <x v="6"/>
    <x v="0"/>
    <x v="0"/>
    <x v="1"/>
    <s v="Pending"/>
    <n v="1"/>
    <n v="8"/>
    <n v="13548283.013999999"/>
    <x v="0"/>
    <x v="1"/>
    <x v="0"/>
    <x v="0"/>
  </r>
  <r>
    <x v="353"/>
    <s v="Grace Ogunleye"/>
    <s v="Male"/>
    <x v="2"/>
    <x v="2"/>
    <x v="279"/>
    <n v="22419"/>
    <n v="12464964"/>
    <s v="Anambra"/>
    <x v="1"/>
    <s v="Warri"/>
    <x v="0"/>
    <x v="2"/>
    <s v="Agent B"/>
    <x v="1"/>
    <n v="5548300"/>
    <n v="6"/>
    <n v="8.9"/>
    <n v="8.900000000000001E-2"/>
    <s v="2024-11-01"/>
    <x v="2"/>
    <x v="0"/>
    <x v="3"/>
    <x v="0"/>
    <s v="Completed"/>
    <n v="2"/>
    <n v="20"/>
    <n v="11355582.204"/>
    <x v="0"/>
    <x v="1"/>
    <x v="0"/>
    <x v="1"/>
  </r>
  <r>
    <x v="354"/>
    <s v="Ngozi Okafor"/>
    <s v="Male"/>
    <x v="43"/>
    <x v="0"/>
    <x v="172"/>
    <n v="29840"/>
    <n v="8355200"/>
    <s v="Imo"/>
    <x v="1"/>
    <s v="Kano"/>
    <x v="2"/>
    <x v="3"/>
    <s v="Agent E"/>
    <x v="0"/>
    <n v="8355200"/>
    <n v="0"/>
    <n v="0.78"/>
    <n v="7.8000000000000005E-3"/>
    <s v="2024-09-04"/>
    <x v="5"/>
    <x v="0"/>
    <x v="0"/>
    <x v="1"/>
    <s v="Completed"/>
    <n v="3"/>
    <n v="3"/>
    <n v="8290029.4399999995"/>
    <x v="1"/>
    <x v="0"/>
    <x v="1"/>
    <x v="2"/>
  </r>
  <r>
    <x v="355"/>
    <s v="Samuel Eze"/>
    <s v="Male"/>
    <x v="15"/>
    <x v="2"/>
    <x v="110"/>
    <n v="8324"/>
    <n v="8090928"/>
    <s v="Ogun"/>
    <x v="5"/>
    <s v="Lagos"/>
    <x v="0"/>
    <x v="2"/>
    <s v="Agent B"/>
    <x v="0"/>
    <n v="8090928"/>
    <n v="0"/>
    <n v="9.1999999999999993"/>
    <n v="9.1999999999999998E-2"/>
    <s v="2024-04-15"/>
    <x v="9"/>
    <x v="0"/>
    <x v="1"/>
    <x v="0"/>
    <s v="Pending"/>
    <n v="3"/>
    <n v="11"/>
    <n v="7346562.6239999998"/>
    <x v="1"/>
    <x v="1"/>
    <x v="1"/>
    <x v="0"/>
  </r>
  <r>
    <x v="356"/>
    <s v="Chinedu Effiong"/>
    <s v="Male"/>
    <x v="2"/>
    <x v="0"/>
    <x v="160"/>
    <n v="35089"/>
    <n v="15684783"/>
    <s v="Jigawa"/>
    <x v="4"/>
    <s v="Calabar"/>
    <x v="1"/>
    <x v="0"/>
    <s v="Agent E"/>
    <x v="0"/>
    <n v="15684783"/>
    <n v="0"/>
    <n v="0.99"/>
    <n v="9.8999999999999991E-3"/>
    <s v="2024-10-23"/>
    <x v="4"/>
    <x v="0"/>
    <x v="0"/>
    <x v="0"/>
    <s v="Completed"/>
    <n v="2"/>
    <n v="33"/>
    <n v="15529503.6483"/>
    <x v="0"/>
    <x v="0"/>
    <x v="0"/>
    <x v="2"/>
  </r>
  <r>
    <x v="357"/>
    <s v="Tunde Ogunleye"/>
    <s v="Female"/>
    <x v="44"/>
    <x v="0"/>
    <x v="116"/>
    <n v="40625"/>
    <n v="37131250"/>
    <s v="Bauchi"/>
    <x v="0"/>
    <s v="Enugu"/>
    <x v="2"/>
    <x v="0"/>
    <s v="Agent D"/>
    <x v="0"/>
    <n v="37131250"/>
    <n v="0"/>
    <n v="4.4000000000000004"/>
    <n v="4.4000000000000004E-2"/>
    <s v="2024-02-24"/>
    <x v="0"/>
    <x v="0"/>
    <x v="0"/>
    <x v="1"/>
    <s v="Completed"/>
    <n v="4"/>
    <n v="8"/>
    <n v="35497475"/>
    <x v="2"/>
    <x v="0"/>
    <x v="2"/>
    <x v="0"/>
  </r>
  <r>
    <x v="358"/>
    <s v="Musa Sani"/>
    <s v="Female"/>
    <x v="34"/>
    <x v="2"/>
    <x v="280"/>
    <n v="25674"/>
    <n v="25160520"/>
    <s v="Kaduna"/>
    <x v="4"/>
    <s v="Warri"/>
    <x v="0"/>
    <x v="3"/>
    <s v="Agent D"/>
    <x v="1"/>
    <n v="5652924"/>
    <n v="3"/>
    <n v="4.9400000000000004"/>
    <n v="4.9400000000000006E-2"/>
    <s v="2024-07-16"/>
    <x v="10"/>
    <x v="0"/>
    <x v="1"/>
    <x v="1"/>
    <s v="Completed"/>
    <n v="1"/>
    <n v="31"/>
    <n v="23917590.311999999"/>
    <x v="0"/>
    <x v="0"/>
    <x v="0"/>
    <x v="0"/>
  </r>
  <r>
    <x v="359"/>
    <s v="Amina Bello"/>
    <s v="Male"/>
    <x v="4"/>
    <x v="2"/>
    <x v="281"/>
    <n v="46181"/>
    <n v="9836553"/>
    <s v="Adamawa"/>
    <x v="0"/>
    <s v="Kano"/>
    <x v="2"/>
    <x v="3"/>
    <s v="Agent A"/>
    <x v="1"/>
    <n v="3136984"/>
    <n v="3"/>
    <n v="5.23"/>
    <n v="5.2300000000000006E-2"/>
    <s v="2024-12-12"/>
    <x v="3"/>
    <x v="0"/>
    <x v="3"/>
    <x v="2"/>
    <s v="Pending"/>
    <n v="2"/>
    <n v="22"/>
    <n v="9322101.2781000007"/>
    <x v="1"/>
    <x v="1"/>
    <x v="1"/>
    <x v="2"/>
  </r>
  <r>
    <x v="360"/>
    <s v="Samuel Abdullahi"/>
    <s v="Female"/>
    <x v="14"/>
    <x v="2"/>
    <x v="282"/>
    <n v="17261"/>
    <n v="5609825"/>
    <s v="Ebonyi"/>
    <x v="1"/>
    <s v="Kaduna"/>
    <x v="2"/>
    <x v="3"/>
    <s v="Agent D"/>
    <x v="1"/>
    <n v="1590697"/>
    <n v="24"/>
    <n v="7.13"/>
    <n v="7.1300000000000002E-2"/>
    <s v="2024-10-24"/>
    <x v="4"/>
    <x v="0"/>
    <x v="2"/>
    <x v="0"/>
    <s v="Pending"/>
    <n v="2"/>
    <n v="50"/>
    <n v="5209844.4775"/>
    <x v="1"/>
    <x v="1"/>
    <x v="1"/>
    <x v="2"/>
  </r>
  <r>
    <x v="361"/>
    <s v="Chinedu Bello"/>
    <s v="Female"/>
    <x v="34"/>
    <x v="0"/>
    <x v="283"/>
    <n v="34069"/>
    <n v="15535464"/>
    <s v="FCT"/>
    <x v="2"/>
    <s v="Abuja"/>
    <x v="0"/>
    <x v="1"/>
    <s v="Agent E"/>
    <x v="1"/>
    <n v="6035703"/>
    <n v="6"/>
    <n v="1.35"/>
    <n v="1.3500000000000002E-2"/>
    <s v="2024-02-20"/>
    <x v="0"/>
    <x v="0"/>
    <x v="1"/>
    <x v="2"/>
    <s v="Pending"/>
    <n v="5"/>
    <n v="40"/>
    <n v="15325735.236000001"/>
    <x v="0"/>
    <x v="0"/>
    <x v="0"/>
    <x v="2"/>
  </r>
  <r>
    <x v="362"/>
    <s v="Musa Effiong"/>
    <s v="Female"/>
    <x v="3"/>
    <x v="1"/>
    <x v="171"/>
    <n v="34256"/>
    <n v="33742160"/>
    <s v="Lagos"/>
    <x v="5"/>
    <s v="Uyo"/>
    <x v="0"/>
    <x v="2"/>
    <s v="Agent D"/>
    <x v="1"/>
    <n v="9720066"/>
    <n v="6"/>
    <n v="4.9800000000000004"/>
    <n v="4.9800000000000004E-2"/>
    <s v="2024-09-15"/>
    <x v="5"/>
    <x v="0"/>
    <x v="0"/>
    <x v="1"/>
    <s v="Pending"/>
    <n v="3"/>
    <n v="25"/>
    <n v="32061800.432"/>
    <x v="2"/>
    <x v="0"/>
    <x v="2"/>
    <x v="0"/>
  </r>
  <r>
    <x v="363"/>
    <s v="Ibrahim Bello"/>
    <s v="Female"/>
    <x v="15"/>
    <x v="1"/>
    <x v="284"/>
    <n v="13591"/>
    <n v="3166703"/>
    <s v="Benue"/>
    <x v="2"/>
    <s v="Lagos"/>
    <x v="2"/>
    <x v="3"/>
    <s v="Agent E"/>
    <x v="1"/>
    <n v="1100252"/>
    <n v="6"/>
    <n v="1.34"/>
    <n v="1.34E-2"/>
    <s v="2024-07-18"/>
    <x v="10"/>
    <x v="0"/>
    <x v="2"/>
    <x v="1"/>
    <s v="Cancelled"/>
    <n v="2"/>
    <n v="33"/>
    <n v="3124269.1798"/>
    <x v="1"/>
    <x v="0"/>
    <x v="1"/>
    <x v="2"/>
  </r>
  <r>
    <x v="364"/>
    <s v="Chinedu Ojo"/>
    <s v="Male"/>
    <x v="45"/>
    <x v="2"/>
    <x v="92"/>
    <n v="40734"/>
    <n v="28758204"/>
    <s v="Osun"/>
    <x v="5"/>
    <s v="Ibadan"/>
    <x v="1"/>
    <x v="3"/>
    <s v="Agent A"/>
    <x v="1"/>
    <n v="12364338"/>
    <n v="12"/>
    <n v="2.84"/>
    <n v="2.8399999999999998E-2"/>
    <s v="2024-02-01"/>
    <x v="0"/>
    <x v="0"/>
    <x v="1"/>
    <x v="1"/>
    <s v="Completed"/>
    <n v="4"/>
    <n v="23"/>
    <n v="27941471.0064"/>
    <x v="0"/>
    <x v="0"/>
    <x v="0"/>
    <x v="1"/>
  </r>
  <r>
    <x v="365"/>
    <s v="Musa Ojo"/>
    <s v="Male"/>
    <x v="23"/>
    <x v="0"/>
    <x v="285"/>
    <n v="45335"/>
    <n v="11651095"/>
    <s v="Akwa Ibom"/>
    <x v="3"/>
    <s v="Enugu"/>
    <x v="1"/>
    <x v="2"/>
    <s v="Agent C"/>
    <x v="0"/>
    <n v="11651095"/>
    <n v="0"/>
    <n v="2.48"/>
    <n v="2.4799999999999999E-2"/>
    <s v="2024-11-27"/>
    <x v="2"/>
    <x v="0"/>
    <x v="3"/>
    <x v="2"/>
    <s v="Cancelled"/>
    <n v="3"/>
    <n v="3"/>
    <n v="11362147.843999999"/>
    <x v="0"/>
    <x v="0"/>
    <x v="0"/>
    <x v="2"/>
  </r>
  <r>
    <x v="366"/>
    <s v="David Obi"/>
    <s v="Female"/>
    <x v="20"/>
    <x v="1"/>
    <x v="286"/>
    <n v="35735"/>
    <n v="27909035"/>
    <s v="Nasarawa"/>
    <x v="2"/>
    <s v="Kaduna"/>
    <x v="0"/>
    <x v="1"/>
    <s v="Agent A"/>
    <x v="1"/>
    <n v="5752629"/>
    <n v="12"/>
    <n v="4.7"/>
    <n v="4.7E-2"/>
    <s v="2024-01-12"/>
    <x v="7"/>
    <x v="0"/>
    <x v="3"/>
    <x v="1"/>
    <s v="Pending"/>
    <n v="5"/>
    <n v="49"/>
    <n v="26597310.355"/>
    <x v="0"/>
    <x v="0"/>
    <x v="0"/>
    <x v="0"/>
  </r>
  <r>
    <x v="367"/>
    <s v="Grace Eze"/>
    <s v="Female"/>
    <x v="12"/>
    <x v="0"/>
    <x v="287"/>
    <n v="21629"/>
    <n v="17930441"/>
    <s v="Adamawa"/>
    <x v="0"/>
    <s v="Kano"/>
    <x v="1"/>
    <x v="3"/>
    <s v="Agent D"/>
    <x v="1"/>
    <n v="4671375"/>
    <n v="24"/>
    <n v="6.35"/>
    <n v="6.3500000000000001E-2"/>
    <s v="2024-02-08"/>
    <x v="0"/>
    <x v="0"/>
    <x v="3"/>
    <x v="0"/>
    <s v="Cancelled"/>
    <n v="1"/>
    <n v="46"/>
    <n v="16791857.9965"/>
    <x v="0"/>
    <x v="1"/>
    <x v="0"/>
    <x v="0"/>
  </r>
  <r>
    <x v="368"/>
    <s v="Ibrahim Obi"/>
    <s v="Male"/>
    <x v="14"/>
    <x v="0"/>
    <x v="288"/>
    <n v="19915"/>
    <n v="10833760"/>
    <s v="Kano"/>
    <x v="4"/>
    <s v="Calabar"/>
    <x v="2"/>
    <x v="4"/>
    <s v="Agent E"/>
    <x v="0"/>
    <n v="10833760"/>
    <n v="0"/>
    <n v="5.66"/>
    <n v="5.6600000000000004E-2"/>
    <s v="2024-09-28"/>
    <x v="5"/>
    <x v="0"/>
    <x v="1"/>
    <x v="1"/>
    <s v="Cancelled"/>
    <n v="5"/>
    <n v="21"/>
    <n v="10220569.184"/>
    <x v="0"/>
    <x v="1"/>
    <x v="0"/>
    <x v="1"/>
  </r>
  <r>
    <x v="369"/>
    <s v="Tunde Ojo"/>
    <s v="Female"/>
    <x v="42"/>
    <x v="1"/>
    <x v="190"/>
    <n v="42957"/>
    <n v="19631349"/>
    <s v="Abia"/>
    <x v="1"/>
    <s v="Kaduna"/>
    <x v="2"/>
    <x v="1"/>
    <s v="Agent C"/>
    <x v="1"/>
    <n v="9114226"/>
    <n v="6"/>
    <n v="6.28"/>
    <n v="6.2800000000000009E-2"/>
    <s v="2024-09-21"/>
    <x v="5"/>
    <x v="0"/>
    <x v="2"/>
    <x v="0"/>
    <s v="Cancelled"/>
    <n v="1"/>
    <n v="34"/>
    <n v="18398500.2828"/>
    <x v="0"/>
    <x v="1"/>
    <x v="0"/>
    <x v="2"/>
  </r>
  <r>
    <x v="370"/>
    <s v="Ngozi Obi"/>
    <s v="Female"/>
    <x v="27"/>
    <x v="1"/>
    <x v="289"/>
    <n v="17753"/>
    <n v="6231303"/>
    <s v="Enugu"/>
    <x v="1"/>
    <s v="Warri"/>
    <x v="0"/>
    <x v="1"/>
    <s v="Agent C"/>
    <x v="0"/>
    <n v="6231303"/>
    <n v="0"/>
    <n v="7.46"/>
    <n v="7.46E-2"/>
    <s v="2024-06-02"/>
    <x v="1"/>
    <x v="0"/>
    <x v="1"/>
    <x v="0"/>
    <s v="Completed"/>
    <n v="3"/>
    <n v="44"/>
    <n v="5766447.7961999997"/>
    <x v="1"/>
    <x v="1"/>
    <x v="1"/>
    <x v="2"/>
  </r>
  <r>
    <x v="371"/>
    <s v="Musa Sani"/>
    <s v="Female"/>
    <x v="8"/>
    <x v="2"/>
    <x v="290"/>
    <n v="9442"/>
    <n v="4192248"/>
    <s v="Kaduna"/>
    <x v="4"/>
    <s v="Kaduna"/>
    <x v="1"/>
    <x v="2"/>
    <s v="Agent B"/>
    <x v="0"/>
    <n v="4192248"/>
    <n v="0"/>
    <n v="1.92"/>
    <n v="1.9199999999999998E-2"/>
    <s v="2024-05-05"/>
    <x v="11"/>
    <x v="0"/>
    <x v="3"/>
    <x v="1"/>
    <s v="Completed"/>
    <n v="1"/>
    <n v="17"/>
    <n v="4111756.8384000002"/>
    <x v="1"/>
    <x v="0"/>
    <x v="1"/>
    <x v="2"/>
  </r>
  <r>
    <x v="372"/>
    <s v="Chinedu Okafor"/>
    <s v="Male"/>
    <x v="20"/>
    <x v="1"/>
    <x v="266"/>
    <n v="44224"/>
    <n v="16805120"/>
    <s v="Cross River"/>
    <x v="3"/>
    <s v="Uyo"/>
    <x v="1"/>
    <x v="2"/>
    <s v="Agent D"/>
    <x v="0"/>
    <n v="16805120"/>
    <n v="0"/>
    <n v="9.64"/>
    <n v="9.64E-2"/>
    <s v="2024-09-05"/>
    <x v="5"/>
    <x v="0"/>
    <x v="1"/>
    <x v="0"/>
    <s v="Cancelled"/>
    <n v="1"/>
    <n v="26"/>
    <n v="15185106.432"/>
    <x v="0"/>
    <x v="1"/>
    <x v="0"/>
    <x v="2"/>
  </r>
  <r>
    <x v="373"/>
    <s v="Grace Abdullahi"/>
    <s v="Female"/>
    <x v="17"/>
    <x v="0"/>
    <x v="291"/>
    <n v="39419"/>
    <n v="12377566"/>
    <s v="Yobe"/>
    <x v="0"/>
    <s v="Port Harcourt"/>
    <x v="2"/>
    <x v="2"/>
    <s v="Agent C"/>
    <x v="0"/>
    <n v="12377566"/>
    <n v="0"/>
    <n v="5.22"/>
    <n v="5.2199999999999996E-2"/>
    <s v="2024-10-24"/>
    <x v="4"/>
    <x v="0"/>
    <x v="1"/>
    <x v="0"/>
    <s v="Cancelled"/>
    <n v="4"/>
    <n v="48"/>
    <n v="11731457.0548"/>
    <x v="0"/>
    <x v="1"/>
    <x v="0"/>
    <x v="2"/>
  </r>
  <r>
    <x v="374"/>
    <s v="Ibrahim Obi"/>
    <s v="Female"/>
    <x v="9"/>
    <x v="0"/>
    <x v="270"/>
    <n v="11455"/>
    <n v="4845465"/>
    <s v="Yobe"/>
    <x v="0"/>
    <s v="Kaduna"/>
    <x v="1"/>
    <x v="3"/>
    <s v="Agent C"/>
    <x v="0"/>
    <n v="4845465"/>
    <n v="0"/>
    <n v="1.75"/>
    <n v="1.7500000000000002E-2"/>
    <s v="2024-05-20"/>
    <x v="11"/>
    <x v="0"/>
    <x v="0"/>
    <x v="1"/>
    <s v="Cancelled"/>
    <n v="4"/>
    <n v="31"/>
    <n v="4760669.3624999998"/>
    <x v="1"/>
    <x v="0"/>
    <x v="1"/>
    <x v="2"/>
  </r>
  <r>
    <x v="375"/>
    <s v="Chinedu Okafor"/>
    <s v="Male"/>
    <x v="12"/>
    <x v="1"/>
    <x v="292"/>
    <n v="25789"/>
    <n v="8974572"/>
    <s v="Yobe"/>
    <x v="0"/>
    <s v="Ibadan"/>
    <x v="1"/>
    <x v="4"/>
    <s v="Agent C"/>
    <x v="1"/>
    <n v="4006335"/>
    <n v="12"/>
    <n v="0.21"/>
    <n v="2.0999999999999999E-3"/>
    <s v="2024-11-06"/>
    <x v="2"/>
    <x v="0"/>
    <x v="0"/>
    <x v="0"/>
    <s v="Completed"/>
    <n v="4"/>
    <n v="25"/>
    <n v="8955725.3988000005"/>
    <x v="1"/>
    <x v="0"/>
    <x v="1"/>
    <x v="2"/>
  </r>
  <r>
    <x v="376"/>
    <s v="Ibrahim Ogunleye"/>
    <s v="Female"/>
    <x v="0"/>
    <x v="2"/>
    <x v="293"/>
    <n v="7914"/>
    <n v="4020312"/>
    <s v="Osun"/>
    <x v="5"/>
    <s v="Ibadan"/>
    <x v="0"/>
    <x v="1"/>
    <s v="Agent D"/>
    <x v="0"/>
    <n v="4020312"/>
    <n v="0"/>
    <n v="2.97"/>
    <n v="2.9700000000000001E-2"/>
    <s v="2024-03-23"/>
    <x v="6"/>
    <x v="0"/>
    <x v="2"/>
    <x v="1"/>
    <s v="Cancelled"/>
    <n v="4"/>
    <n v="7"/>
    <n v="3900908.7336000004"/>
    <x v="1"/>
    <x v="0"/>
    <x v="1"/>
    <x v="1"/>
  </r>
  <r>
    <x v="377"/>
    <s v="Tunde Sani"/>
    <s v="Male"/>
    <x v="30"/>
    <x v="2"/>
    <x v="294"/>
    <n v="25059"/>
    <n v="6690753"/>
    <s v="Enugu"/>
    <x v="1"/>
    <s v="Uyo"/>
    <x v="0"/>
    <x v="4"/>
    <s v="Agent C"/>
    <x v="1"/>
    <n v="2247949"/>
    <n v="12"/>
    <n v="0.27"/>
    <n v="2.7000000000000001E-3"/>
    <s v="2024-01-27"/>
    <x v="7"/>
    <x v="0"/>
    <x v="0"/>
    <x v="2"/>
    <s v="Completed"/>
    <n v="2"/>
    <n v="34"/>
    <n v="6672687.9668999994"/>
    <x v="1"/>
    <x v="0"/>
    <x v="1"/>
    <x v="2"/>
  </r>
  <r>
    <x v="378"/>
    <s v="Musa Adeyemi"/>
    <s v="Female"/>
    <x v="6"/>
    <x v="0"/>
    <x v="13"/>
    <n v="46941"/>
    <n v="37928328"/>
    <s v="Taraba"/>
    <x v="0"/>
    <s v="Kano"/>
    <x v="0"/>
    <x v="1"/>
    <s v="Agent C"/>
    <x v="1"/>
    <n v="12722943"/>
    <n v="12"/>
    <n v="8.74"/>
    <n v="8.7400000000000005E-2"/>
    <s v="2024-03-09"/>
    <x v="6"/>
    <x v="0"/>
    <x v="3"/>
    <x v="1"/>
    <s v="Pending"/>
    <n v="5"/>
    <n v="15"/>
    <n v="34613392.132799998"/>
    <x v="2"/>
    <x v="1"/>
    <x v="2"/>
    <x v="0"/>
  </r>
  <r>
    <x v="379"/>
    <s v="Blessing Abdullahi"/>
    <s v="Male"/>
    <x v="13"/>
    <x v="2"/>
    <x v="295"/>
    <n v="42108"/>
    <n v="36297096"/>
    <s v="Lagos"/>
    <x v="5"/>
    <s v="Uyo"/>
    <x v="2"/>
    <x v="1"/>
    <s v="Agent E"/>
    <x v="0"/>
    <n v="36297096"/>
    <n v="0"/>
    <n v="9.07"/>
    <n v="9.0700000000000003E-2"/>
    <s v="2024-08-24"/>
    <x v="8"/>
    <x v="0"/>
    <x v="1"/>
    <x v="2"/>
    <s v="Completed"/>
    <n v="3"/>
    <n v="11"/>
    <n v="33004949.3928"/>
    <x v="2"/>
    <x v="1"/>
    <x v="2"/>
    <x v="0"/>
  </r>
  <r>
    <x v="380"/>
    <s v="Blessing Eze"/>
    <s v="Female"/>
    <x v="6"/>
    <x v="1"/>
    <x v="90"/>
    <n v="36461"/>
    <n v="34091035"/>
    <s v="Kano"/>
    <x v="4"/>
    <s v="Lagos"/>
    <x v="1"/>
    <x v="1"/>
    <s v="Agent B"/>
    <x v="1"/>
    <n v="15278826"/>
    <n v="24"/>
    <n v="4.9400000000000004"/>
    <n v="4.9400000000000006E-2"/>
    <s v="2024-04-24"/>
    <x v="9"/>
    <x v="0"/>
    <x v="2"/>
    <x v="2"/>
    <s v="Cancelled"/>
    <n v="2"/>
    <n v="19"/>
    <n v="32406937.870999999"/>
    <x v="2"/>
    <x v="0"/>
    <x v="2"/>
    <x v="0"/>
  </r>
  <r>
    <x v="381"/>
    <s v="Samuel Sani"/>
    <s v="Male"/>
    <x v="16"/>
    <x v="1"/>
    <x v="128"/>
    <n v="13820"/>
    <n v="8678960"/>
    <s v="Taraba"/>
    <x v="0"/>
    <s v="Port Harcourt"/>
    <x v="2"/>
    <x v="1"/>
    <s v="Agent A"/>
    <x v="1"/>
    <n v="1810708"/>
    <n v="6"/>
    <n v="9.76"/>
    <n v="9.7599999999999992E-2"/>
    <s v="2024-04-30"/>
    <x v="9"/>
    <x v="0"/>
    <x v="0"/>
    <x v="1"/>
    <s v="Completed"/>
    <n v="3"/>
    <n v="45"/>
    <n v="7831893.5039999997"/>
    <x v="1"/>
    <x v="1"/>
    <x v="1"/>
    <x v="1"/>
  </r>
  <r>
    <x v="382"/>
    <s v="David Eze"/>
    <s v="Female"/>
    <x v="14"/>
    <x v="1"/>
    <x v="296"/>
    <n v="27132"/>
    <n v="25232760"/>
    <s v="Nasarawa"/>
    <x v="2"/>
    <s v="Port Harcourt"/>
    <x v="2"/>
    <x v="3"/>
    <s v="Agent A"/>
    <x v="1"/>
    <n v="5599570"/>
    <n v="12"/>
    <n v="5.57"/>
    <n v="5.57E-2"/>
    <s v="2024-01-27"/>
    <x v="7"/>
    <x v="0"/>
    <x v="0"/>
    <x v="1"/>
    <s v="Cancelled"/>
    <n v="5"/>
    <n v="25"/>
    <n v="23827295.267999999"/>
    <x v="0"/>
    <x v="1"/>
    <x v="0"/>
    <x v="0"/>
  </r>
  <r>
    <x v="383"/>
    <s v="Tunde Effiong"/>
    <s v="Female"/>
    <x v="1"/>
    <x v="2"/>
    <x v="193"/>
    <n v="38671"/>
    <n v="12954785"/>
    <s v="Akwa Ibom"/>
    <x v="3"/>
    <s v="Enugu"/>
    <x v="0"/>
    <x v="2"/>
    <s v="Agent C"/>
    <x v="0"/>
    <n v="12954785"/>
    <n v="0"/>
    <n v="5.8"/>
    <n v="5.7999999999999996E-2"/>
    <s v="2024-05-13"/>
    <x v="11"/>
    <x v="0"/>
    <x v="2"/>
    <x v="2"/>
    <s v="Pending"/>
    <n v="1"/>
    <n v="21"/>
    <n v="12203407.469999999"/>
    <x v="0"/>
    <x v="1"/>
    <x v="0"/>
    <x v="2"/>
  </r>
  <r>
    <x v="384"/>
    <s v="Grace Ogunleye"/>
    <s v="Female"/>
    <x v="35"/>
    <x v="2"/>
    <x v="297"/>
    <n v="25631"/>
    <n v="12482297"/>
    <s v="Oyo"/>
    <x v="5"/>
    <s v="Warri"/>
    <x v="2"/>
    <x v="1"/>
    <s v="Agent B"/>
    <x v="1"/>
    <n v="5877137"/>
    <n v="12"/>
    <n v="2.63"/>
    <n v="2.63E-2"/>
    <s v="2024-05-15"/>
    <x v="11"/>
    <x v="0"/>
    <x v="2"/>
    <x v="2"/>
    <s v="Completed"/>
    <n v="2"/>
    <n v="4"/>
    <n v="12154012.5889"/>
    <x v="0"/>
    <x v="0"/>
    <x v="0"/>
    <x v="1"/>
  </r>
  <r>
    <x v="385"/>
    <s v="Amina Sani"/>
    <s v="Male"/>
    <x v="19"/>
    <x v="2"/>
    <x v="212"/>
    <n v="19054"/>
    <n v="12975774"/>
    <s v="Imo"/>
    <x v="1"/>
    <s v="Lagos"/>
    <x v="2"/>
    <x v="3"/>
    <s v="Agent D"/>
    <x v="0"/>
    <n v="12975774"/>
    <n v="0"/>
    <n v="7.06"/>
    <n v="7.0599999999999996E-2"/>
    <s v="2024-08-11"/>
    <x v="8"/>
    <x v="0"/>
    <x v="2"/>
    <x v="1"/>
    <s v="Completed"/>
    <n v="2"/>
    <n v="8"/>
    <n v="12059684.355599999"/>
    <x v="0"/>
    <x v="1"/>
    <x v="0"/>
    <x v="1"/>
  </r>
  <r>
    <x v="386"/>
    <s v="Samuel Ojo"/>
    <s v="Male"/>
    <x v="9"/>
    <x v="0"/>
    <x v="298"/>
    <n v="13839"/>
    <n v="6781110"/>
    <s v="Rivers"/>
    <x v="3"/>
    <s v="Port Harcourt"/>
    <x v="2"/>
    <x v="3"/>
    <s v="Agent B"/>
    <x v="0"/>
    <n v="6781110"/>
    <n v="0"/>
    <n v="7.5"/>
    <n v="7.4999999999999997E-2"/>
    <s v="2024-05-19"/>
    <x v="11"/>
    <x v="0"/>
    <x v="2"/>
    <x v="2"/>
    <s v="Completed"/>
    <n v="4"/>
    <n v="44"/>
    <n v="6272526.75"/>
    <x v="1"/>
    <x v="1"/>
    <x v="1"/>
    <x v="1"/>
  </r>
  <r>
    <x v="387"/>
    <s v="Amina Ogunleye"/>
    <s v="Male"/>
    <x v="41"/>
    <x v="0"/>
    <x v="273"/>
    <n v="46650"/>
    <n v="22905150"/>
    <s v="Ogun"/>
    <x v="5"/>
    <s v="Lagos"/>
    <x v="1"/>
    <x v="1"/>
    <s v="Agent D"/>
    <x v="0"/>
    <n v="22905150"/>
    <n v="0"/>
    <n v="3.94"/>
    <n v="3.9399999999999998E-2"/>
    <s v="2024-10-29"/>
    <x v="4"/>
    <x v="0"/>
    <x v="1"/>
    <x v="0"/>
    <s v="Cancelled"/>
    <n v="1"/>
    <n v="22"/>
    <n v="22002687.09"/>
    <x v="0"/>
    <x v="0"/>
    <x v="0"/>
    <x v="1"/>
  </r>
  <r>
    <x v="388"/>
    <s v="Musa Ogunleye"/>
    <s v="Male"/>
    <x v="27"/>
    <x v="1"/>
    <x v="177"/>
    <n v="23293"/>
    <n v="15443259"/>
    <s v="Ekiti"/>
    <x v="5"/>
    <s v="Calabar"/>
    <x v="2"/>
    <x v="1"/>
    <s v="Agent A"/>
    <x v="0"/>
    <n v="15443259"/>
    <n v="0"/>
    <n v="2.11"/>
    <n v="2.1099999999999997E-2"/>
    <s v="2024-01-25"/>
    <x v="7"/>
    <x v="0"/>
    <x v="2"/>
    <x v="1"/>
    <s v="Completed"/>
    <n v="2"/>
    <n v="50"/>
    <n v="15117406.235099999"/>
    <x v="0"/>
    <x v="0"/>
    <x v="0"/>
    <x v="1"/>
  </r>
  <r>
    <x v="389"/>
    <s v="Tunde Bello"/>
    <s v="Female"/>
    <x v="39"/>
    <x v="2"/>
    <x v="299"/>
    <n v="12678"/>
    <n v="5236014"/>
    <s v="FCT"/>
    <x v="2"/>
    <s v="Lagos"/>
    <x v="2"/>
    <x v="4"/>
    <s v="Agent E"/>
    <x v="1"/>
    <n v="1494781"/>
    <n v="24"/>
    <n v="7.53"/>
    <n v="7.5300000000000006E-2"/>
    <s v="2024-11-30"/>
    <x v="2"/>
    <x v="0"/>
    <x v="3"/>
    <x v="1"/>
    <s v="Cancelled"/>
    <n v="1"/>
    <n v="24"/>
    <n v="4841742.1458000001"/>
    <x v="1"/>
    <x v="1"/>
    <x v="1"/>
    <x v="2"/>
  </r>
  <r>
    <x v="390"/>
    <s v="David Ojo"/>
    <s v="Male"/>
    <x v="44"/>
    <x v="1"/>
    <x v="300"/>
    <n v="27433"/>
    <n v="17996048"/>
    <s v="Kaduna"/>
    <x v="4"/>
    <s v="Warri"/>
    <x v="1"/>
    <x v="2"/>
    <s v="Agent A"/>
    <x v="1"/>
    <n v="6639050"/>
    <n v="12"/>
    <n v="4.2300000000000004"/>
    <n v="4.2300000000000004E-2"/>
    <s v="2024-08-04"/>
    <x v="8"/>
    <x v="0"/>
    <x v="1"/>
    <x v="1"/>
    <s v="Cancelled"/>
    <n v="2"/>
    <n v="42"/>
    <n v="17234815.169599999"/>
    <x v="0"/>
    <x v="0"/>
    <x v="0"/>
    <x v="1"/>
  </r>
  <r>
    <x v="391"/>
    <s v="Amina Sani"/>
    <s v="Female"/>
    <x v="18"/>
    <x v="0"/>
    <x v="301"/>
    <n v="36555"/>
    <n v="25844385"/>
    <s v="Taraba"/>
    <x v="0"/>
    <s v="Kano"/>
    <x v="2"/>
    <x v="4"/>
    <s v="Agent B"/>
    <x v="0"/>
    <n v="25844385"/>
    <n v="0"/>
    <n v="2.91"/>
    <n v="2.9100000000000001E-2"/>
    <s v="2024-08-11"/>
    <x v="8"/>
    <x v="0"/>
    <x v="2"/>
    <x v="1"/>
    <s v="Cancelled"/>
    <n v="1"/>
    <n v="36"/>
    <n v="25092313.396499999"/>
    <x v="0"/>
    <x v="0"/>
    <x v="0"/>
    <x v="1"/>
  </r>
  <r>
    <x v="392"/>
    <s v="Musa Ogunleye"/>
    <s v="Female"/>
    <x v="9"/>
    <x v="0"/>
    <x v="302"/>
    <n v="35466"/>
    <n v="10994460"/>
    <s v="Lagos"/>
    <x v="5"/>
    <s v="Uyo"/>
    <x v="2"/>
    <x v="2"/>
    <s v="Agent A"/>
    <x v="1"/>
    <n v="2510533"/>
    <n v="24"/>
    <n v="6.61"/>
    <n v="6.6100000000000006E-2"/>
    <s v="2024-10-18"/>
    <x v="4"/>
    <x v="0"/>
    <x v="2"/>
    <x v="2"/>
    <s v="Completed"/>
    <n v="4"/>
    <n v="3"/>
    <n v="10267726.194"/>
    <x v="0"/>
    <x v="1"/>
    <x v="0"/>
    <x v="2"/>
  </r>
  <r>
    <x v="393"/>
    <s v="Blessing Adeyemi"/>
    <s v="Male"/>
    <x v="7"/>
    <x v="2"/>
    <x v="303"/>
    <n v="40483"/>
    <n v="21091643"/>
    <s v="Osun"/>
    <x v="5"/>
    <s v="Ibadan"/>
    <x v="2"/>
    <x v="2"/>
    <s v="Agent D"/>
    <x v="1"/>
    <n v="8165484"/>
    <n v="24"/>
    <n v="2.65"/>
    <n v="2.6499999999999999E-2"/>
    <s v="2024-04-05"/>
    <x v="9"/>
    <x v="0"/>
    <x v="0"/>
    <x v="2"/>
    <s v="Pending"/>
    <n v="1"/>
    <n v="1"/>
    <n v="20532714.460500002"/>
    <x v="0"/>
    <x v="0"/>
    <x v="0"/>
    <x v="1"/>
  </r>
  <r>
    <x v="394"/>
    <s v="Ngozi Abdullahi"/>
    <s v="Male"/>
    <x v="45"/>
    <x v="0"/>
    <x v="234"/>
    <n v="28548"/>
    <n v="25921584"/>
    <s v="Abia"/>
    <x v="1"/>
    <s v="Warri"/>
    <x v="0"/>
    <x v="0"/>
    <s v="Agent A"/>
    <x v="1"/>
    <n v="9994062"/>
    <n v="12"/>
    <n v="9.74"/>
    <n v="9.74E-2"/>
    <s v="2024-07-03"/>
    <x v="10"/>
    <x v="0"/>
    <x v="0"/>
    <x v="0"/>
    <s v="Completed"/>
    <n v="1"/>
    <n v="14"/>
    <n v="23396821.718399998"/>
    <x v="0"/>
    <x v="1"/>
    <x v="0"/>
    <x v="0"/>
  </r>
  <r>
    <x v="395"/>
    <s v="Ibrahim Obi"/>
    <s v="Male"/>
    <x v="5"/>
    <x v="0"/>
    <x v="245"/>
    <n v="17845"/>
    <n v="15435925"/>
    <s v="Nasarawa"/>
    <x v="2"/>
    <s v="Kano"/>
    <x v="0"/>
    <x v="1"/>
    <s v="Agent D"/>
    <x v="1"/>
    <n v="3485865"/>
    <n v="6"/>
    <n v="7.7"/>
    <n v="7.6999999999999999E-2"/>
    <s v="2024-03-16"/>
    <x v="6"/>
    <x v="0"/>
    <x v="2"/>
    <x v="2"/>
    <s v="Pending"/>
    <n v="5"/>
    <n v="16"/>
    <n v="14247358.775"/>
    <x v="0"/>
    <x v="1"/>
    <x v="0"/>
    <x v="0"/>
  </r>
  <r>
    <x v="396"/>
    <s v="Ngozi Sani"/>
    <s v="Female"/>
    <x v="0"/>
    <x v="2"/>
    <x v="304"/>
    <n v="5337"/>
    <n v="3207537"/>
    <s v="Enugu"/>
    <x v="1"/>
    <s v="Calabar"/>
    <x v="1"/>
    <x v="1"/>
    <s v="Agent E"/>
    <x v="1"/>
    <n v="740297"/>
    <n v="3"/>
    <n v="8.48"/>
    <n v="8.48E-2"/>
    <s v="2024-08-09"/>
    <x v="8"/>
    <x v="0"/>
    <x v="2"/>
    <x v="2"/>
    <s v="Cancelled"/>
    <n v="1"/>
    <n v="34"/>
    <n v="2935537.8624"/>
    <x v="1"/>
    <x v="1"/>
    <x v="1"/>
    <x v="1"/>
  </r>
  <r>
    <x v="397"/>
    <s v="Ngozi Sani"/>
    <s v="Male"/>
    <x v="39"/>
    <x v="1"/>
    <x v="305"/>
    <n v="38258"/>
    <n v="20008934"/>
    <s v="Osun"/>
    <x v="5"/>
    <s v="Calabar"/>
    <x v="2"/>
    <x v="4"/>
    <s v="Agent D"/>
    <x v="0"/>
    <n v="20008934"/>
    <n v="0"/>
    <n v="2.68"/>
    <n v="2.6800000000000001E-2"/>
    <s v="2024-11-27"/>
    <x v="2"/>
    <x v="0"/>
    <x v="2"/>
    <x v="2"/>
    <s v="Completed"/>
    <n v="3"/>
    <n v="47"/>
    <n v="19472694.568799999"/>
    <x v="0"/>
    <x v="0"/>
    <x v="0"/>
    <x v="1"/>
  </r>
  <r>
    <x v="398"/>
    <s v="David Ojo"/>
    <s v="Female"/>
    <x v="45"/>
    <x v="2"/>
    <x v="9"/>
    <n v="17211"/>
    <n v="11152728"/>
    <s v="Abia"/>
    <x v="1"/>
    <s v="Enugu"/>
    <x v="2"/>
    <x v="1"/>
    <s v="Agent D"/>
    <x v="0"/>
    <n v="11152728"/>
    <n v="0"/>
    <n v="5.88"/>
    <n v="5.8799999999999998E-2"/>
    <s v="2024-12-16"/>
    <x v="3"/>
    <x v="0"/>
    <x v="1"/>
    <x v="1"/>
    <s v="Completed"/>
    <n v="5"/>
    <n v="14"/>
    <n v="10496947.593600001"/>
    <x v="0"/>
    <x v="1"/>
    <x v="0"/>
    <x v="1"/>
  </r>
  <r>
    <x v="399"/>
    <s v="Samuel Sani"/>
    <s v="Male"/>
    <x v="28"/>
    <x v="2"/>
    <x v="15"/>
    <n v="33646"/>
    <n v="29709418"/>
    <s v="Cross River"/>
    <x v="3"/>
    <s v="Abuja"/>
    <x v="1"/>
    <x v="0"/>
    <s v="Agent B"/>
    <x v="0"/>
    <n v="29709418"/>
    <n v="0"/>
    <n v="1.73"/>
    <n v="1.7299999999999999E-2"/>
    <s v="2024-03-21"/>
    <x v="6"/>
    <x v="0"/>
    <x v="0"/>
    <x v="2"/>
    <s v="Pending"/>
    <n v="3"/>
    <n v="23"/>
    <n v="29195445.068599999"/>
    <x v="0"/>
    <x v="0"/>
    <x v="0"/>
    <x v="0"/>
  </r>
  <r>
    <x v="400"/>
    <s v="Samuel Eze"/>
    <s v="Male"/>
    <x v="8"/>
    <x v="0"/>
    <x v="306"/>
    <n v="4095"/>
    <n v="2927925"/>
    <s v="Yobe"/>
    <x v="0"/>
    <s v="Kano"/>
    <x v="1"/>
    <x v="4"/>
    <s v="Agent C"/>
    <x v="0"/>
    <n v="2927925"/>
    <n v="0"/>
    <n v="3.38"/>
    <n v="3.3799999999999997E-2"/>
    <s v="2024-02-28"/>
    <x v="0"/>
    <x v="0"/>
    <x v="1"/>
    <x v="2"/>
    <s v="Cancelled"/>
    <n v="3"/>
    <n v="10"/>
    <n v="2828961.1349999998"/>
    <x v="1"/>
    <x v="0"/>
    <x v="1"/>
    <x v="1"/>
  </r>
  <r>
    <x v="401"/>
    <s v="Ibrahim Bello"/>
    <s v="Male"/>
    <x v="21"/>
    <x v="1"/>
    <x v="10"/>
    <n v="8825"/>
    <n v="7810125"/>
    <s v="Gombe"/>
    <x v="0"/>
    <s v="Calabar"/>
    <x v="0"/>
    <x v="3"/>
    <s v="Agent A"/>
    <x v="0"/>
    <n v="7810125"/>
    <n v="0"/>
    <n v="9.27"/>
    <n v="9.2699999999999991E-2"/>
    <s v="2024-08-12"/>
    <x v="8"/>
    <x v="0"/>
    <x v="0"/>
    <x v="2"/>
    <s v="Cancelled"/>
    <n v="1"/>
    <n v="14"/>
    <n v="7086126.4124999996"/>
    <x v="1"/>
    <x v="1"/>
    <x v="1"/>
    <x v="0"/>
  </r>
  <r>
    <x v="402"/>
    <s v="Amina Eze"/>
    <s v="Female"/>
    <x v="28"/>
    <x v="0"/>
    <x v="307"/>
    <n v="30935"/>
    <n v="28614875"/>
    <s v="Delta"/>
    <x v="3"/>
    <s v="Ibadan"/>
    <x v="0"/>
    <x v="1"/>
    <s v="Agent C"/>
    <x v="1"/>
    <n v="7047521"/>
    <n v="3"/>
    <n v="3.64"/>
    <n v="3.6400000000000002E-2"/>
    <s v="2024-03-11"/>
    <x v="6"/>
    <x v="0"/>
    <x v="1"/>
    <x v="0"/>
    <s v="Completed"/>
    <n v="1"/>
    <n v="18"/>
    <n v="27573293.550000001"/>
    <x v="0"/>
    <x v="0"/>
    <x v="0"/>
    <x v="0"/>
  </r>
  <r>
    <x v="403"/>
    <s v="Ngozi Eze"/>
    <s v="Male"/>
    <x v="44"/>
    <x v="2"/>
    <x v="308"/>
    <n v="43251"/>
    <n v="24609819"/>
    <s v="Cross River"/>
    <x v="3"/>
    <s v="Kaduna"/>
    <x v="1"/>
    <x v="1"/>
    <s v="Agent E"/>
    <x v="0"/>
    <n v="24609819"/>
    <n v="0"/>
    <n v="1.52"/>
    <n v="1.52E-2"/>
    <s v="2024-09-28"/>
    <x v="5"/>
    <x v="0"/>
    <x v="1"/>
    <x v="2"/>
    <s v="Pending"/>
    <n v="2"/>
    <n v="50"/>
    <n v="24235749.751200002"/>
    <x v="0"/>
    <x v="0"/>
    <x v="0"/>
    <x v="1"/>
  </r>
  <r>
    <x v="404"/>
    <s v="Chinedu Obi"/>
    <s v="Male"/>
    <x v="15"/>
    <x v="1"/>
    <x v="309"/>
    <n v="7556"/>
    <n v="2047676"/>
    <s v="Ekiti"/>
    <x v="5"/>
    <s v="Uyo"/>
    <x v="0"/>
    <x v="3"/>
    <s v="Agent A"/>
    <x v="1"/>
    <n v="656270"/>
    <n v="12"/>
    <n v="7.72"/>
    <n v="7.7199999999999991E-2"/>
    <s v="2024-08-10"/>
    <x v="8"/>
    <x v="0"/>
    <x v="1"/>
    <x v="1"/>
    <s v="Pending"/>
    <n v="5"/>
    <n v="20"/>
    <n v="1889595.4128"/>
    <x v="1"/>
    <x v="1"/>
    <x v="1"/>
    <x v="2"/>
  </r>
  <r>
    <x v="405"/>
    <s v="Grace Ojo"/>
    <s v="Female"/>
    <x v="23"/>
    <x v="2"/>
    <x v="105"/>
    <n v="2517"/>
    <n v="1389384"/>
    <s v="Taraba"/>
    <x v="0"/>
    <s v="Enugu"/>
    <x v="2"/>
    <x v="1"/>
    <s v="Agent B"/>
    <x v="1"/>
    <n v="569770"/>
    <n v="6"/>
    <n v="4.46"/>
    <n v="4.4600000000000001E-2"/>
    <s v="2024-04-15"/>
    <x v="9"/>
    <x v="0"/>
    <x v="1"/>
    <x v="2"/>
    <s v="Completed"/>
    <n v="5"/>
    <n v="22"/>
    <n v="1327417.4736000001"/>
    <x v="1"/>
    <x v="0"/>
    <x v="1"/>
    <x v="1"/>
  </r>
  <r>
    <x v="406"/>
    <s v="David Adeyemi"/>
    <s v="Male"/>
    <x v="41"/>
    <x v="1"/>
    <x v="310"/>
    <n v="37441"/>
    <n v="27406812"/>
    <s v="Nasarawa"/>
    <x v="2"/>
    <s v="Kano"/>
    <x v="2"/>
    <x v="4"/>
    <s v="Agent B"/>
    <x v="1"/>
    <n v="6244529"/>
    <n v="6"/>
    <n v="5.52"/>
    <n v="5.5199999999999999E-2"/>
    <s v="2024-09-23"/>
    <x v="5"/>
    <x v="0"/>
    <x v="1"/>
    <x v="0"/>
    <s v="Pending"/>
    <n v="5"/>
    <n v="8"/>
    <n v="25893955.977600001"/>
    <x v="0"/>
    <x v="1"/>
    <x v="0"/>
    <x v="0"/>
  </r>
  <r>
    <x v="407"/>
    <s v="Ibrahim Abdullahi"/>
    <s v="Male"/>
    <x v="25"/>
    <x v="2"/>
    <x v="311"/>
    <n v="43090"/>
    <n v="20036850"/>
    <s v="Borno"/>
    <x v="0"/>
    <s v="Enugu"/>
    <x v="0"/>
    <x v="3"/>
    <s v="Agent E"/>
    <x v="1"/>
    <n v="4294295"/>
    <n v="3"/>
    <n v="6.51"/>
    <n v="6.5099999999999991E-2"/>
    <s v="2024-03-04"/>
    <x v="6"/>
    <x v="0"/>
    <x v="3"/>
    <x v="1"/>
    <s v="Pending"/>
    <n v="3"/>
    <n v="43"/>
    <n v="18732451.065000001"/>
    <x v="0"/>
    <x v="1"/>
    <x v="0"/>
    <x v="1"/>
  </r>
  <r>
    <x v="408"/>
    <s v="Samuel Eze"/>
    <s v="Female"/>
    <x v="25"/>
    <x v="0"/>
    <x v="140"/>
    <n v="26750"/>
    <n v="24904250"/>
    <s v="Gombe"/>
    <x v="0"/>
    <s v="Kano"/>
    <x v="0"/>
    <x v="1"/>
    <s v="Agent D"/>
    <x v="0"/>
    <n v="24904250"/>
    <n v="0"/>
    <n v="1.05"/>
    <n v="1.0500000000000001E-2"/>
    <s v="2024-09-21"/>
    <x v="5"/>
    <x v="0"/>
    <x v="0"/>
    <x v="2"/>
    <s v="Completed"/>
    <n v="4"/>
    <n v="9"/>
    <n v="24642755.375"/>
    <x v="0"/>
    <x v="0"/>
    <x v="0"/>
    <x v="0"/>
  </r>
  <r>
    <x v="409"/>
    <s v="Ngozi Sani"/>
    <s v="Female"/>
    <x v="28"/>
    <x v="0"/>
    <x v="72"/>
    <n v="26202"/>
    <n v="7310358"/>
    <s v="Kwara"/>
    <x v="2"/>
    <s v="Warri"/>
    <x v="0"/>
    <x v="3"/>
    <s v="Agent B"/>
    <x v="1"/>
    <n v="3374494"/>
    <n v="24"/>
    <n v="5.84"/>
    <n v="5.8400000000000001E-2"/>
    <s v="2024-11-21"/>
    <x v="2"/>
    <x v="0"/>
    <x v="2"/>
    <x v="0"/>
    <s v="Pending"/>
    <n v="2"/>
    <n v="46"/>
    <n v="6883433.0927999998"/>
    <x v="1"/>
    <x v="1"/>
    <x v="1"/>
    <x v="2"/>
  </r>
  <r>
    <x v="410"/>
    <s v="Tunde Effiong"/>
    <s v="Female"/>
    <x v="5"/>
    <x v="1"/>
    <x v="131"/>
    <n v="47512"/>
    <n v="15203840"/>
    <s v="Jigawa"/>
    <x v="4"/>
    <s v="Uyo"/>
    <x v="1"/>
    <x v="2"/>
    <s v="Agent A"/>
    <x v="0"/>
    <n v="15203840"/>
    <n v="0"/>
    <n v="4.55"/>
    <n v="4.5499999999999999E-2"/>
    <s v="2024-01-17"/>
    <x v="7"/>
    <x v="0"/>
    <x v="1"/>
    <x v="0"/>
    <s v="Pending"/>
    <n v="1"/>
    <n v="34"/>
    <n v="14512065.279999999"/>
    <x v="0"/>
    <x v="0"/>
    <x v="0"/>
    <x v="2"/>
  </r>
  <r>
    <x v="411"/>
    <s v="Samuel Obi"/>
    <s v="Male"/>
    <x v="26"/>
    <x v="2"/>
    <x v="312"/>
    <n v="26540"/>
    <n v="13588480"/>
    <s v="Anambra"/>
    <x v="1"/>
    <s v="Enugu"/>
    <x v="0"/>
    <x v="0"/>
    <s v="Agent D"/>
    <x v="1"/>
    <n v="4698593"/>
    <n v="12"/>
    <n v="7.91"/>
    <n v="7.9100000000000004E-2"/>
    <s v="2024-03-13"/>
    <x v="6"/>
    <x v="0"/>
    <x v="0"/>
    <x v="2"/>
    <s v="Cancelled"/>
    <n v="3"/>
    <n v="5"/>
    <n v="12513631.232000001"/>
    <x v="0"/>
    <x v="1"/>
    <x v="0"/>
    <x v="1"/>
  </r>
  <r>
    <x v="412"/>
    <s v="Tunde Adeyemi"/>
    <s v="Female"/>
    <x v="19"/>
    <x v="1"/>
    <x v="155"/>
    <n v="22296"/>
    <n v="17524656"/>
    <s v="Osun"/>
    <x v="5"/>
    <s v="Warri"/>
    <x v="1"/>
    <x v="0"/>
    <s v="Agent C"/>
    <x v="1"/>
    <n v="7612795"/>
    <n v="12"/>
    <n v="4.75"/>
    <n v="4.7500000000000001E-2"/>
    <s v="2024-11-06"/>
    <x v="2"/>
    <x v="0"/>
    <x v="0"/>
    <x v="0"/>
    <s v="Cancelled"/>
    <n v="5"/>
    <n v="27"/>
    <n v="16692234.84"/>
    <x v="0"/>
    <x v="0"/>
    <x v="0"/>
    <x v="0"/>
  </r>
  <r>
    <x v="413"/>
    <s v="Musa Bello"/>
    <s v="Male"/>
    <x v="2"/>
    <x v="0"/>
    <x v="313"/>
    <n v="37454"/>
    <n v="20487338"/>
    <s v="Kwara"/>
    <x v="2"/>
    <s v="Kaduna"/>
    <x v="2"/>
    <x v="4"/>
    <s v="Agent E"/>
    <x v="0"/>
    <n v="20487338"/>
    <n v="0"/>
    <n v="9.58"/>
    <n v="9.5799999999999996E-2"/>
    <s v="2024-08-14"/>
    <x v="8"/>
    <x v="0"/>
    <x v="0"/>
    <x v="0"/>
    <s v="Cancelled"/>
    <n v="1"/>
    <n v="13"/>
    <n v="18524651.0196"/>
    <x v="0"/>
    <x v="1"/>
    <x v="0"/>
    <x v="1"/>
  </r>
  <r>
    <x v="414"/>
    <s v="Chinedu Bello"/>
    <s v="Male"/>
    <x v="41"/>
    <x v="2"/>
    <x v="188"/>
    <n v="5465"/>
    <n v="5328375"/>
    <s v="Kebbi"/>
    <x v="4"/>
    <s v="Calabar"/>
    <x v="0"/>
    <x v="0"/>
    <s v="Agent E"/>
    <x v="0"/>
    <n v="5328375"/>
    <n v="0"/>
    <n v="7.51"/>
    <n v="7.51E-2"/>
    <s v="2024-09-14"/>
    <x v="5"/>
    <x v="0"/>
    <x v="2"/>
    <x v="2"/>
    <s v="Cancelled"/>
    <n v="5"/>
    <n v="21"/>
    <n v="4928214.0375000006"/>
    <x v="1"/>
    <x v="1"/>
    <x v="1"/>
    <x v="0"/>
  </r>
  <r>
    <x v="415"/>
    <s v="David Obi"/>
    <s v="Female"/>
    <x v="17"/>
    <x v="0"/>
    <x v="314"/>
    <n v="3524"/>
    <n v="2477372"/>
    <s v="Plateau"/>
    <x v="2"/>
    <s v="Lagos"/>
    <x v="0"/>
    <x v="3"/>
    <s v="Agent B"/>
    <x v="1"/>
    <n v="629630"/>
    <n v="24"/>
    <n v="0.24"/>
    <n v="2.3999999999999998E-3"/>
    <s v="2024-09-27"/>
    <x v="5"/>
    <x v="0"/>
    <x v="1"/>
    <x v="2"/>
    <s v="Completed"/>
    <n v="3"/>
    <n v="50"/>
    <n v="2471426.3072000002"/>
    <x v="1"/>
    <x v="0"/>
    <x v="1"/>
    <x v="1"/>
  </r>
  <r>
    <x v="416"/>
    <s v="Tunde Okafor"/>
    <s v="Male"/>
    <x v="26"/>
    <x v="2"/>
    <x v="26"/>
    <n v="46473"/>
    <n v="28673841"/>
    <s v="Oyo"/>
    <x v="5"/>
    <s v="Ibadan"/>
    <x v="0"/>
    <x v="4"/>
    <s v="Agent B"/>
    <x v="0"/>
    <n v="28673841"/>
    <n v="0"/>
    <n v="0.59"/>
    <n v="5.8999999999999999E-3"/>
    <s v="2024-06-15"/>
    <x v="1"/>
    <x v="0"/>
    <x v="2"/>
    <x v="1"/>
    <s v="Pending"/>
    <n v="4"/>
    <n v="8"/>
    <n v="28504665.338100001"/>
    <x v="0"/>
    <x v="0"/>
    <x v="0"/>
    <x v="1"/>
  </r>
  <r>
    <x v="417"/>
    <s v="Ngozi Bello"/>
    <s v="Female"/>
    <x v="13"/>
    <x v="2"/>
    <x v="315"/>
    <n v="41125"/>
    <n v="39891250"/>
    <s v="Oyo"/>
    <x v="5"/>
    <s v="Port Harcourt"/>
    <x v="1"/>
    <x v="3"/>
    <s v="Agent D"/>
    <x v="0"/>
    <n v="39891250"/>
    <n v="0"/>
    <n v="4.93"/>
    <n v="4.9299999999999997E-2"/>
    <s v="2024-09-15"/>
    <x v="5"/>
    <x v="0"/>
    <x v="0"/>
    <x v="1"/>
    <s v="Completed"/>
    <n v="4"/>
    <n v="41"/>
    <n v="37924611.375"/>
    <x v="2"/>
    <x v="0"/>
    <x v="2"/>
    <x v="0"/>
  </r>
  <r>
    <x v="418"/>
    <s v="Tunde Abdullahi"/>
    <s v="Female"/>
    <x v="19"/>
    <x v="0"/>
    <x v="316"/>
    <n v="40415"/>
    <n v="30998305"/>
    <s v="Anambra"/>
    <x v="1"/>
    <s v="Ibadan"/>
    <x v="2"/>
    <x v="3"/>
    <s v="Agent B"/>
    <x v="0"/>
    <n v="30998305"/>
    <n v="0"/>
    <n v="2.46"/>
    <n v="2.46E-2"/>
    <s v="2024-10-11"/>
    <x v="4"/>
    <x v="0"/>
    <x v="3"/>
    <x v="1"/>
    <s v="Cancelled"/>
    <n v="2"/>
    <n v="16"/>
    <n v="30235746.697000001"/>
    <x v="2"/>
    <x v="0"/>
    <x v="2"/>
    <x v="0"/>
  </r>
  <r>
    <x v="419"/>
    <s v="Musa Adeyemi"/>
    <s v="Male"/>
    <x v="13"/>
    <x v="2"/>
    <x v="317"/>
    <n v="4738"/>
    <n v="3136556"/>
    <s v="Sokoto"/>
    <x v="4"/>
    <s v="Uyo"/>
    <x v="1"/>
    <x v="3"/>
    <s v="Agent C"/>
    <x v="0"/>
    <n v="3136556"/>
    <n v="0"/>
    <n v="8.1300000000000008"/>
    <n v="8.1300000000000011E-2"/>
    <s v="2024-11-13"/>
    <x v="2"/>
    <x v="0"/>
    <x v="2"/>
    <x v="1"/>
    <s v="Cancelled"/>
    <n v="2"/>
    <n v="38"/>
    <n v="2881553.9972000001"/>
    <x v="1"/>
    <x v="1"/>
    <x v="1"/>
    <x v="1"/>
  </r>
  <r>
    <x v="420"/>
    <s v="Amina Adeyemi"/>
    <s v="Female"/>
    <x v="44"/>
    <x v="0"/>
    <x v="318"/>
    <n v="37002"/>
    <n v="13505730"/>
    <s v="Katsina"/>
    <x v="4"/>
    <s v="Lagos"/>
    <x v="2"/>
    <x v="3"/>
    <s v="Agent C"/>
    <x v="0"/>
    <n v="13505730"/>
    <n v="0"/>
    <n v="3.01"/>
    <n v="3.0099999999999998E-2"/>
    <s v="2024-07-21"/>
    <x v="10"/>
    <x v="0"/>
    <x v="1"/>
    <x v="0"/>
    <s v="Pending"/>
    <n v="4"/>
    <n v="18"/>
    <n v="13099207.527000001"/>
    <x v="0"/>
    <x v="0"/>
    <x v="0"/>
    <x v="2"/>
  </r>
  <r>
    <x v="421"/>
    <s v="Samuel Sani"/>
    <s v="Male"/>
    <x v="30"/>
    <x v="1"/>
    <x v="319"/>
    <n v="32133"/>
    <n v="13335195"/>
    <s v="Enugu"/>
    <x v="1"/>
    <s v="Enugu"/>
    <x v="0"/>
    <x v="1"/>
    <s v="Agent E"/>
    <x v="1"/>
    <n v="6323622"/>
    <n v="3"/>
    <n v="1.34"/>
    <n v="1.34E-2"/>
    <s v="2024-01-02"/>
    <x v="7"/>
    <x v="0"/>
    <x v="2"/>
    <x v="1"/>
    <s v="Cancelled"/>
    <n v="1"/>
    <n v="42"/>
    <n v="13156503.387"/>
    <x v="0"/>
    <x v="0"/>
    <x v="0"/>
    <x v="2"/>
  </r>
  <r>
    <x v="422"/>
    <s v="David Obi"/>
    <s v="Male"/>
    <x v="23"/>
    <x v="0"/>
    <x v="320"/>
    <n v="46014"/>
    <n v="10629234"/>
    <s v="Borno"/>
    <x v="0"/>
    <s v="Uyo"/>
    <x v="0"/>
    <x v="1"/>
    <s v="Agent C"/>
    <x v="1"/>
    <n v="3251466"/>
    <n v="3"/>
    <n v="8.1300000000000008"/>
    <n v="8.1300000000000011E-2"/>
    <s v="2024-11-03"/>
    <x v="2"/>
    <x v="0"/>
    <x v="3"/>
    <x v="1"/>
    <s v="Completed"/>
    <n v="2"/>
    <n v="48"/>
    <n v="9765077.275799999"/>
    <x v="1"/>
    <x v="1"/>
    <x v="1"/>
    <x v="2"/>
  </r>
  <r>
    <x v="423"/>
    <s v="Chinedu Abdullahi"/>
    <s v="Female"/>
    <x v="2"/>
    <x v="1"/>
    <x v="321"/>
    <n v="7896"/>
    <n v="3126816"/>
    <s v="Ogun"/>
    <x v="5"/>
    <s v="Enugu"/>
    <x v="2"/>
    <x v="0"/>
    <s v="Agent A"/>
    <x v="1"/>
    <n v="845108"/>
    <n v="6"/>
    <n v="4.9400000000000004"/>
    <n v="4.9400000000000006E-2"/>
    <s v="2024-07-04"/>
    <x v="10"/>
    <x v="0"/>
    <x v="3"/>
    <x v="0"/>
    <s v="Pending"/>
    <n v="1"/>
    <n v="18"/>
    <n v="2972351.2895999998"/>
    <x v="1"/>
    <x v="0"/>
    <x v="1"/>
    <x v="2"/>
  </r>
  <r>
    <x v="424"/>
    <s v="Samuel Ojo"/>
    <s v="Male"/>
    <x v="27"/>
    <x v="1"/>
    <x v="322"/>
    <n v="38161"/>
    <n v="14272214"/>
    <s v="Kebbi"/>
    <x v="4"/>
    <s v="Warri"/>
    <x v="0"/>
    <x v="2"/>
    <s v="Agent B"/>
    <x v="0"/>
    <n v="14272214"/>
    <n v="0"/>
    <n v="6.6"/>
    <n v="6.6000000000000003E-2"/>
    <s v="2024-10-16"/>
    <x v="4"/>
    <x v="0"/>
    <x v="1"/>
    <x v="0"/>
    <s v="Completed"/>
    <n v="5"/>
    <n v="47"/>
    <n v="13330247.875999998"/>
    <x v="0"/>
    <x v="1"/>
    <x v="0"/>
    <x v="2"/>
  </r>
  <r>
    <x v="425"/>
    <s v="Chinedu Ogunleye"/>
    <s v="Female"/>
    <x v="28"/>
    <x v="2"/>
    <x v="323"/>
    <n v="46416"/>
    <n v="42192144"/>
    <s v="Delta"/>
    <x v="3"/>
    <s v="Lagos"/>
    <x v="0"/>
    <x v="3"/>
    <s v="Agent D"/>
    <x v="1"/>
    <n v="8463174"/>
    <n v="24"/>
    <n v="4.2699999999999996"/>
    <n v="4.2699999999999995E-2"/>
    <s v="2024-12-10"/>
    <x v="3"/>
    <x v="0"/>
    <x v="2"/>
    <x v="1"/>
    <s v="Cancelled"/>
    <n v="1"/>
    <n v="47"/>
    <n v="40390539.451200001"/>
    <x v="2"/>
    <x v="0"/>
    <x v="2"/>
    <x v="0"/>
  </r>
  <r>
    <x v="426"/>
    <s v="Samuel Okafor"/>
    <s v="Male"/>
    <x v="23"/>
    <x v="2"/>
    <x v="324"/>
    <n v="36892"/>
    <n v="23241960"/>
    <s v="Anambra"/>
    <x v="1"/>
    <s v="Ibadan"/>
    <x v="0"/>
    <x v="0"/>
    <s v="Agent B"/>
    <x v="1"/>
    <n v="4684366"/>
    <n v="12"/>
    <n v="1.95"/>
    <n v="1.95E-2"/>
    <s v="2024-02-11"/>
    <x v="0"/>
    <x v="0"/>
    <x v="3"/>
    <x v="1"/>
    <s v="Pending"/>
    <n v="1"/>
    <n v="41"/>
    <n v="22788741.780000001"/>
    <x v="0"/>
    <x v="0"/>
    <x v="0"/>
    <x v="1"/>
  </r>
  <r>
    <x v="427"/>
    <s v="David Abdullahi"/>
    <s v="Male"/>
    <x v="43"/>
    <x v="2"/>
    <x v="325"/>
    <n v="30308"/>
    <n v="20942828"/>
    <s v="Borno"/>
    <x v="0"/>
    <s v="Lagos"/>
    <x v="0"/>
    <x v="4"/>
    <s v="Agent A"/>
    <x v="0"/>
    <n v="20942828"/>
    <n v="0"/>
    <n v="5.93"/>
    <n v="5.9299999999999999E-2"/>
    <s v="2024-11-16"/>
    <x v="2"/>
    <x v="0"/>
    <x v="1"/>
    <x v="0"/>
    <s v="Completed"/>
    <n v="1"/>
    <n v="50"/>
    <n v="19700918.299600001"/>
    <x v="0"/>
    <x v="1"/>
    <x v="0"/>
    <x v="1"/>
  </r>
  <r>
    <x v="428"/>
    <s v="Ngozi Ogunleye"/>
    <s v="Male"/>
    <x v="45"/>
    <x v="0"/>
    <x v="66"/>
    <n v="8269"/>
    <n v="8120158"/>
    <s v="Kebbi"/>
    <x v="4"/>
    <s v="Warri"/>
    <x v="1"/>
    <x v="2"/>
    <s v="Agent C"/>
    <x v="1"/>
    <n v="1832398"/>
    <n v="3"/>
    <n v="0.61"/>
    <n v="6.0999999999999995E-3"/>
    <s v="2024-01-18"/>
    <x v="7"/>
    <x v="0"/>
    <x v="2"/>
    <x v="2"/>
    <s v="Completed"/>
    <n v="1"/>
    <n v="36"/>
    <n v="8070625.0362"/>
    <x v="1"/>
    <x v="0"/>
    <x v="1"/>
    <x v="0"/>
  </r>
  <r>
    <x v="429"/>
    <s v="Chinedu Sani"/>
    <s v="Female"/>
    <x v="25"/>
    <x v="2"/>
    <x v="326"/>
    <n v="8280"/>
    <n v="5059080"/>
    <s v="Ogun"/>
    <x v="5"/>
    <s v="Kaduna"/>
    <x v="2"/>
    <x v="3"/>
    <s v="Agent A"/>
    <x v="1"/>
    <n v="2324014"/>
    <n v="6"/>
    <n v="7.87"/>
    <n v="7.8700000000000006E-2"/>
    <s v="2024-11-15"/>
    <x v="2"/>
    <x v="0"/>
    <x v="1"/>
    <x v="0"/>
    <s v="Cancelled"/>
    <n v="1"/>
    <n v="30"/>
    <n v="4660930.4040000001"/>
    <x v="1"/>
    <x v="1"/>
    <x v="1"/>
    <x v="1"/>
  </r>
  <r>
    <x v="430"/>
    <s v="Amina Ojo"/>
    <s v="Male"/>
    <x v="22"/>
    <x v="0"/>
    <x v="327"/>
    <n v="9078"/>
    <n v="3603966"/>
    <s v="Katsina"/>
    <x v="4"/>
    <s v="Calabar"/>
    <x v="2"/>
    <x v="3"/>
    <s v="Agent C"/>
    <x v="0"/>
    <n v="3603966"/>
    <n v="0"/>
    <n v="0.12"/>
    <n v="1.1999999999999999E-3"/>
    <s v="2024-12-31"/>
    <x v="3"/>
    <x v="0"/>
    <x v="1"/>
    <x v="1"/>
    <s v="Pending"/>
    <n v="5"/>
    <n v="29"/>
    <n v="3599641.2408000003"/>
    <x v="1"/>
    <x v="0"/>
    <x v="1"/>
    <x v="2"/>
  </r>
  <r>
    <x v="431"/>
    <s v="Grace Ogunleye"/>
    <s v="Female"/>
    <x v="9"/>
    <x v="1"/>
    <x v="328"/>
    <n v="5964"/>
    <n v="1461180"/>
    <s v="Imo"/>
    <x v="1"/>
    <s v="Kano"/>
    <x v="0"/>
    <x v="0"/>
    <s v="Agent D"/>
    <x v="0"/>
    <n v="1461180"/>
    <n v="0"/>
    <n v="3.12"/>
    <n v="3.1200000000000002E-2"/>
    <s v="2024-08-11"/>
    <x v="8"/>
    <x v="0"/>
    <x v="1"/>
    <x v="0"/>
    <s v="Pending"/>
    <n v="3"/>
    <n v="24"/>
    <n v="1415591.1839999999"/>
    <x v="1"/>
    <x v="0"/>
    <x v="1"/>
    <x v="2"/>
  </r>
  <r>
    <x v="432"/>
    <s v="Grace Okafor"/>
    <s v="Female"/>
    <x v="14"/>
    <x v="0"/>
    <x v="329"/>
    <n v="46453"/>
    <n v="40553469"/>
    <s v="Ondo"/>
    <x v="5"/>
    <s v="Calabar"/>
    <x v="0"/>
    <x v="0"/>
    <s v="Agent A"/>
    <x v="0"/>
    <n v="40553469"/>
    <n v="0"/>
    <n v="0.56999999999999995"/>
    <n v="5.6999999999999993E-3"/>
    <s v="2024-09-16"/>
    <x v="5"/>
    <x v="0"/>
    <x v="1"/>
    <x v="2"/>
    <s v="Cancelled"/>
    <n v="4"/>
    <n v="45"/>
    <n v="40322314.2267"/>
    <x v="2"/>
    <x v="0"/>
    <x v="2"/>
    <x v="0"/>
  </r>
  <r>
    <x v="433"/>
    <s v="Chinedu Sani"/>
    <s v="Male"/>
    <x v="30"/>
    <x v="1"/>
    <x v="323"/>
    <n v="23701"/>
    <n v="21544209"/>
    <s v="Bauchi"/>
    <x v="0"/>
    <s v="Calabar"/>
    <x v="0"/>
    <x v="0"/>
    <s v="Agent D"/>
    <x v="1"/>
    <n v="7014979"/>
    <n v="12"/>
    <n v="1.62"/>
    <n v="1.6200000000000003E-2"/>
    <s v="2024-08-20"/>
    <x v="8"/>
    <x v="0"/>
    <x v="3"/>
    <x v="2"/>
    <s v="Pending"/>
    <n v="3"/>
    <n v="48"/>
    <n v="21195192.814199999"/>
    <x v="0"/>
    <x v="0"/>
    <x v="0"/>
    <x v="0"/>
  </r>
  <r>
    <x v="434"/>
    <s v="Tunde Abdullahi"/>
    <s v="Female"/>
    <x v="40"/>
    <x v="1"/>
    <x v="330"/>
    <n v="2440"/>
    <n v="946720"/>
    <s v="Kwara"/>
    <x v="2"/>
    <s v="Kaduna"/>
    <x v="2"/>
    <x v="4"/>
    <s v="Agent A"/>
    <x v="1"/>
    <n v="210285"/>
    <n v="3"/>
    <n v="0.3"/>
    <n v="3.0000000000000001E-3"/>
    <s v="2024-02-28"/>
    <x v="0"/>
    <x v="0"/>
    <x v="0"/>
    <x v="2"/>
    <s v="Completed"/>
    <n v="3"/>
    <n v="12"/>
    <n v="943879.84"/>
    <x v="1"/>
    <x v="0"/>
    <x v="1"/>
    <x v="2"/>
  </r>
  <r>
    <x v="435"/>
    <s v="Tunde Abdullahi"/>
    <s v="Male"/>
    <x v="41"/>
    <x v="1"/>
    <x v="313"/>
    <n v="38340"/>
    <n v="20971980"/>
    <s v="Enugu"/>
    <x v="1"/>
    <s v="Kano"/>
    <x v="0"/>
    <x v="1"/>
    <s v="Agent A"/>
    <x v="0"/>
    <n v="20971980"/>
    <n v="0"/>
    <n v="1.79"/>
    <n v="1.7899999999999999E-2"/>
    <s v="2024-01-12"/>
    <x v="7"/>
    <x v="0"/>
    <x v="1"/>
    <x v="2"/>
    <s v="Pending"/>
    <n v="4"/>
    <n v="16"/>
    <n v="20596581.557999998"/>
    <x v="0"/>
    <x v="0"/>
    <x v="0"/>
    <x v="1"/>
  </r>
  <r>
    <x v="436"/>
    <s v="Blessing Eze"/>
    <s v="Female"/>
    <x v="23"/>
    <x v="2"/>
    <x v="331"/>
    <n v="42842"/>
    <n v="31660238"/>
    <s v="Bayelsa"/>
    <x v="3"/>
    <s v="Kano"/>
    <x v="1"/>
    <x v="3"/>
    <s v="Agent D"/>
    <x v="1"/>
    <n v="7457506"/>
    <n v="3"/>
    <n v="8.83"/>
    <n v="8.8300000000000003E-2"/>
    <s v="2024-03-07"/>
    <x v="6"/>
    <x v="0"/>
    <x v="3"/>
    <x v="2"/>
    <s v="Cancelled"/>
    <n v="5"/>
    <n v="13"/>
    <n v="28864638.9846"/>
    <x v="0"/>
    <x v="1"/>
    <x v="0"/>
    <x v="0"/>
  </r>
  <r>
    <x v="437"/>
    <s v="Tunde Effiong"/>
    <s v="Female"/>
    <x v="42"/>
    <x v="1"/>
    <x v="332"/>
    <n v="18198"/>
    <n v="9735930"/>
    <s v="Katsina"/>
    <x v="4"/>
    <s v="Kano"/>
    <x v="0"/>
    <x v="1"/>
    <s v="Agent E"/>
    <x v="0"/>
    <n v="9735930"/>
    <n v="0"/>
    <n v="6.29"/>
    <n v="6.2899999999999998E-2"/>
    <s v="2024-05-23"/>
    <x v="11"/>
    <x v="0"/>
    <x v="0"/>
    <x v="2"/>
    <s v="Cancelled"/>
    <n v="4"/>
    <n v="49"/>
    <n v="9123540.0030000005"/>
    <x v="1"/>
    <x v="1"/>
    <x v="1"/>
    <x v="1"/>
  </r>
  <r>
    <x v="438"/>
    <s v="Ibrahim Sani"/>
    <s v="Female"/>
    <x v="11"/>
    <x v="1"/>
    <x v="333"/>
    <n v="36006"/>
    <n v="25564260"/>
    <s v="Gombe"/>
    <x v="0"/>
    <s v="Enugu"/>
    <x v="1"/>
    <x v="3"/>
    <s v="Agent A"/>
    <x v="1"/>
    <n v="7581003"/>
    <n v="6"/>
    <n v="3.74"/>
    <n v="3.7400000000000003E-2"/>
    <s v="2024-12-21"/>
    <x v="3"/>
    <x v="0"/>
    <x v="3"/>
    <x v="2"/>
    <s v="Completed"/>
    <n v="4"/>
    <n v="16"/>
    <n v="24608156.675999999"/>
    <x v="0"/>
    <x v="0"/>
    <x v="0"/>
    <x v="1"/>
  </r>
  <r>
    <x v="439"/>
    <s v="Musa Effiong"/>
    <s v="Male"/>
    <x v="45"/>
    <x v="0"/>
    <x v="334"/>
    <n v="26712"/>
    <n v="16962120"/>
    <s v="Kwara"/>
    <x v="2"/>
    <s v="Ibadan"/>
    <x v="1"/>
    <x v="1"/>
    <s v="Agent E"/>
    <x v="0"/>
    <n v="16962120"/>
    <n v="0"/>
    <n v="9.35"/>
    <n v="9.35E-2"/>
    <s v="2024-07-10"/>
    <x v="10"/>
    <x v="0"/>
    <x v="1"/>
    <x v="2"/>
    <s v="Cancelled"/>
    <n v="1"/>
    <n v="30"/>
    <n v="15376161.779999999"/>
    <x v="0"/>
    <x v="1"/>
    <x v="0"/>
    <x v="1"/>
  </r>
  <r>
    <x v="440"/>
    <s v="Musa Obi"/>
    <s v="Male"/>
    <x v="36"/>
    <x v="2"/>
    <x v="60"/>
    <n v="31566"/>
    <n v="20075976"/>
    <s v="Kebbi"/>
    <x v="4"/>
    <s v="Enugu"/>
    <x v="0"/>
    <x v="4"/>
    <s v="Agent A"/>
    <x v="1"/>
    <n v="6478233"/>
    <n v="24"/>
    <n v="8.0500000000000007"/>
    <n v="8.0500000000000002E-2"/>
    <s v="2024-06-11"/>
    <x v="1"/>
    <x v="0"/>
    <x v="1"/>
    <x v="2"/>
    <s v="Pending"/>
    <n v="5"/>
    <n v="33"/>
    <n v="18459859.932"/>
    <x v="0"/>
    <x v="1"/>
    <x v="0"/>
    <x v="1"/>
  </r>
  <r>
    <x v="441"/>
    <s v="Chinedu Effiong"/>
    <s v="Male"/>
    <x v="1"/>
    <x v="0"/>
    <x v="335"/>
    <n v="16925"/>
    <n v="8174775"/>
    <s v="Zamfara"/>
    <x v="4"/>
    <s v="Abuja"/>
    <x v="2"/>
    <x v="4"/>
    <s v="Agent C"/>
    <x v="0"/>
    <n v="8174775"/>
    <n v="0"/>
    <n v="1.19"/>
    <n v="1.1899999999999999E-2"/>
    <s v="2024-07-03"/>
    <x v="10"/>
    <x v="0"/>
    <x v="1"/>
    <x v="0"/>
    <s v="Cancelled"/>
    <n v="3"/>
    <n v="13"/>
    <n v="8077495.1775000002"/>
    <x v="1"/>
    <x v="0"/>
    <x v="1"/>
    <x v="1"/>
  </r>
  <r>
    <x v="442"/>
    <s v="Ngozi Obi"/>
    <s v="Male"/>
    <x v="10"/>
    <x v="1"/>
    <x v="315"/>
    <n v="48935"/>
    <n v="47466950"/>
    <s v="Gombe"/>
    <x v="0"/>
    <s v="Kano"/>
    <x v="2"/>
    <x v="0"/>
    <s v="Agent D"/>
    <x v="1"/>
    <n v="20459339"/>
    <n v="3"/>
    <n v="2.82"/>
    <n v="2.8199999999999999E-2"/>
    <s v="2024-06-26"/>
    <x v="1"/>
    <x v="0"/>
    <x v="3"/>
    <x v="2"/>
    <s v="Cancelled"/>
    <n v="2"/>
    <n v="31"/>
    <n v="46128382.009999998"/>
    <x v="2"/>
    <x v="0"/>
    <x v="2"/>
    <x v="0"/>
  </r>
  <r>
    <x v="443"/>
    <s v="Ngozi Obi"/>
    <s v="Male"/>
    <x v="19"/>
    <x v="2"/>
    <x v="17"/>
    <n v="32719"/>
    <n v="25030035"/>
    <s v="Ebonyi"/>
    <x v="1"/>
    <s v="Calabar"/>
    <x v="2"/>
    <x v="2"/>
    <s v="Agent C"/>
    <x v="1"/>
    <n v="10952504"/>
    <n v="12"/>
    <n v="3.13"/>
    <n v="3.1300000000000001E-2"/>
    <s v="2024-04-06"/>
    <x v="9"/>
    <x v="0"/>
    <x v="3"/>
    <x v="0"/>
    <s v="Completed"/>
    <n v="3"/>
    <n v="48"/>
    <n v="24246594.9045"/>
    <x v="0"/>
    <x v="0"/>
    <x v="0"/>
    <x v="0"/>
  </r>
  <r>
    <x v="444"/>
    <s v="Grace Abdullahi"/>
    <s v="Female"/>
    <x v="9"/>
    <x v="0"/>
    <x v="313"/>
    <n v="16777"/>
    <n v="9177019"/>
    <s v="Osun"/>
    <x v="5"/>
    <s v="Enugu"/>
    <x v="2"/>
    <x v="2"/>
    <s v="Agent B"/>
    <x v="1"/>
    <n v="3723381"/>
    <n v="24"/>
    <n v="4.03"/>
    <n v="4.0300000000000002E-2"/>
    <s v="2024-12-19"/>
    <x v="3"/>
    <x v="0"/>
    <x v="3"/>
    <x v="1"/>
    <s v="Cancelled"/>
    <n v="5"/>
    <n v="39"/>
    <n v="8807185.1342999991"/>
    <x v="1"/>
    <x v="0"/>
    <x v="1"/>
    <x v="1"/>
  </r>
  <r>
    <x v="445"/>
    <s v="David Ojo"/>
    <s v="Female"/>
    <x v="24"/>
    <x v="2"/>
    <x v="184"/>
    <n v="15382"/>
    <n v="9075380"/>
    <s v="Jigawa"/>
    <x v="4"/>
    <s v="Kaduna"/>
    <x v="0"/>
    <x v="0"/>
    <s v="Agent A"/>
    <x v="1"/>
    <n v="3270288"/>
    <n v="3"/>
    <n v="1.88"/>
    <n v="1.8799999999999997E-2"/>
    <s v="2024-02-25"/>
    <x v="0"/>
    <x v="0"/>
    <x v="3"/>
    <x v="2"/>
    <s v="Cancelled"/>
    <n v="5"/>
    <n v="32"/>
    <n v="8904762.8559999987"/>
    <x v="1"/>
    <x v="0"/>
    <x v="1"/>
    <x v="1"/>
  </r>
  <r>
    <x v="446"/>
    <s v="Ibrahim Okafor"/>
    <s v="Female"/>
    <x v="33"/>
    <x v="0"/>
    <x v="309"/>
    <n v="27289"/>
    <n v="7395319"/>
    <s v="Oyo"/>
    <x v="5"/>
    <s v="Port Harcourt"/>
    <x v="0"/>
    <x v="4"/>
    <s v="Agent D"/>
    <x v="1"/>
    <n v="1996084"/>
    <n v="6"/>
    <n v="6.6"/>
    <n v="6.6000000000000003E-2"/>
    <s v="2024-02-05"/>
    <x v="0"/>
    <x v="0"/>
    <x v="2"/>
    <x v="2"/>
    <s v="Completed"/>
    <n v="2"/>
    <n v="35"/>
    <n v="6907227.9459999995"/>
    <x v="1"/>
    <x v="1"/>
    <x v="1"/>
    <x v="2"/>
  </r>
  <r>
    <x v="447"/>
    <s v="Ngozi Sani"/>
    <s v="Male"/>
    <x v="7"/>
    <x v="1"/>
    <x v="213"/>
    <n v="15531"/>
    <n v="9287538"/>
    <s v="Benue"/>
    <x v="2"/>
    <s v="Abuja"/>
    <x v="1"/>
    <x v="3"/>
    <s v="Agent B"/>
    <x v="0"/>
    <n v="9287538"/>
    <n v="0"/>
    <n v="8.6999999999999993"/>
    <n v="8.6999999999999994E-2"/>
    <s v="2024-06-07"/>
    <x v="1"/>
    <x v="0"/>
    <x v="2"/>
    <x v="1"/>
    <s v="Completed"/>
    <n v="1"/>
    <n v="10"/>
    <n v="8479522.1940000001"/>
    <x v="1"/>
    <x v="1"/>
    <x v="1"/>
    <x v="1"/>
  </r>
  <r>
    <x v="448"/>
    <s v="Musa Sani"/>
    <s v="Female"/>
    <x v="23"/>
    <x v="1"/>
    <x v="336"/>
    <n v="18176"/>
    <n v="14886144"/>
    <s v="FCT"/>
    <x v="2"/>
    <s v="Kaduna"/>
    <x v="1"/>
    <x v="1"/>
    <s v="Agent E"/>
    <x v="1"/>
    <n v="5032430"/>
    <n v="24"/>
    <n v="5.76"/>
    <n v="5.7599999999999998E-2"/>
    <s v="2024-02-16"/>
    <x v="0"/>
    <x v="0"/>
    <x v="3"/>
    <x v="1"/>
    <s v="Completed"/>
    <n v="2"/>
    <n v="40"/>
    <n v="14028702.105599999"/>
    <x v="0"/>
    <x v="1"/>
    <x v="0"/>
    <x v="0"/>
  </r>
  <r>
    <x v="449"/>
    <s v="Ngozi Okafor"/>
    <s v="Male"/>
    <x v="35"/>
    <x v="2"/>
    <x v="251"/>
    <n v="45193"/>
    <n v="26799449"/>
    <s v="Bauchi"/>
    <x v="0"/>
    <s v="Warri"/>
    <x v="2"/>
    <x v="3"/>
    <s v="Agent C"/>
    <x v="0"/>
    <n v="26799449"/>
    <n v="0"/>
    <n v="6.99"/>
    <n v="6.9900000000000004E-2"/>
    <s v="2024-02-18"/>
    <x v="0"/>
    <x v="0"/>
    <x v="0"/>
    <x v="0"/>
    <s v="Cancelled"/>
    <n v="2"/>
    <n v="32"/>
    <n v="24926167.514900003"/>
    <x v="0"/>
    <x v="1"/>
    <x v="0"/>
    <x v="1"/>
  </r>
  <r>
    <x v="450"/>
    <s v="David Obi"/>
    <s v="Female"/>
    <x v="35"/>
    <x v="2"/>
    <x v="24"/>
    <n v="26165"/>
    <n v="8477460"/>
    <s v="Niger"/>
    <x v="2"/>
    <s v="Uyo"/>
    <x v="0"/>
    <x v="3"/>
    <s v="Agent A"/>
    <x v="0"/>
    <n v="8477460"/>
    <n v="0"/>
    <n v="7.55"/>
    <n v="7.5499999999999998E-2"/>
    <s v="2024-09-15"/>
    <x v="5"/>
    <x v="0"/>
    <x v="2"/>
    <x v="2"/>
    <s v="Completed"/>
    <n v="4"/>
    <n v="25"/>
    <n v="7837411.7699999996"/>
    <x v="1"/>
    <x v="1"/>
    <x v="1"/>
    <x v="2"/>
  </r>
  <r>
    <x v="451"/>
    <s v="Tunde Ogunleye"/>
    <s v="Female"/>
    <x v="39"/>
    <x v="2"/>
    <x v="163"/>
    <n v="27996"/>
    <n v="11170404"/>
    <s v="Cross River"/>
    <x v="3"/>
    <s v="Kaduna"/>
    <x v="0"/>
    <x v="2"/>
    <s v="Agent E"/>
    <x v="0"/>
    <n v="11170404"/>
    <n v="0"/>
    <n v="0.11"/>
    <n v="1.1000000000000001E-3"/>
    <s v="2024-02-28"/>
    <x v="0"/>
    <x v="0"/>
    <x v="3"/>
    <x v="0"/>
    <s v="Pending"/>
    <n v="2"/>
    <n v="31"/>
    <n v="11158116.555600001"/>
    <x v="0"/>
    <x v="0"/>
    <x v="0"/>
    <x v="2"/>
  </r>
  <r>
    <x v="452"/>
    <s v="Grace Obi"/>
    <s v="Male"/>
    <x v="27"/>
    <x v="1"/>
    <x v="337"/>
    <n v="41779"/>
    <n v="9107822"/>
    <s v="Delta"/>
    <x v="3"/>
    <s v="Kano"/>
    <x v="0"/>
    <x v="4"/>
    <s v="Agent B"/>
    <x v="0"/>
    <n v="9107822"/>
    <n v="0"/>
    <n v="1.77"/>
    <n v="1.77E-2"/>
    <s v="2024-03-04"/>
    <x v="6"/>
    <x v="0"/>
    <x v="2"/>
    <x v="1"/>
    <s v="Completed"/>
    <n v="2"/>
    <n v="46"/>
    <n v="8946613.5505999997"/>
    <x v="1"/>
    <x v="0"/>
    <x v="1"/>
    <x v="2"/>
  </r>
  <r>
    <x v="453"/>
    <s v="Amina Obi"/>
    <s v="Female"/>
    <x v="19"/>
    <x v="0"/>
    <x v="35"/>
    <n v="30970"/>
    <n v="13038370"/>
    <s v="Ekiti"/>
    <x v="5"/>
    <s v="Uyo"/>
    <x v="2"/>
    <x v="2"/>
    <s v="Agent A"/>
    <x v="0"/>
    <n v="13038370"/>
    <n v="0"/>
    <n v="8.3699999999999992"/>
    <n v="8.3699999999999997E-2"/>
    <s v="2024-09-24"/>
    <x v="5"/>
    <x v="0"/>
    <x v="2"/>
    <x v="2"/>
    <s v="Completed"/>
    <n v="3"/>
    <n v="16"/>
    <n v="11947058.431"/>
    <x v="0"/>
    <x v="1"/>
    <x v="0"/>
    <x v="2"/>
  </r>
  <r>
    <x v="454"/>
    <s v="Amina Eze"/>
    <s v="Male"/>
    <x v="15"/>
    <x v="0"/>
    <x v="338"/>
    <n v="3831"/>
    <n v="2417361"/>
    <s v="Anambra"/>
    <x v="1"/>
    <s v="Lagos"/>
    <x v="2"/>
    <x v="0"/>
    <s v="Agent A"/>
    <x v="0"/>
    <n v="2417361"/>
    <n v="0"/>
    <n v="3.37"/>
    <n v="3.3700000000000001E-2"/>
    <s v="2024-04-08"/>
    <x v="9"/>
    <x v="0"/>
    <x v="2"/>
    <x v="0"/>
    <s v="Completed"/>
    <n v="3"/>
    <n v="21"/>
    <n v="2335895.9343000003"/>
    <x v="1"/>
    <x v="0"/>
    <x v="1"/>
    <x v="1"/>
  </r>
  <r>
    <x v="455"/>
    <s v="David Adeyemi"/>
    <s v="Male"/>
    <x v="4"/>
    <x v="1"/>
    <x v="175"/>
    <n v="15573"/>
    <n v="13065747"/>
    <s v="Zamfara"/>
    <x v="4"/>
    <s v="Port Harcourt"/>
    <x v="1"/>
    <x v="2"/>
    <s v="Agent D"/>
    <x v="1"/>
    <n v="3086668"/>
    <n v="24"/>
    <n v="2.14"/>
    <n v="2.1400000000000002E-2"/>
    <s v="2024-07-01"/>
    <x v="10"/>
    <x v="0"/>
    <x v="3"/>
    <x v="1"/>
    <s v="Completed"/>
    <n v="1"/>
    <n v="43"/>
    <n v="12786140.0142"/>
    <x v="0"/>
    <x v="0"/>
    <x v="0"/>
    <x v="0"/>
  </r>
  <r>
    <x v="456"/>
    <s v="Musa Ojo"/>
    <s v="Female"/>
    <x v="43"/>
    <x v="1"/>
    <x v="219"/>
    <n v="4879"/>
    <n v="2815183"/>
    <s v="Cross River"/>
    <x v="3"/>
    <s v="Calabar"/>
    <x v="2"/>
    <x v="3"/>
    <s v="Agent B"/>
    <x v="0"/>
    <n v="2815183"/>
    <n v="0"/>
    <n v="8.85"/>
    <n v="8.8499999999999995E-2"/>
    <s v="2024-07-29"/>
    <x v="10"/>
    <x v="0"/>
    <x v="1"/>
    <x v="2"/>
    <s v="Cancelled"/>
    <n v="3"/>
    <n v="41"/>
    <n v="2566039.3045000001"/>
    <x v="1"/>
    <x v="1"/>
    <x v="1"/>
    <x v="1"/>
  </r>
  <r>
    <x v="457"/>
    <s v="Ibrahim Obi"/>
    <s v="Male"/>
    <x v="29"/>
    <x v="1"/>
    <x v="339"/>
    <n v="13490"/>
    <n v="7284600"/>
    <s v="Bauchi"/>
    <x v="0"/>
    <s v="Kano"/>
    <x v="2"/>
    <x v="2"/>
    <s v="Agent B"/>
    <x v="1"/>
    <n v="1604463"/>
    <n v="24"/>
    <n v="0.18"/>
    <n v="1.8E-3"/>
    <s v="2024-10-26"/>
    <x v="4"/>
    <x v="0"/>
    <x v="0"/>
    <x v="0"/>
    <s v="Completed"/>
    <n v="3"/>
    <n v="16"/>
    <n v="7271487.7199999997"/>
    <x v="1"/>
    <x v="0"/>
    <x v="1"/>
    <x v="1"/>
  </r>
  <r>
    <x v="458"/>
    <s v="Musa Eze"/>
    <s v="Male"/>
    <x v="38"/>
    <x v="0"/>
    <x v="340"/>
    <n v="7202"/>
    <n v="6006468"/>
    <s v="Bauchi"/>
    <x v="0"/>
    <s v="Port Harcourt"/>
    <x v="2"/>
    <x v="2"/>
    <s v="Agent B"/>
    <x v="0"/>
    <n v="6006468"/>
    <n v="0"/>
    <n v="1.38"/>
    <n v="1.38E-2"/>
    <s v="2024-09-12"/>
    <x v="5"/>
    <x v="0"/>
    <x v="2"/>
    <x v="0"/>
    <s v="Pending"/>
    <n v="2"/>
    <n v="18"/>
    <n v="5923578.7415999994"/>
    <x v="1"/>
    <x v="0"/>
    <x v="1"/>
    <x v="0"/>
  </r>
  <r>
    <x v="459"/>
    <s v="Blessing Eze"/>
    <s v="Male"/>
    <x v="15"/>
    <x v="0"/>
    <x v="341"/>
    <n v="29190"/>
    <n v="21396270"/>
    <s v="Cross River"/>
    <x v="3"/>
    <s v="Lagos"/>
    <x v="2"/>
    <x v="0"/>
    <s v="Agent E"/>
    <x v="1"/>
    <n v="5749242"/>
    <n v="3"/>
    <n v="7.33"/>
    <n v="7.3300000000000004E-2"/>
    <s v="2024-06-24"/>
    <x v="1"/>
    <x v="0"/>
    <x v="2"/>
    <x v="0"/>
    <s v="Pending"/>
    <n v="2"/>
    <n v="29"/>
    <n v="19827923.408999998"/>
    <x v="0"/>
    <x v="1"/>
    <x v="0"/>
    <x v="0"/>
  </r>
  <r>
    <x v="460"/>
    <s v="Blessing Adeyemi"/>
    <s v="Male"/>
    <x v="36"/>
    <x v="1"/>
    <x v="314"/>
    <n v="6586"/>
    <n v="4629958"/>
    <s v="Borno"/>
    <x v="0"/>
    <s v="Abuja"/>
    <x v="2"/>
    <x v="0"/>
    <s v="Agent B"/>
    <x v="0"/>
    <n v="4629958"/>
    <n v="0"/>
    <n v="0.52"/>
    <n v="5.1999999999999998E-3"/>
    <s v="2024-03-13"/>
    <x v="6"/>
    <x v="0"/>
    <x v="0"/>
    <x v="1"/>
    <s v="Cancelled"/>
    <n v="4"/>
    <n v="20"/>
    <n v="4605882.2183999997"/>
    <x v="1"/>
    <x v="0"/>
    <x v="1"/>
    <x v="1"/>
  </r>
  <r>
    <x v="461"/>
    <s v="Ibrahim Eze"/>
    <s v="Female"/>
    <x v="10"/>
    <x v="0"/>
    <x v="342"/>
    <n v="13562"/>
    <n v="8598308"/>
    <s v="Imo"/>
    <x v="1"/>
    <s v="Port Harcourt"/>
    <x v="1"/>
    <x v="1"/>
    <s v="Agent D"/>
    <x v="0"/>
    <n v="8598308"/>
    <n v="0"/>
    <n v="3.03"/>
    <n v="3.0299999999999997E-2"/>
    <s v="2024-10-22"/>
    <x v="4"/>
    <x v="0"/>
    <x v="3"/>
    <x v="1"/>
    <s v="Pending"/>
    <n v="4"/>
    <n v="33"/>
    <n v="8337779.2675999999"/>
    <x v="1"/>
    <x v="0"/>
    <x v="1"/>
    <x v="1"/>
  </r>
  <r>
    <x v="462"/>
    <s v="Musa Ojo"/>
    <s v="Male"/>
    <x v="8"/>
    <x v="1"/>
    <x v="343"/>
    <n v="12215"/>
    <n v="11946270"/>
    <s v="Zamfara"/>
    <x v="4"/>
    <s v="Kaduna"/>
    <x v="0"/>
    <x v="4"/>
    <s v="Agent D"/>
    <x v="1"/>
    <n v="5119918"/>
    <n v="3"/>
    <n v="4.2699999999999996"/>
    <n v="4.2699999999999995E-2"/>
    <s v="2024-02-12"/>
    <x v="0"/>
    <x v="0"/>
    <x v="2"/>
    <x v="1"/>
    <s v="Pending"/>
    <n v="3"/>
    <n v="25"/>
    <n v="11436164.271"/>
    <x v="0"/>
    <x v="0"/>
    <x v="0"/>
    <x v="0"/>
  </r>
  <r>
    <x v="463"/>
    <s v="Tunde Eze"/>
    <s v="Male"/>
    <x v="30"/>
    <x v="1"/>
    <x v="250"/>
    <n v="23838"/>
    <n v="6507774"/>
    <s v="Kebbi"/>
    <x v="4"/>
    <s v="Warri"/>
    <x v="2"/>
    <x v="4"/>
    <s v="Agent D"/>
    <x v="0"/>
    <n v="6507774"/>
    <n v="0"/>
    <n v="7.15"/>
    <n v="7.1500000000000008E-2"/>
    <s v="2024-04-10"/>
    <x v="9"/>
    <x v="0"/>
    <x v="2"/>
    <x v="1"/>
    <s v="Pending"/>
    <n v="3"/>
    <n v="25"/>
    <n v="6042468.159"/>
    <x v="1"/>
    <x v="1"/>
    <x v="1"/>
    <x v="2"/>
  </r>
  <r>
    <x v="464"/>
    <s v="Ngozi Ojo"/>
    <s v="Male"/>
    <x v="40"/>
    <x v="2"/>
    <x v="39"/>
    <n v="28790"/>
    <n v="7830880"/>
    <s v="Kogi"/>
    <x v="2"/>
    <s v="Calabar"/>
    <x v="1"/>
    <x v="4"/>
    <s v="Agent E"/>
    <x v="0"/>
    <n v="7830880"/>
    <n v="0"/>
    <n v="9.92"/>
    <n v="9.9199999999999997E-2"/>
    <s v="2024-03-04"/>
    <x v="6"/>
    <x v="0"/>
    <x v="2"/>
    <x v="0"/>
    <s v="Cancelled"/>
    <n v="3"/>
    <n v="45"/>
    <n v="7054056.7039999999"/>
    <x v="1"/>
    <x v="1"/>
    <x v="1"/>
    <x v="2"/>
  </r>
  <r>
    <x v="465"/>
    <s v="Chinedu Adeyemi"/>
    <s v="Female"/>
    <x v="7"/>
    <x v="2"/>
    <x v="342"/>
    <n v="18173"/>
    <n v="11521682"/>
    <s v="Ekiti"/>
    <x v="5"/>
    <s v="Kaduna"/>
    <x v="2"/>
    <x v="0"/>
    <s v="Agent C"/>
    <x v="0"/>
    <n v="11521682"/>
    <n v="0"/>
    <n v="4.78"/>
    <n v="4.7800000000000002E-2"/>
    <s v="2024-07-04"/>
    <x v="10"/>
    <x v="0"/>
    <x v="3"/>
    <x v="0"/>
    <s v="Cancelled"/>
    <n v="2"/>
    <n v="1"/>
    <n v="10970945.600400001"/>
    <x v="0"/>
    <x v="0"/>
    <x v="0"/>
    <x v="1"/>
  </r>
  <r>
    <x v="466"/>
    <s v="Ngozi Adeyemi"/>
    <s v="Female"/>
    <x v="12"/>
    <x v="1"/>
    <x v="57"/>
    <n v="48272"/>
    <n v="29301104"/>
    <s v="Lagos"/>
    <x v="5"/>
    <s v="Kaduna"/>
    <x v="1"/>
    <x v="3"/>
    <s v="Agent E"/>
    <x v="0"/>
    <n v="29301104"/>
    <n v="0"/>
    <n v="5.19"/>
    <n v="5.1900000000000002E-2"/>
    <s v="2024-04-06"/>
    <x v="9"/>
    <x v="0"/>
    <x v="2"/>
    <x v="0"/>
    <s v="Pending"/>
    <n v="4"/>
    <n v="49"/>
    <n v="27780376.702399999"/>
    <x v="0"/>
    <x v="1"/>
    <x v="0"/>
    <x v="1"/>
  </r>
  <r>
    <x v="467"/>
    <s v="Musa Okafor"/>
    <s v="Male"/>
    <x v="39"/>
    <x v="0"/>
    <x v="344"/>
    <n v="39526"/>
    <n v="33636626"/>
    <s v="Borno"/>
    <x v="0"/>
    <s v="Abuja"/>
    <x v="0"/>
    <x v="2"/>
    <s v="Agent D"/>
    <x v="1"/>
    <n v="9442016"/>
    <n v="6"/>
    <n v="2.1"/>
    <n v="2.1000000000000001E-2"/>
    <s v="2024-07-22"/>
    <x v="10"/>
    <x v="0"/>
    <x v="2"/>
    <x v="0"/>
    <s v="Pending"/>
    <n v="4"/>
    <n v="11"/>
    <n v="32930256.853999998"/>
    <x v="2"/>
    <x v="0"/>
    <x v="2"/>
    <x v="0"/>
  </r>
  <r>
    <x v="468"/>
    <s v="Amina Sani"/>
    <s v="Male"/>
    <x v="36"/>
    <x v="0"/>
    <x v="103"/>
    <n v="10803"/>
    <n v="9938760"/>
    <s v="Enugu"/>
    <x v="1"/>
    <s v="Kano"/>
    <x v="0"/>
    <x v="0"/>
    <s v="Agent B"/>
    <x v="0"/>
    <n v="9938760"/>
    <n v="0"/>
    <n v="4.8600000000000003"/>
    <n v="4.8600000000000004E-2"/>
    <s v="2024-09-14"/>
    <x v="5"/>
    <x v="0"/>
    <x v="1"/>
    <x v="1"/>
    <s v="Pending"/>
    <n v="5"/>
    <n v="7"/>
    <n v="9455736.2640000004"/>
    <x v="1"/>
    <x v="0"/>
    <x v="1"/>
    <x v="0"/>
  </r>
  <r>
    <x v="469"/>
    <s v="Blessing Sani"/>
    <s v="Female"/>
    <x v="34"/>
    <x v="0"/>
    <x v="345"/>
    <n v="7616"/>
    <n v="3808000"/>
    <s v="Yobe"/>
    <x v="0"/>
    <s v="Abuja"/>
    <x v="0"/>
    <x v="2"/>
    <s v="Agent C"/>
    <x v="1"/>
    <n v="1077773"/>
    <n v="3"/>
    <n v="3.42"/>
    <n v="3.4200000000000001E-2"/>
    <s v="2024-10-26"/>
    <x v="4"/>
    <x v="0"/>
    <x v="0"/>
    <x v="0"/>
    <s v="Cancelled"/>
    <n v="1"/>
    <n v="7"/>
    <n v="3677766.4"/>
    <x v="1"/>
    <x v="0"/>
    <x v="1"/>
    <x v="1"/>
  </r>
  <r>
    <x v="470"/>
    <s v="David Ogunleye"/>
    <s v="Female"/>
    <x v="20"/>
    <x v="0"/>
    <x v="267"/>
    <n v="41517"/>
    <n v="24245928"/>
    <s v="Ebonyi"/>
    <x v="1"/>
    <s v="Lagos"/>
    <x v="1"/>
    <x v="1"/>
    <s v="Agent D"/>
    <x v="1"/>
    <n v="8291369"/>
    <n v="24"/>
    <n v="3.37"/>
    <n v="3.3700000000000001E-2"/>
    <s v="2024-08-07"/>
    <x v="8"/>
    <x v="0"/>
    <x v="0"/>
    <x v="1"/>
    <s v="Pending"/>
    <n v="1"/>
    <n v="1"/>
    <n v="23428840.226400003"/>
    <x v="0"/>
    <x v="0"/>
    <x v="0"/>
    <x v="1"/>
  </r>
  <r>
    <x v="471"/>
    <s v="Musa Eze"/>
    <s v="Female"/>
    <x v="19"/>
    <x v="1"/>
    <x v="107"/>
    <n v="11100"/>
    <n v="10456200"/>
    <s v="Niger"/>
    <x v="2"/>
    <s v="Kaduna"/>
    <x v="2"/>
    <x v="1"/>
    <s v="Agent E"/>
    <x v="0"/>
    <n v="10456200"/>
    <n v="0"/>
    <n v="6.02"/>
    <n v="6.0199999999999997E-2"/>
    <s v="2024-09-28"/>
    <x v="5"/>
    <x v="0"/>
    <x v="2"/>
    <x v="0"/>
    <s v="Completed"/>
    <n v="1"/>
    <n v="41"/>
    <n v="9826736.7599999998"/>
    <x v="1"/>
    <x v="1"/>
    <x v="1"/>
    <x v="0"/>
  </r>
  <r>
    <x v="472"/>
    <s v="Amina Ogunleye"/>
    <s v="Female"/>
    <x v="10"/>
    <x v="1"/>
    <x v="346"/>
    <n v="23333"/>
    <n v="5739918"/>
    <s v="Rivers"/>
    <x v="3"/>
    <s v="Enugu"/>
    <x v="2"/>
    <x v="2"/>
    <s v="Agent D"/>
    <x v="1"/>
    <n v="2192815"/>
    <n v="6"/>
    <n v="4"/>
    <n v="0.04"/>
    <s v="2024-11-09"/>
    <x v="2"/>
    <x v="0"/>
    <x v="1"/>
    <x v="0"/>
    <s v="Completed"/>
    <n v="2"/>
    <n v="34"/>
    <n v="5510321.2800000003"/>
    <x v="1"/>
    <x v="0"/>
    <x v="1"/>
    <x v="2"/>
  </r>
  <r>
    <x v="473"/>
    <s v="Ibrahim Adeyemi"/>
    <s v="Female"/>
    <x v="5"/>
    <x v="2"/>
    <x v="218"/>
    <n v="10379"/>
    <n v="2407928"/>
    <s v="Jigawa"/>
    <x v="4"/>
    <s v="Uyo"/>
    <x v="2"/>
    <x v="3"/>
    <s v="Agent B"/>
    <x v="1"/>
    <n v="699273"/>
    <n v="3"/>
    <n v="6.73"/>
    <n v="6.7299999999999999E-2"/>
    <s v="2024-10-07"/>
    <x v="4"/>
    <x v="0"/>
    <x v="3"/>
    <x v="2"/>
    <s v="Completed"/>
    <n v="1"/>
    <n v="7"/>
    <n v="2245874.4455999997"/>
    <x v="1"/>
    <x v="1"/>
    <x v="1"/>
    <x v="2"/>
  </r>
  <r>
    <x v="474"/>
    <s v="Amina Adeyemi"/>
    <s v="Female"/>
    <x v="17"/>
    <x v="1"/>
    <x v="167"/>
    <n v="23397"/>
    <n v="8516508"/>
    <s v="Nasarawa"/>
    <x v="2"/>
    <s v="Lagos"/>
    <x v="1"/>
    <x v="0"/>
    <s v="Agent E"/>
    <x v="1"/>
    <n v="2266352"/>
    <n v="12"/>
    <n v="2.58"/>
    <n v="2.58E-2"/>
    <s v="2024-08-31"/>
    <x v="8"/>
    <x v="0"/>
    <x v="0"/>
    <x v="0"/>
    <s v="Pending"/>
    <n v="4"/>
    <n v="46"/>
    <n v="8296782.0935999993"/>
    <x v="1"/>
    <x v="0"/>
    <x v="1"/>
    <x v="2"/>
  </r>
  <r>
    <x v="475"/>
    <s v="Amina Bello"/>
    <s v="Female"/>
    <x v="9"/>
    <x v="0"/>
    <x v="117"/>
    <n v="44080"/>
    <n v="38305520"/>
    <s v="Taraba"/>
    <x v="0"/>
    <s v="Kaduna"/>
    <x v="2"/>
    <x v="2"/>
    <s v="Agent E"/>
    <x v="1"/>
    <n v="10230073"/>
    <n v="6"/>
    <n v="1.1599999999999999"/>
    <n v="1.1599999999999999E-2"/>
    <s v="2024-02-14"/>
    <x v="0"/>
    <x v="0"/>
    <x v="1"/>
    <x v="2"/>
    <s v="Pending"/>
    <n v="4"/>
    <n v="37"/>
    <n v="37861175.967999995"/>
    <x v="2"/>
    <x v="0"/>
    <x v="2"/>
    <x v="0"/>
  </r>
  <r>
    <x v="476"/>
    <s v="David Ogunleye"/>
    <s v="Male"/>
    <x v="33"/>
    <x v="1"/>
    <x v="347"/>
    <n v="40670"/>
    <n v="10696210"/>
    <s v="Borno"/>
    <x v="0"/>
    <s v="Ibadan"/>
    <x v="2"/>
    <x v="3"/>
    <s v="Agent B"/>
    <x v="0"/>
    <n v="10696210"/>
    <n v="0"/>
    <n v="8.4700000000000006"/>
    <n v="8.4700000000000011E-2"/>
    <s v="2024-08-04"/>
    <x v="8"/>
    <x v="0"/>
    <x v="0"/>
    <x v="1"/>
    <s v="Completed"/>
    <n v="5"/>
    <n v="30"/>
    <n v="9790241.0130000003"/>
    <x v="1"/>
    <x v="1"/>
    <x v="1"/>
    <x v="2"/>
  </r>
  <r>
    <x v="477"/>
    <s v="Chinedu Ojo"/>
    <s v="Female"/>
    <x v="26"/>
    <x v="1"/>
    <x v="348"/>
    <n v="34757"/>
    <n v="14736968"/>
    <s v="Delta"/>
    <x v="3"/>
    <s v="Ibadan"/>
    <x v="2"/>
    <x v="2"/>
    <s v="Agent C"/>
    <x v="1"/>
    <n v="5606527"/>
    <n v="6"/>
    <n v="1.46"/>
    <n v="1.46E-2"/>
    <s v="2024-12-06"/>
    <x v="3"/>
    <x v="0"/>
    <x v="2"/>
    <x v="0"/>
    <s v="Completed"/>
    <n v="4"/>
    <n v="19"/>
    <n v="14521808.267200001"/>
    <x v="0"/>
    <x v="0"/>
    <x v="0"/>
    <x v="2"/>
  </r>
  <r>
    <x v="478"/>
    <s v="Chinedu Adeyemi"/>
    <s v="Female"/>
    <x v="4"/>
    <x v="2"/>
    <x v="349"/>
    <n v="12007"/>
    <n v="6495787"/>
    <s v="Bauchi"/>
    <x v="0"/>
    <s v="Lagos"/>
    <x v="2"/>
    <x v="0"/>
    <s v="Agent A"/>
    <x v="0"/>
    <n v="6495787"/>
    <n v="0"/>
    <n v="8.48"/>
    <n v="8.48E-2"/>
    <s v="2024-04-25"/>
    <x v="9"/>
    <x v="0"/>
    <x v="2"/>
    <x v="1"/>
    <s v="Pending"/>
    <n v="4"/>
    <n v="23"/>
    <n v="5944944.2624000004"/>
    <x v="1"/>
    <x v="1"/>
    <x v="1"/>
    <x v="1"/>
  </r>
  <r>
    <x v="479"/>
    <s v="Ngozi Bello"/>
    <s v="Male"/>
    <x v="20"/>
    <x v="1"/>
    <x v="74"/>
    <n v="49628"/>
    <n v="36724720"/>
    <s v="Benue"/>
    <x v="2"/>
    <s v="Abuja"/>
    <x v="0"/>
    <x v="4"/>
    <s v="Agent D"/>
    <x v="1"/>
    <n v="15017212"/>
    <n v="12"/>
    <n v="1.95"/>
    <n v="1.95E-2"/>
    <s v="2024-10-07"/>
    <x v="4"/>
    <x v="0"/>
    <x v="3"/>
    <x v="0"/>
    <s v="Completed"/>
    <n v="4"/>
    <n v="45"/>
    <n v="36008587.960000001"/>
    <x v="2"/>
    <x v="0"/>
    <x v="2"/>
    <x v="0"/>
  </r>
  <r>
    <x v="480"/>
    <s v="David Ojo"/>
    <s v="Male"/>
    <x v="34"/>
    <x v="0"/>
    <x v="350"/>
    <n v="16295"/>
    <n v="6746130"/>
    <s v="Kogi"/>
    <x v="2"/>
    <s v="Kano"/>
    <x v="1"/>
    <x v="1"/>
    <s v="Agent B"/>
    <x v="0"/>
    <n v="6746130"/>
    <n v="0"/>
    <n v="7.35"/>
    <n v="7.3499999999999996E-2"/>
    <s v="2024-01-05"/>
    <x v="7"/>
    <x v="0"/>
    <x v="0"/>
    <x v="2"/>
    <s v="Pending"/>
    <n v="4"/>
    <n v="12"/>
    <n v="6250289.4450000003"/>
    <x v="1"/>
    <x v="1"/>
    <x v="1"/>
    <x v="2"/>
  </r>
  <r>
    <x v="481"/>
    <s v="Amina Eze"/>
    <s v="Female"/>
    <x v="39"/>
    <x v="2"/>
    <x v="245"/>
    <n v="24183"/>
    <n v="20918295"/>
    <s v="Lagos"/>
    <x v="5"/>
    <s v="Uyo"/>
    <x v="2"/>
    <x v="3"/>
    <s v="Agent B"/>
    <x v="1"/>
    <n v="8118218"/>
    <n v="6"/>
    <n v="4.04"/>
    <n v="4.0399999999999998E-2"/>
    <s v="2024-01-18"/>
    <x v="7"/>
    <x v="0"/>
    <x v="2"/>
    <x v="0"/>
    <s v="Cancelled"/>
    <n v="1"/>
    <n v="50"/>
    <n v="20073195.881999999"/>
    <x v="0"/>
    <x v="0"/>
    <x v="0"/>
    <x v="0"/>
  </r>
  <r>
    <x v="482"/>
    <s v="Ibrahim Effiong"/>
    <s v="Male"/>
    <x v="41"/>
    <x v="1"/>
    <x v="351"/>
    <n v="43440"/>
    <n v="20894640"/>
    <s v="Niger"/>
    <x v="2"/>
    <s v="Kaduna"/>
    <x v="2"/>
    <x v="3"/>
    <s v="Agent D"/>
    <x v="1"/>
    <n v="4251657"/>
    <n v="12"/>
    <n v="1.17"/>
    <n v="1.1699999999999999E-2"/>
    <s v="2024-03-03"/>
    <x v="6"/>
    <x v="0"/>
    <x v="1"/>
    <x v="0"/>
    <s v="Cancelled"/>
    <n v="1"/>
    <n v="38"/>
    <n v="20650172.711999997"/>
    <x v="0"/>
    <x v="0"/>
    <x v="0"/>
    <x v="1"/>
  </r>
  <r>
    <x v="483"/>
    <s v="Grace Adeyemi"/>
    <s v="Female"/>
    <x v="23"/>
    <x v="0"/>
    <x v="352"/>
    <n v="48054"/>
    <n v="41326440"/>
    <s v="Abia"/>
    <x v="1"/>
    <s v="Warri"/>
    <x v="1"/>
    <x v="3"/>
    <s v="Agent E"/>
    <x v="1"/>
    <n v="15349753"/>
    <n v="12"/>
    <n v="0.99"/>
    <n v="9.8999999999999991E-3"/>
    <s v="2024-02-02"/>
    <x v="0"/>
    <x v="0"/>
    <x v="2"/>
    <x v="2"/>
    <s v="Cancelled"/>
    <n v="5"/>
    <n v="35"/>
    <n v="40917308.244000003"/>
    <x v="2"/>
    <x v="0"/>
    <x v="2"/>
    <x v="0"/>
  </r>
  <r>
    <x v="484"/>
    <s v="Tunde Okafor"/>
    <s v="Female"/>
    <x v="20"/>
    <x v="0"/>
    <x v="353"/>
    <n v="15596"/>
    <n v="15143716"/>
    <s v="Taraba"/>
    <x v="0"/>
    <s v="Abuja"/>
    <x v="0"/>
    <x v="0"/>
    <s v="Agent E"/>
    <x v="0"/>
    <n v="15143716"/>
    <n v="0"/>
    <n v="1.81"/>
    <n v="1.8100000000000002E-2"/>
    <s v="2024-11-02"/>
    <x v="2"/>
    <x v="0"/>
    <x v="3"/>
    <x v="0"/>
    <s v="Completed"/>
    <n v="1"/>
    <n v="36"/>
    <n v="14869614.7404"/>
    <x v="0"/>
    <x v="0"/>
    <x v="0"/>
    <x v="0"/>
  </r>
  <r>
    <x v="485"/>
    <s v="Chinedu Eze"/>
    <s v="Female"/>
    <x v="0"/>
    <x v="1"/>
    <x v="2"/>
    <n v="35170"/>
    <n v="11500590"/>
    <s v="Rivers"/>
    <x v="3"/>
    <s v="Abuja"/>
    <x v="1"/>
    <x v="3"/>
    <s v="Agent D"/>
    <x v="1"/>
    <n v="5633942"/>
    <n v="12"/>
    <n v="1.72"/>
    <n v="1.72E-2"/>
    <s v="2024-12-02"/>
    <x v="3"/>
    <x v="0"/>
    <x v="3"/>
    <x v="0"/>
    <s v="Pending"/>
    <n v="3"/>
    <n v="34"/>
    <n v="11302779.852"/>
    <x v="0"/>
    <x v="0"/>
    <x v="0"/>
    <x v="2"/>
  </r>
  <r>
    <x v="486"/>
    <s v="Blessing Okafor"/>
    <s v="Male"/>
    <x v="18"/>
    <x v="2"/>
    <x v="104"/>
    <n v="15752"/>
    <n v="11372944"/>
    <s v="Edo"/>
    <x v="3"/>
    <s v="Uyo"/>
    <x v="0"/>
    <x v="0"/>
    <s v="Agent E"/>
    <x v="0"/>
    <n v="11372944"/>
    <n v="0"/>
    <n v="6.63"/>
    <n v="6.6299999999999998E-2"/>
    <s v="2024-01-23"/>
    <x v="7"/>
    <x v="0"/>
    <x v="3"/>
    <x v="0"/>
    <s v="Pending"/>
    <n v="3"/>
    <n v="9"/>
    <n v="10618917.812799999"/>
    <x v="0"/>
    <x v="1"/>
    <x v="0"/>
    <x v="1"/>
  </r>
  <r>
    <x v="487"/>
    <s v="Ibrahim Bello"/>
    <s v="Female"/>
    <x v="34"/>
    <x v="2"/>
    <x v="354"/>
    <n v="38034"/>
    <n v="10497384"/>
    <s v="Gombe"/>
    <x v="0"/>
    <s v="Kaduna"/>
    <x v="2"/>
    <x v="0"/>
    <s v="Agent E"/>
    <x v="1"/>
    <n v="3301791"/>
    <n v="12"/>
    <n v="9.0399999999999991"/>
    <n v="9.0399999999999994E-2"/>
    <s v="2024-07-23"/>
    <x v="10"/>
    <x v="0"/>
    <x v="3"/>
    <x v="2"/>
    <s v="Cancelled"/>
    <n v="3"/>
    <n v="41"/>
    <n v="9548420.4863999989"/>
    <x v="1"/>
    <x v="1"/>
    <x v="1"/>
    <x v="2"/>
  </r>
  <r>
    <x v="488"/>
    <s v="David Obi"/>
    <s v="Female"/>
    <x v="41"/>
    <x v="1"/>
    <x v="140"/>
    <n v="26388"/>
    <n v="24567228"/>
    <s v="Taraba"/>
    <x v="0"/>
    <s v="Port Harcourt"/>
    <x v="0"/>
    <x v="2"/>
    <s v="Agent C"/>
    <x v="0"/>
    <n v="24567228"/>
    <n v="0"/>
    <n v="4.2"/>
    <n v="4.2000000000000003E-2"/>
    <s v="2024-03-19"/>
    <x v="6"/>
    <x v="0"/>
    <x v="0"/>
    <x v="0"/>
    <s v="Completed"/>
    <n v="5"/>
    <n v="27"/>
    <n v="23535404.423999999"/>
    <x v="0"/>
    <x v="0"/>
    <x v="0"/>
    <x v="0"/>
  </r>
  <r>
    <x v="489"/>
    <s v="Amina Obi"/>
    <s v="Male"/>
    <x v="38"/>
    <x v="0"/>
    <x v="355"/>
    <n v="23857"/>
    <n v="13622347"/>
    <s v="Ogun"/>
    <x v="5"/>
    <s v="Abuja"/>
    <x v="0"/>
    <x v="0"/>
    <s v="Agent E"/>
    <x v="1"/>
    <n v="6275224"/>
    <n v="6"/>
    <n v="2.2599999999999998"/>
    <n v="2.2599999999999999E-2"/>
    <s v="2024-01-06"/>
    <x v="7"/>
    <x v="0"/>
    <x v="1"/>
    <x v="0"/>
    <s v="Pending"/>
    <n v="1"/>
    <n v="34"/>
    <n v="13314481.957800001"/>
    <x v="0"/>
    <x v="0"/>
    <x v="0"/>
    <x v="1"/>
  </r>
  <r>
    <x v="490"/>
    <s v="Tunde Ogunleye"/>
    <s v="Female"/>
    <x v="10"/>
    <x v="1"/>
    <x v="356"/>
    <n v="38145"/>
    <n v="18614760"/>
    <s v="Cross River"/>
    <x v="3"/>
    <s v="Calabar"/>
    <x v="0"/>
    <x v="4"/>
    <s v="Agent A"/>
    <x v="1"/>
    <n v="8729784"/>
    <n v="3"/>
    <n v="1.71"/>
    <n v="1.7100000000000001E-2"/>
    <s v="2024-07-18"/>
    <x v="10"/>
    <x v="0"/>
    <x v="3"/>
    <x v="0"/>
    <s v="Completed"/>
    <n v="2"/>
    <n v="25"/>
    <n v="18296447.603999998"/>
    <x v="0"/>
    <x v="0"/>
    <x v="0"/>
    <x v="1"/>
  </r>
  <r>
    <x v="491"/>
    <s v="Tunde Sani"/>
    <s v="Female"/>
    <x v="25"/>
    <x v="1"/>
    <x v="228"/>
    <n v="49541"/>
    <n v="12583414"/>
    <s v="Zamfara"/>
    <x v="4"/>
    <s v="Ibadan"/>
    <x v="1"/>
    <x v="4"/>
    <s v="Agent D"/>
    <x v="1"/>
    <n v="5076962"/>
    <n v="6"/>
    <n v="4.18"/>
    <n v="4.1799999999999997E-2"/>
    <s v="2024-08-22"/>
    <x v="8"/>
    <x v="0"/>
    <x v="3"/>
    <x v="1"/>
    <s v="Cancelled"/>
    <n v="1"/>
    <n v="20"/>
    <n v="12057427.2948"/>
    <x v="0"/>
    <x v="0"/>
    <x v="0"/>
    <x v="2"/>
  </r>
  <r>
    <x v="492"/>
    <s v="Amina Adeyemi"/>
    <s v="Male"/>
    <x v="17"/>
    <x v="1"/>
    <x v="53"/>
    <n v="43594"/>
    <n v="12729448"/>
    <s v="Niger"/>
    <x v="2"/>
    <s v="Enugu"/>
    <x v="1"/>
    <x v="3"/>
    <s v="Agent D"/>
    <x v="0"/>
    <n v="12729448"/>
    <n v="0"/>
    <n v="0.77"/>
    <n v="7.7000000000000002E-3"/>
    <s v="2024-05-02"/>
    <x v="11"/>
    <x v="0"/>
    <x v="0"/>
    <x v="1"/>
    <s v="Cancelled"/>
    <n v="5"/>
    <n v="47"/>
    <n v="12631431.250399999"/>
    <x v="0"/>
    <x v="0"/>
    <x v="0"/>
    <x v="2"/>
  </r>
  <r>
    <x v="493"/>
    <s v="Blessing Okafor"/>
    <s v="Female"/>
    <x v="23"/>
    <x v="1"/>
    <x v="80"/>
    <n v="46900"/>
    <n v="34096300"/>
    <s v="Abia"/>
    <x v="1"/>
    <s v="Warri"/>
    <x v="2"/>
    <x v="4"/>
    <s v="Agent B"/>
    <x v="0"/>
    <n v="34096300"/>
    <n v="0"/>
    <n v="4.05"/>
    <n v="4.0500000000000001E-2"/>
    <s v="2024-11-11"/>
    <x v="2"/>
    <x v="0"/>
    <x v="0"/>
    <x v="0"/>
    <s v="Pending"/>
    <n v="2"/>
    <n v="44"/>
    <n v="32715399.850000001"/>
    <x v="2"/>
    <x v="0"/>
    <x v="2"/>
    <x v="1"/>
  </r>
  <r>
    <x v="494"/>
    <s v="Ngozi Sani"/>
    <s v="Female"/>
    <x v="35"/>
    <x v="2"/>
    <x v="354"/>
    <n v="26055"/>
    <n v="7191180"/>
    <s v="Kaduna"/>
    <x v="4"/>
    <s v="Kano"/>
    <x v="0"/>
    <x v="4"/>
    <s v="Agent B"/>
    <x v="0"/>
    <n v="7191180"/>
    <n v="0"/>
    <n v="5.14"/>
    <n v="5.1399999999999994E-2"/>
    <s v="2024-01-27"/>
    <x v="7"/>
    <x v="0"/>
    <x v="0"/>
    <x v="1"/>
    <s v="Pending"/>
    <n v="4"/>
    <n v="19"/>
    <n v="6821553.3480000002"/>
    <x v="1"/>
    <x v="1"/>
    <x v="1"/>
    <x v="2"/>
  </r>
  <r>
    <x v="495"/>
    <s v="Grace Okafor"/>
    <s v="Female"/>
    <x v="21"/>
    <x v="2"/>
    <x v="271"/>
    <n v="43364"/>
    <n v="41412620"/>
    <s v="Delta"/>
    <x v="3"/>
    <s v="Lagos"/>
    <x v="0"/>
    <x v="4"/>
    <s v="Agent A"/>
    <x v="1"/>
    <n v="19750379"/>
    <n v="6"/>
    <n v="9.2899999999999991"/>
    <n v="9.2899999999999996E-2"/>
    <s v="2024-11-25"/>
    <x v="2"/>
    <x v="0"/>
    <x v="2"/>
    <x v="1"/>
    <s v="Pending"/>
    <n v="3"/>
    <n v="7"/>
    <n v="37565387.601999998"/>
    <x v="2"/>
    <x v="1"/>
    <x v="2"/>
    <x v="0"/>
  </r>
  <r>
    <x v="496"/>
    <s v="Blessing Bello"/>
    <s v="Male"/>
    <x v="28"/>
    <x v="0"/>
    <x v="326"/>
    <n v="25234"/>
    <n v="15417974"/>
    <s v="Ogun"/>
    <x v="5"/>
    <s v="Kano"/>
    <x v="1"/>
    <x v="2"/>
    <s v="Agent B"/>
    <x v="0"/>
    <n v="15417974"/>
    <n v="0"/>
    <n v="1.01"/>
    <n v="1.01E-2"/>
    <s v="2024-09-08"/>
    <x v="5"/>
    <x v="0"/>
    <x v="1"/>
    <x v="2"/>
    <s v="Pending"/>
    <n v="4"/>
    <n v="24"/>
    <n v="15262252.4626"/>
    <x v="0"/>
    <x v="0"/>
    <x v="0"/>
    <x v="1"/>
  </r>
  <r>
    <x v="497"/>
    <s v="Tunde Adeyemi"/>
    <s v="Female"/>
    <x v="44"/>
    <x v="0"/>
    <x v="87"/>
    <n v="37155"/>
    <n v="14341830"/>
    <s v="Bayelsa"/>
    <x v="3"/>
    <s v="Kaduna"/>
    <x v="1"/>
    <x v="0"/>
    <s v="Agent A"/>
    <x v="1"/>
    <n v="7125176"/>
    <n v="3"/>
    <n v="6.56"/>
    <n v="6.5599999999999992E-2"/>
    <s v="2024-08-12"/>
    <x v="8"/>
    <x v="0"/>
    <x v="3"/>
    <x v="1"/>
    <s v="Completed"/>
    <n v="2"/>
    <n v="26"/>
    <n v="13401005.952"/>
    <x v="0"/>
    <x v="1"/>
    <x v="0"/>
    <x v="2"/>
  </r>
  <r>
    <x v="498"/>
    <s v="Musa Bello"/>
    <s v="Female"/>
    <x v="39"/>
    <x v="1"/>
    <x v="218"/>
    <n v="12506"/>
    <n v="2901392"/>
    <s v="Nasarawa"/>
    <x v="2"/>
    <s v="Enugu"/>
    <x v="1"/>
    <x v="0"/>
    <s v="Agent C"/>
    <x v="0"/>
    <n v="2901392"/>
    <n v="0"/>
    <n v="9.48"/>
    <n v="9.4800000000000009E-2"/>
    <s v="2024-12-06"/>
    <x v="3"/>
    <x v="0"/>
    <x v="2"/>
    <x v="0"/>
    <s v="Cancelled"/>
    <n v="4"/>
    <n v="9"/>
    <n v="2626340.0384"/>
    <x v="1"/>
    <x v="1"/>
    <x v="1"/>
    <x v="2"/>
  </r>
  <r>
    <x v="499"/>
    <s v="David Obi"/>
    <s v="Male"/>
    <x v="44"/>
    <x v="2"/>
    <x v="357"/>
    <n v="12193"/>
    <n v="4011497"/>
    <s v="Lagos"/>
    <x v="5"/>
    <s v="Lagos"/>
    <x v="1"/>
    <x v="4"/>
    <s v="Agent D"/>
    <x v="1"/>
    <n v="1725808"/>
    <n v="3"/>
    <n v="2.37"/>
    <n v="2.3700000000000002E-2"/>
    <s v="2024-12-13"/>
    <x v="3"/>
    <x v="0"/>
    <x v="0"/>
    <x v="1"/>
    <s v="Completed"/>
    <n v="5"/>
    <n v="10"/>
    <n v="3916424.5211"/>
    <x v="1"/>
    <x v="0"/>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8DDAD4-CC51-4F58-98D6-3F1E1141106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C37:E44" firstHeaderRow="0" firstDataRow="1" firstDataCol="1"/>
  <pivotFields count="32">
    <pivotField showAll="0"/>
    <pivotField showAll="0"/>
    <pivotField showAll="0"/>
    <pivotField showAll="0"/>
    <pivotField showAll="0"/>
    <pivotField dataField="1" showAll="0"/>
    <pivotField numFmtId="164" showAll="0"/>
    <pivotField numFmtId="164" showAll="0"/>
    <pivotField showAll="0"/>
    <pivotField axis="axisRow" showAll="0">
      <items count="7">
        <item x="2"/>
        <item x="0"/>
        <item x="4"/>
        <item x="1"/>
        <item x="3"/>
        <item x="5"/>
        <item t="default"/>
      </items>
    </pivotField>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s>
  <rowFields count="1">
    <field x="9"/>
  </rowFields>
  <rowItems count="7">
    <i>
      <x/>
    </i>
    <i>
      <x v="1"/>
    </i>
    <i>
      <x v="2"/>
    </i>
    <i>
      <x v="3"/>
    </i>
    <i>
      <x v="4"/>
    </i>
    <i>
      <x v="5"/>
    </i>
    <i t="grand">
      <x/>
    </i>
  </rowItems>
  <colFields count="1">
    <field x="-2"/>
  </colFields>
  <colItems count="2">
    <i>
      <x/>
    </i>
    <i i="1">
      <x v="1"/>
    </i>
  </colItems>
  <dataFields count="2">
    <dataField name="Sum of Land_Size_SQM" fld="5" baseField="0" baseItem="0"/>
    <dataField name="Average of Land_Size_SQM2" fld="5" subtotal="average" baseField="9" baseItem="0"/>
  </dataFields>
  <formats count="2">
    <format dxfId="1">
      <pivotArea collapsedLevelsAreSubtotals="1" fieldPosition="0">
        <references count="2">
          <reference field="4294967294" count="1" selected="0">
            <x v="1"/>
          </reference>
          <reference field="9" count="0"/>
        </references>
      </pivotArea>
    </format>
    <format dxfId="0">
      <pivotArea field="9" grandRow="1" outline="0" collapsedLevelsAreSubtotals="1" axis="axisRow" fieldPosition="0">
        <references count="1">
          <reference field="4294967294" count="1" selected="0">
            <x v="1"/>
          </reference>
        </references>
      </pivotArea>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FAB4DE-D731-4001-BB3C-6BDA628FD362}"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type">
  <location ref="C207:D211" firstHeaderRow="1" firstDataRow="1" firstDataCol="1"/>
  <pivotFields count="32">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axis="axisRow" showAll="0">
      <items count="4">
        <item x="0"/>
        <item x="1"/>
        <item x="2"/>
        <item t="default"/>
      </items>
    </pivotField>
    <pivotField showAll="0"/>
    <pivotField dataField="1" showAll="0"/>
    <pivotField showAll="0"/>
    <pivotField numFmtId="164" showAll="0"/>
    <pivotField showAll="0"/>
    <pivotField showAll="0"/>
    <pivotField showAll="0"/>
    <pivotField showAll="0"/>
  </pivotFields>
  <rowFields count="1">
    <field x="23"/>
  </rowFields>
  <rowItems count="4">
    <i>
      <x/>
    </i>
    <i>
      <x v="1"/>
    </i>
    <i>
      <x v="2"/>
    </i>
    <i t="grand">
      <x/>
    </i>
  </rowItems>
  <colItems count="1">
    <i/>
  </colItems>
  <dataFields count="1">
    <dataField name="Average of Satisfaction_Rating" fld="25" subtotal="average" baseField="23" baseItem="0" numFmtId="2"/>
  </dataFields>
  <formats count="2">
    <format dxfId="3">
      <pivotArea collapsedLevelsAreSubtotals="1" fieldPosition="0">
        <references count="1">
          <reference field="23" count="1">
            <x v="1"/>
          </reference>
        </references>
      </pivotArea>
    </format>
    <format dxfId="2">
      <pivotArea outline="0" collapsedLevelsAreSubtotals="1" fieldPosition="0"/>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77EB1C-7988-4895-A104-BD2CADCDDBBE}"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ayment type">
  <location ref="F164:G167" firstHeaderRow="1" firstDataRow="1" firstDataCol="1"/>
  <pivotFields count="32">
    <pivotField dataField="1"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axis="axisRow" showAll="0">
      <items count="3">
        <item x="1"/>
        <item x="0"/>
        <item t="default"/>
      </items>
    </pivotField>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s>
  <rowFields count="1">
    <field x="14"/>
  </rowFields>
  <rowItems count="3">
    <i>
      <x/>
    </i>
    <i>
      <x v="1"/>
    </i>
    <i t="grand">
      <x/>
    </i>
  </rowItems>
  <colItems count="1">
    <i/>
  </colItems>
  <dataFields count="1">
    <dataField name="Count of Transaction_ID" fld="0" subtotal="count" baseField="0"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4" count="1" selected="0">
            <x v="0"/>
          </reference>
        </references>
      </pivotArea>
    </chartFormat>
    <chartFormat chart="1" format="3">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4" count="1" selected="0">
            <x v="0"/>
          </reference>
        </references>
      </pivotArea>
    </chartFormat>
    <chartFormat chart="2" format="6">
      <pivotArea type="data" outline="0" fieldPosition="0">
        <references count="2">
          <reference field="4294967294" count="1" selected="0">
            <x v="0"/>
          </reference>
          <reference field="14" count="1" selected="0">
            <x v="1"/>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B26277-0C77-4597-AD02-6D1CB0A4C80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al Estate Company">
  <location ref="G48:H54" firstHeaderRow="1" firstDataRow="1" firstDataCol="1"/>
  <pivotFields count="32">
    <pivotField showAll="0"/>
    <pivotField showAll="0"/>
    <pivotField showAll="0"/>
    <pivotField showAll="0"/>
    <pivotField showAll="0"/>
    <pivotField showAll="0"/>
    <pivotField numFmtId="164" showAll="0"/>
    <pivotField numFmtId="164" showAll="0"/>
    <pivotField showAll="0"/>
    <pivotField showAll="0"/>
    <pivotField showAll="0"/>
    <pivotField showAll="0"/>
    <pivotField axis="axisRow" showAll="0">
      <items count="6">
        <item x="1"/>
        <item x="0"/>
        <item x="3"/>
        <item x="2"/>
        <item x="4"/>
        <item t="default"/>
      </items>
    </pivotField>
    <pivotField showAll="0"/>
    <pivotField showAll="0"/>
    <pivotField dataField="1" numFmtId="164" showAll="0"/>
    <pivotField showAll="0"/>
    <pivotField numFmtId="2" showAll="0"/>
    <pivotField numFmtId="10"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s>
  <rowFields count="1">
    <field x="12"/>
  </rowFields>
  <rowItems count="6">
    <i>
      <x/>
    </i>
    <i>
      <x v="1"/>
    </i>
    <i>
      <x v="2"/>
    </i>
    <i>
      <x v="3"/>
    </i>
    <i>
      <x v="4"/>
    </i>
    <i t="grand">
      <x/>
    </i>
  </rowItems>
  <colItems count="1">
    <i/>
  </colItems>
  <dataFields count="1">
    <dataField name="Sum of Initial_Deposit" fld="15" baseField="0" baseItem="0" numFmtId="164"/>
  </dataFields>
  <formats count="1">
    <format dxfId="4">
      <pivotArea collapsedLevelsAreSubtotals="1" fieldPosition="0">
        <references count="1">
          <reference field="12" count="1">
            <x v="1"/>
          </reference>
        </references>
      </pivotArea>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206555-A9B3-4D9F-A6EE-78A1ABD53E8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Marketing Channel">
  <location ref="J37:K42" firstHeaderRow="1" firstDataRow="1" firstDataCol="1"/>
  <pivotFields count="32">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axis="axisRow" showAll="0">
      <items count="5">
        <item x="2"/>
        <item x="1"/>
        <item x="0"/>
        <item x="3"/>
        <item t="default"/>
      </items>
    </pivotField>
    <pivotField showAll="0"/>
    <pivotField showAll="0"/>
    <pivotField showAll="0"/>
    <pivotField showAll="0"/>
    <pivotField dataField="1" numFmtId="164" showAll="0"/>
    <pivotField showAll="0"/>
    <pivotField showAll="0"/>
    <pivotField showAll="0"/>
    <pivotField showAll="0"/>
  </pivotFields>
  <rowFields count="1">
    <field x="22"/>
  </rowFields>
  <rowItems count="5">
    <i>
      <x/>
    </i>
    <i>
      <x v="1"/>
    </i>
    <i>
      <x v="2"/>
    </i>
    <i>
      <x v="3"/>
    </i>
    <i t="grand">
      <x/>
    </i>
  </rowItems>
  <colItems count="1">
    <i/>
  </colItems>
  <dataFields count="1">
    <dataField name="Sum of Revenue" fld="27" baseField="0" baseItem="0" numFmtId="164"/>
  </dataFields>
  <formats count="1">
    <format dxfId="5">
      <pivotArea collapsedLevelsAreSubtotals="1" fieldPosition="0">
        <references count="1">
          <reference field="22" count="1">
            <x v="3"/>
          </reference>
        </references>
      </pivotArea>
    </format>
  </formats>
  <chartFormats count="6">
    <chartFormat chart="20" format="2" series="1">
      <pivotArea type="data" outline="0" fieldPosition="0">
        <references count="1">
          <reference field="4294967294" count="1" selected="0">
            <x v="0"/>
          </reference>
        </references>
      </pivotArea>
    </chartFormat>
    <chartFormat chart="29" format="22" series="1">
      <pivotArea type="data" outline="0" fieldPosition="0">
        <references count="1">
          <reference field="4294967294" count="1" selected="0">
            <x v="0"/>
          </reference>
        </references>
      </pivotArea>
    </chartFormat>
    <chartFormat chart="29" format="23">
      <pivotArea type="data" outline="0" fieldPosition="0">
        <references count="2">
          <reference field="4294967294" count="1" selected="0">
            <x v="0"/>
          </reference>
          <reference field="22" count="1" selected="0">
            <x v="0"/>
          </reference>
        </references>
      </pivotArea>
    </chartFormat>
    <chartFormat chart="29" format="24">
      <pivotArea type="data" outline="0" fieldPosition="0">
        <references count="2">
          <reference field="4294967294" count="1" selected="0">
            <x v="0"/>
          </reference>
          <reference field="22" count="1" selected="0">
            <x v="1"/>
          </reference>
        </references>
      </pivotArea>
    </chartFormat>
    <chartFormat chart="29" format="25">
      <pivotArea type="data" outline="0" fieldPosition="0">
        <references count="2">
          <reference field="4294967294" count="1" selected="0">
            <x v="0"/>
          </reference>
          <reference field="22" count="1" selected="0">
            <x v="2"/>
          </reference>
        </references>
      </pivotArea>
    </chartFormat>
    <chartFormat chart="29" format="26">
      <pivotArea type="data" outline="0" fieldPosition="0">
        <references count="2">
          <reference field="4294967294" count="1" selected="0">
            <x v="0"/>
          </reference>
          <reference field="22" count="1" selected="0">
            <x v="3"/>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C69F64-4AA3-459F-8BF0-28A38B82418A}"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Month">
  <location ref="I123:O139" firstHeaderRow="1" firstDataRow="3" firstDataCol="1"/>
  <pivotFields count="32">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axis="axisCol" dataField="1" showAll="0">
      <items count="3">
        <item x="1"/>
        <item x="0"/>
        <item t="default"/>
      </items>
    </pivotField>
    <pivotField numFmtId="164" showAll="0"/>
    <pivotField showAll="0"/>
    <pivotField numFmtId="2" showAll="0"/>
    <pivotField numFmtId="10" showAll="0"/>
    <pivotField showAll="0"/>
    <pivotField axis="axisRow" showAll="0">
      <items count="13">
        <item x="7"/>
        <item x="0"/>
        <item x="6"/>
        <item x="9"/>
        <item x="11"/>
        <item x="1"/>
        <item x="10"/>
        <item x="8"/>
        <item x="5"/>
        <item x="4"/>
        <item x="2"/>
        <item x="3"/>
        <item t="default"/>
      </items>
    </pivotField>
    <pivotField axis="axisRow" showAll="0">
      <items count="2">
        <item x="0"/>
        <item t="default"/>
      </items>
    </pivotField>
    <pivotField showAll="0"/>
    <pivotField showAll="0"/>
    <pivotField showAll="0"/>
    <pivotField showAll="0"/>
    <pivotField showAll="0"/>
    <pivotField dataField="1" numFmtId="164" showAll="0"/>
    <pivotField showAll="0"/>
    <pivotField showAll="0"/>
    <pivotField showAll="0"/>
    <pivotField showAll="0"/>
  </pivotFields>
  <rowFields count="2">
    <field x="21"/>
    <field x="20"/>
  </rowFields>
  <rowItems count="14">
    <i>
      <x/>
    </i>
    <i r="1">
      <x/>
    </i>
    <i r="1">
      <x v="1"/>
    </i>
    <i r="1">
      <x v="2"/>
    </i>
    <i r="1">
      <x v="3"/>
    </i>
    <i r="1">
      <x v="4"/>
    </i>
    <i r="1">
      <x v="5"/>
    </i>
    <i r="1">
      <x v="6"/>
    </i>
    <i r="1">
      <x v="7"/>
    </i>
    <i r="1">
      <x v="8"/>
    </i>
    <i r="1">
      <x v="9"/>
    </i>
    <i r="1">
      <x v="10"/>
    </i>
    <i r="1">
      <x v="11"/>
    </i>
    <i t="grand">
      <x/>
    </i>
  </rowItems>
  <colFields count="2">
    <field x="14"/>
    <field x="-2"/>
  </colFields>
  <colItems count="6">
    <i>
      <x/>
      <x/>
    </i>
    <i r="1" i="1">
      <x v="1"/>
    </i>
    <i>
      <x v="1"/>
      <x/>
    </i>
    <i r="1" i="1">
      <x v="1"/>
    </i>
    <i t="grand">
      <x/>
    </i>
    <i t="grand" i="1">
      <x/>
    </i>
  </colItems>
  <dataFields count="2">
    <dataField name="Count of Payment_Type" fld="14" subtotal="count" baseField="0" baseItem="0"/>
    <dataField name="Sum of Revenue" fld="27" baseField="0" baseItem="0" numFmtId="164"/>
  </dataFields>
  <formats count="1">
    <format dxfId="6">
      <pivotArea field="21" grandCol="1" collapsedLevelsAreSubtotals="1" axis="axisRow" fieldPosition="0">
        <references count="2">
          <reference field="20" count="1">
            <x v="8"/>
          </reference>
          <reference field="21" count="0" selected="0"/>
        </references>
      </pivotArea>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A745D4-5CE0-4B14-AAA3-92F4A7D04393}" name="PivotTable4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perty type">
  <location ref="U40:V44" firstHeaderRow="1" firstDataRow="1" firstDataCol="1"/>
  <pivotFields count="32">
    <pivotField showAll="0"/>
    <pivotField showAll="0"/>
    <pivotField showAll="0"/>
    <pivotField showAll="0"/>
    <pivotField axis="axisRow" showAll="0">
      <items count="4">
        <item x="2"/>
        <item x="1"/>
        <item x="0"/>
        <item t="default"/>
      </items>
    </pivotField>
    <pivotField showAll="0"/>
    <pivotField numFmtId="164" showAll="0"/>
    <pivotField numFmtId="164" showAll="0"/>
    <pivotField showAll="0"/>
    <pivotField showAll="0"/>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dataField="1" numFmtId="164" showAll="0"/>
    <pivotField showAll="0"/>
    <pivotField showAll="0"/>
    <pivotField showAll="0"/>
    <pivotField showAll="0"/>
  </pivotFields>
  <rowFields count="1">
    <field x="4"/>
  </rowFields>
  <rowItems count="4">
    <i>
      <x/>
    </i>
    <i>
      <x v="1"/>
    </i>
    <i>
      <x v="2"/>
    </i>
    <i t="grand">
      <x/>
    </i>
  </rowItems>
  <colItems count="1">
    <i/>
  </colItems>
  <dataFields count="1">
    <dataField name="Sum of Revenue" fld="27" baseField="0" baseItem="0" numFmtId="164"/>
  </dataFields>
  <formats count="1">
    <format dxfId="7">
      <pivotArea collapsedLevelsAreSubtotals="1" fieldPosition="0">
        <references count="2">
          <reference field="4294967294" count="1" selected="0">
            <x v="0"/>
          </reference>
          <reference field="4" count="1">
            <x v="0"/>
          </reference>
        </references>
      </pivotArea>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D8BF70-DCD7-4962-979F-AAC5D0E5829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perty type" colHeaderCaption="Customer type">
  <location ref="C86:G91" firstHeaderRow="1" firstDataRow="2" firstDataCol="1"/>
  <pivotFields count="32">
    <pivotField showAll="0"/>
    <pivotField showAll="0"/>
    <pivotField showAll="0"/>
    <pivotField showAll="0"/>
    <pivotField axis="axisRow" showAll="0">
      <items count="4">
        <item x="2"/>
        <item x="1"/>
        <item x="0"/>
        <item t="default"/>
      </items>
    </pivotField>
    <pivotField showAll="0"/>
    <pivotField numFmtId="164" showAll="0"/>
    <pivotField numFmtId="164" showAll="0"/>
    <pivotField showAll="0"/>
    <pivotField showAll="0"/>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axis="axisCol" dataField="1" showAll="0">
      <items count="4">
        <item x="0"/>
        <item x="1"/>
        <item x="2"/>
        <item t="default"/>
      </items>
    </pivotField>
    <pivotField showAll="0"/>
    <pivotField showAll="0"/>
    <pivotField showAll="0"/>
    <pivotField numFmtId="164" showAll="0"/>
    <pivotField showAll="0"/>
    <pivotField showAll="0"/>
    <pivotField showAll="0"/>
    <pivotField showAll="0"/>
  </pivotFields>
  <rowFields count="1">
    <field x="4"/>
  </rowFields>
  <rowItems count="4">
    <i>
      <x/>
    </i>
    <i>
      <x v="1"/>
    </i>
    <i>
      <x v="2"/>
    </i>
    <i t="grand">
      <x/>
    </i>
  </rowItems>
  <colFields count="1">
    <field x="23"/>
  </colFields>
  <colItems count="4">
    <i>
      <x/>
    </i>
    <i>
      <x v="1"/>
    </i>
    <i>
      <x v="2"/>
    </i>
    <i t="grand">
      <x/>
    </i>
  </colItems>
  <dataFields count="1">
    <dataField name="Count of Customer_Type" fld="23" subtotal="count" baseField="0" baseItem="0"/>
  </dataFields>
  <chartFormats count="3">
    <chartFormat chart="7" format="32" series="1">
      <pivotArea type="data" outline="0" fieldPosition="0">
        <references count="2">
          <reference field="4294967294" count="1" selected="0">
            <x v="0"/>
          </reference>
          <reference field="23" count="1" selected="0">
            <x v="0"/>
          </reference>
        </references>
      </pivotArea>
    </chartFormat>
    <chartFormat chart="7" format="33" series="1">
      <pivotArea type="data" outline="0" fieldPosition="0">
        <references count="2">
          <reference field="4294967294" count="1" selected="0">
            <x v="0"/>
          </reference>
          <reference field="23" count="1" selected="0">
            <x v="1"/>
          </reference>
        </references>
      </pivotArea>
    </chartFormat>
    <chartFormat chart="7" format="34" series="1">
      <pivotArea type="data" outline="0" fieldPosition="0">
        <references count="2">
          <reference field="4294967294" count="1" selected="0">
            <x v="0"/>
          </reference>
          <reference field="23" count="1" selected="0">
            <x v="2"/>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B75094-1CF8-40FF-AEC7-5F4077ECB2EE}" name="PivotTable4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type">
  <location ref="G207:H226" firstHeaderRow="1" firstDataRow="1" firstDataCol="1"/>
  <pivotFields count="32">
    <pivotField showAll="0"/>
    <pivotField showAll="0"/>
    <pivotField showAll="0"/>
    <pivotField axis="axisRow" showAll="0">
      <items count="8">
        <item x="0"/>
        <item x="1"/>
        <item x="2"/>
        <item x="3"/>
        <item x="4"/>
        <item x="5"/>
        <item x="6"/>
        <item t="default"/>
      </items>
    </pivotField>
    <pivotField showAll="0"/>
    <pivotField showAll="0"/>
    <pivotField numFmtId="164" showAll="0"/>
    <pivotField numFmtId="164" showAll="0"/>
    <pivotField showAll="0"/>
    <pivotField showAll="0"/>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axis="axisRow" showAll="0">
      <items count="4">
        <item x="0"/>
        <item x="1"/>
        <item x="2"/>
        <item t="default"/>
      </items>
    </pivotField>
    <pivotField showAll="0"/>
    <pivotField showAll="0"/>
    <pivotField showAll="0"/>
    <pivotField dataField="1" numFmtId="164" showAll="0"/>
    <pivotField showAll="0"/>
    <pivotField showAll="0"/>
    <pivotField showAll="0"/>
    <pivotField showAll="0"/>
  </pivotFields>
  <rowFields count="2">
    <field x="23"/>
    <field x="3"/>
  </rowFields>
  <rowItems count="19">
    <i>
      <x/>
    </i>
    <i r="1">
      <x v="1"/>
    </i>
    <i r="1">
      <x v="2"/>
    </i>
    <i r="1">
      <x v="3"/>
    </i>
    <i r="1">
      <x v="4"/>
    </i>
    <i r="1">
      <x v="5"/>
    </i>
    <i>
      <x v="1"/>
    </i>
    <i r="1">
      <x v="1"/>
    </i>
    <i r="1">
      <x v="2"/>
    </i>
    <i r="1">
      <x v="3"/>
    </i>
    <i r="1">
      <x v="4"/>
    </i>
    <i r="1">
      <x v="5"/>
    </i>
    <i>
      <x v="2"/>
    </i>
    <i r="1">
      <x v="1"/>
    </i>
    <i r="1">
      <x v="2"/>
    </i>
    <i r="1">
      <x v="3"/>
    </i>
    <i r="1">
      <x v="4"/>
    </i>
    <i r="1">
      <x v="5"/>
    </i>
    <i t="grand">
      <x/>
    </i>
  </rowItems>
  <colItems count="1">
    <i/>
  </colItems>
  <dataFields count="1">
    <dataField name="Sum of Revenue" fld="27" baseField="0" baseItem="0" numFmtId="164"/>
  </dataFields>
  <formats count="7">
    <format dxfId="14">
      <pivotArea outline="0" collapsedLevelsAreSubtotals="1" fieldPosition="0"/>
    </format>
    <format dxfId="13">
      <pivotArea outline="0" collapsedLevelsAreSubtotals="1" fieldPosition="0">
        <references count="1">
          <reference field="4294967294" count="1" selected="0">
            <x v="0"/>
          </reference>
        </references>
      </pivotArea>
    </format>
    <format dxfId="12">
      <pivotArea collapsedLevelsAreSubtotals="1" fieldPosition="0">
        <references count="1">
          <reference field="23" count="1">
            <x v="1"/>
          </reference>
        </references>
      </pivotArea>
    </format>
    <format dxfId="11">
      <pivotArea collapsedLevelsAreSubtotals="1" fieldPosition="0">
        <references count="1">
          <reference field="23" count="1">
            <x v="1"/>
          </reference>
        </references>
      </pivotArea>
    </format>
    <format dxfId="10">
      <pivotArea collapsedLevelsAreSubtotals="1" fieldPosition="0">
        <references count="2">
          <reference field="3" count="1">
            <x v="3"/>
          </reference>
          <reference field="23" count="1" selected="0">
            <x v="0"/>
          </reference>
        </references>
      </pivotArea>
    </format>
    <format dxfId="9">
      <pivotArea collapsedLevelsAreSubtotals="1" fieldPosition="0">
        <references count="2">
          <reference field="3" count="1">
            <x v="3"/>
          </reference>
          <reference field="23" count="1" selected="0">
            <x v="1"/>
          </reference>
        </references>
      </pivotArea>
    </format>
    <format dxfId="8">
      <pivotArea collapsedLevelsAreSubtotals="1" fieldPosition="0">
        <references count="2">
          <reference field="3" count="1">
            <x v="1"/>
          </reference>
          <reference field="23" count="1" selected="0">
            <x v="2"/>
          </reference>
        </references>
      </pivotArea>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AC24D4-AED1-4E27-9E83-98DFB4EE857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perty type">
  <location ref="J47:L51" firstHeaderRow="0" firstDataRow="1" firstDataCol="1"/>
  <pivotFields count="32">
    <pivotField showAll="0"/>
    <pivotField showAll="0"/>
    <pivotField showAll="0"/>
    <pivotField showAll="0"/>
    <pivotField axis="axisRow" showAll="0">
      <items count="4">
        <item x="2"/>
        <item x="1"/>
        <item x="0"/>
        <item t="default"/>
      </items>
    </pivotField>
    <pivotField showAll="0"/>
    <pivotField dataField="1" numFmtId="164" showAll="0"/>
    <pivotField numFmtId="164" showAll="0"/>
    <pivotField showAll="0"/>
    <pivotField showAll="0"/>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dataField="1" numFmtId="164" showAll="0"/>
    <pivotField showAll="0"/>
    <pivotField showAll="0"/>
    <pivotField showAll="0"/>
    <pivotField showAll="0"/>
  </pivotFields>
  <rowFields count="1">
    <field x="4"/>
  </rowFields>
  <rowItems count="4">
    <i>
      <x/>
    </i>
    <i>
      <x v="1"/>
    </i>
    <i>
      <x v="2"/>
    </i>
    <i t="grand">
      <x/>
    </i>
  </rowItems>
  <colFields count="1">
    <field x="-2"/>
  </colFields>
  <colItems count="2">
    <i>
      <x/>
    </i>
    <i i="1">
      <x v="1"/>
    </i>
  </colItems>
  <dataFields count="2">
    <dataField name="Average of Price_per_SQM2" fld="6" subtotal="average" baseField="4" baseItem="0" numFmtId="164"/>
    <dataField name="Sum of Revenue" fld="27" baseField="0" baseItem="0" numFmtId="164"/>
  </dataFields>
  <formats count="1">
    <format dxfId="15">
      <pivotArea collapsedLevelsAreSubtotals="1" fieldPosition="0">
        <references count="2">
          <reference field="4294967294" count="1" selected="0">
            <x v="1"/>
          </reference>
          <reference field="4" count="1">
            <x v="0"/>
          </reference>
        </references>
      </pivotArea>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698D48-FE1D-43E9-A16E-EB25B68FEC4E}" name="PivotTable4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and Size Category">
  <location ref="C237:D241" firstHeaderRow="1" firstDataRow="1" firstDataCol="1"/>
  <pivotFields count="32">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showAll="0">
      <items count="4">
        <item x="0"/>
        <item x="1"/>
        <item x="2"/>
        <item t="default"/>
      </items>
    </pivotField>
    <pivotField showAll="0"/>
    <pivotField showAll="0"/>
    <pivotField showAll="0"/>
    <pivotField dataField="1" numFmtId="164" showAll="0"/>
    <pivotField showAll="0"/>
    <pivotField showAll="0"/>
    <pivotField showAll="0"/>
    <pivotField axis="axisRow" showAll="0">
      <items count="4">
        <item x="0"/>
        <item x="1"/>
        <item x="2"/>
        <item t="default"/>
      </items>
    </pivotField>
  </pivotFields>
  <rowFields count="1">
    <field x="31"/>
  </rowFields>
  <rowItems count="4">
    <i>
      <x/>
    </i>
    <i>
      <x v="1"/>
    </i>
    <i>
      <x v="2"/>
    </i>
    <i t="grand">
      <x/>
    </i>
  </rowItems>
  <colItems count="1">
    <i/>
  </colItems>
  <dataFields count="1">
    <dataField name="Sum of Revenue" fld="27" baseField="0" baseItem="0" numFmtId="164"/>
  </dataFields>
  <formats count="1">
    <format dxfId="16">
      <pivotArea outline="0" collapsedLevelsAreSubtotals="1" fieldPosition="0"/>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83F59CB-C20F-4BBB-8ABD-956A88A860B0}"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rketing Channel">
  <location ref="I144:M150" firstHeaderRow="1" firstDataRow="2" firstDataCol="1"/>
  <pivotFields count="32">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axis="axisRow" showAll="0">
      <items count="5">
        <item x="2"/>
        <item x="1"/>
        <item x="0"/>
        <item x="3"/>
        <item t="default"/>
      </items>
    </pivotField>
    <pivotField axis="axisCol" dataField="1" showAll="0">
      <items count="4">
        <item x="0"/>
        <item x="1"/>
        <item x="2"/>
        <item t="default"/>
      </items>
    </pivotField>
    <pivotField showAll="0"/>
    <pivotField showAll="0"/>
    <pivotField showAll="0"/>
    <pivotField numFmtId="164" showAll="0"/>
    <pivotField showAll="0"/>
    <pivotField showAll="0"/>
    <pivotField showAll="0"/>
    <pivotField showAll="0"/>
  </pivotFields>
  <rowFields count="1">
    <field x="22"/>
  </rowFields>
  <rowItems count="5">
    <i>
      <x/>
    </i>
    <i>
      <x v="1"/>
    </i>
    <i>
      <x v="2"/>
    </i>
    <i>
      <x v="3"/>
    </i>
    <i t="grand">
      <x/>
    </i>
  </rowItems>
  <colFields count="1">
    <field x="23"/>
  </colFields>
  <colItems count="4">
    <i>
      <x/>
    </i>
    <i>
      <x v="1"/>
    </i>
    <i>
      <x v="2"/>
    </i>
    <i t="grand">
      <x/>
    </i>
  </colItems>
  <dataFields count="1">
    <dataField name="Count of Customer_Type" fld="23" subtotal="count" baseField="0" baseItem="0"/>
  </dataFields>
  <formats count="1">
    <format dxfId="17">
      <pivotArea outline="0" collapsedLevelsAreSubtotals="1" fieldPosition="0"/>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A8345A2-0323-4B13-8E48-BEA18002701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ayment type">
  <location ref="G37:H40" firstHeaderRow="1" firstDataRow="1" firstDataCol="1"/>
  <pivotFields count="32">
    <pivotField dataField="1"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axis="axisRow" showAll="0">
      <items count="3">
        <item x="1"/>
        <item x="0"/>
        <item t="default"/>
      </items>
    </pivotField>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s>
  <rowFields count="1">
    <field x="14"/>
  </rowFields>
  <rowItems count="3">
    <i>
      <x/>
    </i>
    <i>
      <x v="1"/>
    </i>
    <i t="grand">
      <x/>
    </i>
  </rowItems>
  <colItems count="1">
    <i/>
  </colItems>
  <dataFields count="1">
    <dataField name="Count of Transaction_ID" fld="0" subtotal="count" baseField="0"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4" count="1" selected="0">
            <x v="0"/>
          </reference>
        </references>
      </pivotArea>
    </chartFormat>
    <chartFormat chart="1" format="3">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4" count="1" selected="0">
            <x v="0"/>
          </reference>
        </references>
      </pivotArea>
    </chartFormat>
    <chartFormat chart="2" format="6">
      <pivotArea type="data" outline="0" fieldPosition="0">
        <references count="2">
          <reference field="4294967294" count="1" selected="0">
            <x v="0"/>
          </reference>
          <reference field="14" count="1" selected="0">
            <x v="1"/>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190476E-F01D-40DF-A320-BE6213318E6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Region" colHeaderCaption="Real Estate Company">
  <location ref="I74:O82" firstHeaderRow="1" firstDataRow="2" firstDataCol="1"/>
  <pivotFields count="32">
    <pivotField showAll="0"/>
    <pivotField showAll="0"/>
    <pivotField showAll="0"/>
    <pivotField showAll="0"/>
    <pivotField showAll="0"/>
    <pivotField showAll="0"/>
    <pivotField numFmtId="164" showAll="0"/>
    <pivotField numFmtId="164" showAll="0"/>
    <pivotField showAll="0"/>
    <pivotField axis="axisRow" showAll="0">
      <items count="7">
        <item x="2"/>
        <item x="0"/>
        <item x="4"/>
        <item x="1"/>
        <item x="3"/>
        <item x="5"/>
        <item t="default"/>
      </items>
    </pivotField>
    <pivotField showAll="0"/>
    <pivotField showAll="0"/>
    <pivotField axis="axisCol" showAll="0">
      <items count="6">
        <item x="1"/>
        <item x="0"/>
        <item x="3"/>
        <item x="2"/>
        <item x="4"/>
        <item t="default"/>
      </items>
    </pivotField>
    <pivotField showAll="0"/>
    <pivotField showAll="0"/>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dataField="1" numFmtId="164" showAll="0"/>
    <pivotField showAll="0"/>
    <pivotField showAll="0"/>
    <pivotField showAll="0"/>
    <pivotField showAll="0"/>
  </pivotFields>
  <rowFields count="1">
    <field x="9"/>
  </rowFields>
  <rowItems count="7">
    <i>
      <x/>
    </i>
    <i>
      <x v="1"/>
    </i>
    <i>
      <x v="2"/>
    </i>
    <i>
      <x v="3"/>
    </i>
    <i>
      <x v="4"/>
    </i>
    <i>
      <x v="5"/>
    </i>
    <i t="grand">
      <x/>
    </i>
  </rowItems>
  <colFields count="1">
    <field x="12"/>
  </colFields>
  <colItems count="6">
    <i>
      <x/>
    </i>
    <i>
      <x v="1"/>
    </i>
    <i>
      <x v="2"/>
    </i>
    <i>
      <x v="3"/>
    </i>
    <i>
      <x v="4"/>
    </i>
    <i t="grand">
      <x/>
    </i>
  </colItems>
  <dataFields count="1">
    <dataField name="Sum of Revenue" fld="27" baseField="0" baseItem="0" numFmtId="164"/>
  </dataFields>
  <chartFormats count="17">
    <chartFormat chart="20"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37" format="50" series="1">
      <pivotArea type="data" outline="0" fieldPosition="0">
        <references count="2">
          <reference field="4294967294" count="1" selected="0">
            <x v="0"/>
          </reference>
          <reference field="12" count="1" selected="0">
            <x v="0"/>
          </reference>
        </references>
      </pivotArea>
    </chartFormat>
    <chartFormat chart="37" format="51" series="1">
      <pivotArea type="data" outline="0" fieldPosition="0">
        <references count="2">
          <reference field="4294967294" count="1" selected="0">
            <x v="0"/>
          </reference>
          <reference field="12" count="1" selected="0">
            <x v="1"/>
          </reference>
        </references>
      </pivotArea>
    </chartFormat>
    <chartFormat chart="37" format="52" series="1">
      <pivotArea type="data" outline="0" fieldPosition="0">
        <references count="2">
          <reference field="4294967294" count="1" selected="0">
            <x v="0"/>
          </reference>
          <reference field="12" count="1" selected="0">
            <x v="2"/>
          </reference>
        </references>
      </pivotArea>
    </chartFormat>
    <chartFormat chart="37" format="53" series="1">
      <pivotArea type="data" outline="0" fieldPosition="0">
        <references count="2">
          <reference field="4294967294" count="1" selected="0">
            <x v="0"/>
          </reference>
          <reference field="12" count="1" selected="0">
            <x v="3"/>
          </reference>
        </references>
      </pivotArea>
    </chartFormat>
    <chartFormat chart="37" format="54" series="1">
      <pivotArea type="data" outline="0" fieldPosition="0">
        <references count="2">
          <reference field="4294967294" count="1" selected="0">
            <x v="0"/>
          </reference>
          <reference field="12" count="1" selected="0">
            <x v="4"/>
          </reference>
        </references>
      </pivotArea>
    </chartFormat>
    <chartFormat chart="38" format="55" series="1">
      <pivotArea type="data" outline="0" fieldPosition="0">
        <references count="2">
          <reference field="4294967294" count="1" selected="0">
            <x v="0"/>
          </reference>
          <reference field="12" count="1" selected="0">
            <x v="0"/>
          </reference>
        </references>
      </pivotArea>
    </chartFormat>
    <chartFormat chart="38" format="56" series="1">
      <pivotArea type="data" outline="0" fieldPosition="0">
        <references count="2">
          <reference field="4294967294" count="1" selected="0">
            <x v="0"/>
          </reference>
          <reference field="12" count="1" selected="0">
            <x v="1"/>
          </reference>
        </references>
      </pivotArea>
    </chartFormat>
    <chartFormat chart="38" format="57" series="1">
      <pivotArea type="data" outline="0" fieldPosition="0">
        <references count="2">
          <reference field="4294967294" count="1" selected="0">
            <x v="0"/>
          </reference>
          <reference field="12" count="1" selected="0">
            <x v="2"/>
          </reference>
        </references>
      </pivotArea>
    </chartFormat>
    <chartFormat chart="38" format="58" series="1">
      <pivotArea type="data" outline="0" fieldPosition="0">
        <references count="2">
          <reference field="4294967294" count="1" selected="0">
            <x v="0"/>
          </reference>
          <reference field="12" count="1" selected="0">
            <x v="3"/>
          </reference>
        </references>
      </pivotArea>
    </chartFormat>
    <chartFormat chart="38" format="59" series="1">
      <pivotArea type="data" outline="0" fieldPosition="0">
        <references count="2">
          <reference field="4294967294" count="1" selected="0">
            <x v="0"/>
          </reference>
          <reference field="12" count="1" selected="0">
            <x v="4"/>
          </reference>
        </references>
      </pivotArea>
    </chartFormat>
    <chartFormat chart="39" format="60" series="1">
      <pivotArea type="data" outline="0" fieldPosition="0">
        <references count="2">
          <reference field="4294967294" count="1" selected="0">
            <x v="0"/>
          </reference>
          <reference field="12" count="1" selected="0">
            <x v="0"/>
          </reference>
        </references>
      </pivotArea>
    </chartFormat>
    <chartFormat chart="39" format="61" series="1">
      <pivotArea type="data" outline="0" fieldPosition="0">
        <references count="2">
          <reference field="4294967294" count="1" selected="0">
            <x v="0"/>
          </reference>
          <reference field="12" count="1" selected="0">
            <x v="1"/>
          </reference>
        </references>
      </pivotArea>
    </chartFormat>
    <chartFormat chart="39" format="62" series="1">
      <pivotArea type="data" outline="0" fieldPosition="0">
        <references count="2">
          <reference field="4294967294" count="1" selected="0">
            <x v="0"/>
          </reference>
          <reference field="12" count="1" selected="0">
            <x v="2"/>
          </reference>
        </references>
      </pivotArea>
    </chartFormat>
    <chartFormat chart="39" format="63" series="1">
      <pivotArea type="data" outline="0" fieldPosition="0">
        <references count="2">
          <reference field="4294967294" count="1" selected="0">
            <x v="0"/>
          </reference>
          <reference field="12" count="1" selected="0">
            <x v="3"/>
          </reference>
        </references>
      </pivotArea>
    </chartFormat>
    <chartFormat chart="39" format="64" series="1">
      <pivotArea type="data" outline="0" fieldPosition="0">
        <references count="2">
          <reference field="4294967294" count="1" selected="0">
            <x v="0"/>
          </reference>
          <reference field="12" count="1" selected="0">
            <x v="4"/>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90BCDAD-C98C-4C33-92B1-1412CC075A8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type">
  <location ref="C200:E204" firstHeaderRow="0" firstDataRow="1" firstDataCol="1"/>
  <pivotFields count="32">
    <pivotField dataField="1" showAll="0"/>
    <pivotField showAll="0"/>
    <pivotField showAll="0"/>
    <pivotField showAll="0"/>
    <pivotField showAll="0"/>
    <pivotField dataField="1" showAll="0"/>
    <pivotField numFmtId="164" showAll="0"/>
    <pivotField numFmtId="164" showAll="0"/>
    <pivotField showAll="0"/>
    <pivotField showAll="0"/>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axis="axisRow" showAll="0">
      <items count="4">
        <item x="0"/>
        <item x="1"/>
        <item x="2"/>
        <item t="default"/>
      </items>
    </pivotField>
    <pivotField showAll="0"/>
    <pivotField showAll="0"/>
    <pivotField showAll="0"/>
    <pivotField numFmtId="164" showAll="0"/>
    <pivotField showAll="0"/>
    <pivotField showAll="0"/>
    <pivotField showAll="0"/>
    <pivotField showAll="0"/>
  </pivotFields>
  <rowFields count="1">
    <field x="23"/>
  </rowFields>
  <rowItems count="4">
    <i>
      <x/>
    </i>
    <i>
      <x v="1"/>
    </i>
    <i>
      <x v="2"/>
    </i>
    <i t="grand">
      <x/>
    </i>
  </rowItems>
  <colFields count="1">
    <field x="-2"/>
  </colFields>
  <colItems count="2">
    <i>
      <x/>
    </i>
    <i i="1">
      <x v="1"/>
    </i>
  </colItems>
  <dataFields count="2">
    <dataField name="Sum of Land_Size_SQM" fld="5" baseField="23" baseItem="0"/>
    <dataField name="Count of Transaction_ID" fld="0" subtotal="count" baseField="0" baseItem="0"/>
  </dataFields>
  <formats count="4">
    <format dxfId="21">
      <pivotArea outline="0" collapsedLevelsAreSubtotals="1" fieldPosition="0"/>
    </format>
    <format dxfId="20">
      <pivotArea collapsedLevelsAreSubtotals="1" fieldPosition="0">
        <references count="1">
          <reference field="23" count="1">
            <x v="1"/>
          </reference>
        </references>
      </pivotArea>
    </format>
    <format dxfId="19">
      <pivotArea collapsedLevelsAreSubtotals="1" fieldPosition="0">
        <references count="2">
          <reference field="4294967294" count="1" selected="0">
            <x v="1"/>
          </reference>
          <reference field="23" count="1">
            <x v="1"/>
          </reference>
        </references>
      </pivotArea>
    </format>
    <format dxfId="18">
      <pivotArea collapsedLevelsAreSubtotals="1" fieldPosition="0">
        <references count="2">
          <reference field="4294967294" count="1" selected="0">
            <x v="1"/>
          </reference>
          <reference field="23" count="1">
            <x v="2"/>
          </reference>
        </references>
      </pivotArea>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E780728-204E-49F3-8504-B2714CF70C51}"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perty type">
  <location ref="C164:D168" firstHeaderRow="1" firstDataRow="1" firstDataCol="1"/>
  <pivotFields count="32">
    <pivotField showAll="0"/>
    <pivotField showAll="0"/>
    <pivotField showAll="0"/>
    <pivotField showAll="0"/>
    <pivotField axis="axisRow" showAll="0">
      <items count="4">
        <item x="2"/>
        <item x="1"/>
        <item x="0"/>
        <item t="default"/>
      </items>
    </pivotField>
    <pivotField showAll="0"/>
    <pivotField dataField="1" numFmtId="164" showAll="0"/>
    <pivotField numFmtId="164" showAll="0"/>
    <pivotField showAll="0"/>
    <pivotField showAll="0"/>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s>
  <rowFields count="1">
    <field x="4"/>
  </rowFields>
  <rowItems count="4">
    <i>
      <x/>
    </i>
    <i>
      <x v="1"/>
    </i>
    <i>
      <x v="2"/>
    </i>
    <i t="grand">
      <x/>
    </i>
  </rowItems>
  <colItems count="1">
    <i/>
  </colItems>
  <dataFields count="1">
    <dataField name="Average of Price_per_SQM2" fld="6" subtotal="average" baseField="4" baseItem="0" numFmtId="164"/>
  </dataFields>
  <formats count="1">
    <format dxfId="22">
      <pivotArea collapsedLevelsAreSubtotals="1" fieldPosition="0">
        <references count="1">
          <reference field="4" count="1">
            <x v="1"/>
          </reference>
        </references>
      </pivotArea>
    </format>
  </formats>
  <chartFormats count="3">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4" count="1" selected="0">
            <x v="0"/>
          </reference>
        </references>
      </pivotArea>
    </chartFormat>
    <chartFormat chart="7" format="16">
      <pivotArea type="data" outline="0" fieldPosition="0">
        <references count="2">
          <reference field="4294967294" count="1" selected="0">
            <x v="0"/>
          </reference>
          <reference field="4" count="1" selected="0">
            <x v="1"/>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4CCC30D-3DF0-4B58-92E6-F6A3666DBCF5}"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F98:H105" firstHeaderRow="0" firstDataRow="1" firstDataCol="1"/>
  <pivotFields count="32">
    <pivotField showAll="0"/>
    <pivotField showAll="0"/>
    <pivotField showAll="0"/>
    <pivotField showAll="0"/>
    <pivotField showAll="0"/>
    <pivotField showAll="0"/>
    <pivotField dataField="1" numFmtId="164" showAll="0"/>
    <pivotField numFmtId="164" showAll="0"/>
    <pivotField showAll="0"/>
    <pivotField axis="axisRow" showAll="0">
      <items count="7">
        <item x="2"/>
        <item x="0"/>
        <item x="4"/>
        <item x="1"/>
        <item x="3"/>
        <item x="5"/>
        <item t="default"/>
      </items>
    </pivotField>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s>
  <rowFields count="1">
    <field x="9"/>
  </rowFields>
  <rowItems count="7">
    <i>
      <x/>
    </i>
    <i>
      <x v="1"/>
    </i>
    <i>
      <x v="2"/>
    </i>
    <i>
      <x v="3"/>
    </i>
    <i>
      <x v="4"/>
    </i>
    <i>
      <x v="5"/>
    </i>
    <i t="grand">
      <x/>
    </i>
  </rowItems>
  <colFields count="1">
    <field x="-2"/>
  </colFields>
  <colItems count="2">
    <i>
      <x/>
    </i>
    <i i="1">
      <x v="1"/>
    </i>
  </colItems>
  <dataFields count="2">
    <dataField name="Average of Price_per_SQM" fld="6" subtotal="average" baseField="9" baseItem="0" numFmtId="164"/>
    <dataField name="Sum of Price_per_SQM" fld="6" baseField="0" baseItem="0" numFmtId="164"/>
  </dataFields>
  <formats count="2">
    <format dxfId="24">
      <pivotArea collapsedLevelsAreSubtotals="1" fieldPosition="0">
        <references count="2">
          <reference field="4294967294" count="1" selected="0">
            <x v="0"/>
          </reference>
          <reference field="9" count="1">
            <x v="4"/>
          </reference>
        </references>
      </pivotArea>
    </format>
    <format dxfId="23">
      <pivotArea collapsedLevelsAreSubtotals="1" fieldPosition="0">
        <references count="2">
          <reference field="4294967294" count="1" selected="0">
            <x v="1"/>
          </reference>
          <reference field="9" count="1">
            <x v="1"/>
          </reference>
        </references>
      </pivotArea>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AB6E60A-51F4-4737-A812-B8565C2339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egion">
  <location ref="C26:E33" firstHeaderRow="0" firstDataRow="1" firstDataCol="1"/>
  <pivotFields count="32">
    <pivotField showAll="0"/>
    <pivotField showAll="0"/>
    <pivotField showAll="0"/>
    <pivotField showAll="0"/>
    <pivotField showAll="0"/>
    <pivotField showAll="0"/>
    <pivotField numFmtId="164" showAll="0"/>
    <pivotField numFmtId="164" showAll="0"/>
    <pivotField showAll="0"/>
    <pivotField axis="axisRow" showAll="0">
      <items count="7">
        <item x="2"/>
        <item x="0"/>
        <item x="4"/>
        <item x="1"/>
        <item x="3"/>
        <item x="5"/>
        <item t="default"/>
      </items>
    </pivotField>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dataField="1" numFmtId="164" showAll="0"/>
    <pivotField showAll="0"/>
    <pivotField showAll="0"/>
    <pivotField showAll="0"/>
    <pivotField showAll="0"/>
  </pivotFields>
  <rowFields count="1">
    <field x="9"/>
  </rowFields>
  <rowItems count="7">
    <i>
      <x/>
    </i>
    <i>
      <x v="1"/>
    </i>
    <i>
      <x v="2"/>
    </i>
    <i>
      <x v="3"/>
    </i>
    <i>
      <x v="4"/>
    </i>
    <i>
      <x v="5"/>
    </i>
    <i t="grand">
      <x/>
    </i>
  </rowItems>
  <colFields count="1">
    <field x="-2"/>
  </colFields>
  <colItems count="2">
    <i>
      <x/>
    </i>
    <i i="1">
      <x v="1"/>
    </i>
  </colItems>
  <dataFields count="2">
    <dataField name="Sum of Revenue" fld="27" baseField="0" baseItem="0" numFmtId="164"/>
    <dataField name="Average of Revenue2" fld="27" subtotal="average" baseField="9" baseItem="0" numFmtId="164"/>
  </dataFields>
  <formats count="2">
    <format dxfId="26">
      <pivotArea collapsedLevelsAreSubtotals="1" fieldPosition="0">
        <references count="2">
          <reference field="4294967294" count="1" selected="0">
            <x v="0"/>
          </reference>
          <reference field="9" count="1">
            <x v="1"/>
          </reference>
        </references>
      </pivotArea>
    </format>
    <format dxfId="25">
      <pivotArea collapsedLevelsAreSubtotals="1" fieldPosition="0">
        <references count="2">
          <reference field="4294967294" count="1" selected="0">
            <x v="1"/>
          </reference>
          <reference field="9" count="1">
            <x v="4"/>
          </reference>
        </references>
      </pivotArea>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0F4A644-7E06-4FE8-9EF2-9138BF949B7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al Estate Company">
  <location ref="G26:H32" firstHeaderRow="1" firstDataRow="1" firstDataCol="1"/>
  <pivotFields count="32">
    <pivotField showAll="0"/>
    <pivotField showAll="0"/>
    <pivotField showAll="0"/>
    <pivotField showAll="0"/>
    <pivotField showAll="0">
      <items count="4">
        <item x="2"/>
        <item x="1"/>
        <item x="0"/>
        <item t="default"/>
      </items>
    </pivotField>
    <pivotField showAll="0"/>
    <pivotField numFmtId="164" showAll="0"/>
    <pivotField numFmtId="164" showAll="0"/>
    <pivotField showAll="0"/>
    <pivotField showAll="0">
      <items count="7">
        <item x="2"/>
        <item x="0"/>
        <item x="4"/>
        <item x="1"/>
        <item x="3"/>
        <item x="5"/>
        <item t="default"/>
      </items>
    </pivotField>
    <pivotField showAll="0"/>
    <pivotField showAll="0"/>
    <pivotField axis="axisRow" showAll="0">
      <items count="6">
        <item x="1"/>
        <item x="0"/>
        <item x="3"/>
        <item x="2"/>
        <item x="4"/>
        <item t="default"/>
      </items>
    </pivotField>
    <pivotField showAll="0"/>
    <pivotField showAll="0">
      <items count="3">
        <item x="1"/>
        <item x="0"/>
        <item t="default"/>
      </items>
    </pivotField>
    <pivotField numFmtId="164" showAll="0"/>
    <pivotField showAll="0"/>
    <pivotField numFmtId="2" showAll="0"/>
    <pivotField numFmtId="10" showAll="0"/>
    <pivotField showAll="0"/>
    <pivotField showAll="0"/>
    <pivotField showAll="0"/>
    <pivotField showAll="0"/>
    <pivotField showAll="0">
      <items count="4">
        <item x="0"/>
        <item x="1"/>
        <item x="2"/>
        <item t="default"/>
      </items>
    </pivotField>
    <pivotField showAll="0"/>
    <pivotField showAll="0"/>
    <pivotField showAll="0"/>
    <pivotField dataField="1" numFmtId="164" showAll="0"/>
    <pivotField showAll="0"/>
    <pivotField showAll="0"/>
    <pivotField showAll="0"/>
    <pivotField showAll="0"/>
  </pivotFields>
  <rowFields count="1">
    <field x="12"/>
  </rowFields>
  <rowItems count="6">
    <i>
      <x/>
    </i>
    <i>
      <x v="1"/>
    </i>
    <i>
      <x v="2"/>
    </i>
    <i>
      <x v="3"/>
    </i>
    <i>
      <x v="4"/>
    </i>
    <i t="grand">
      <x/>
    </i>
  </rowItems>
  <colItems count="1">
    <i/>
  </colItems>
  <dataFields count="1">
    <dataField name="Sum of Revenue" fld="27" baseField="0" baseItem="0" numFmtId="164"/>
  </dataFields>
  <formats count="1">
    <format dxfId="27">
      <pivotArea collapsedLevelsAreSubtotals="1" fieldPosition="0">
        <references count="1">
          <reference field="12" count="1">
            <x v="2"/>
          </reference>
        </references>
      </pivotArea>
    </format>
  </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4"/>
          </reference>
        </references>
      </pivotArea>
    </chartFormat>
    <chartFormat chart="2" format="4">
      <pivotArea type="data" outline="0" fieldPosition="0">
        <references count="2">
          <reference field="4294967294" count="1" selected="0">
            <x v="0"/>
          </reference>
          <reference field="12" count="1" selected="0">
            <x v="3"/>
          </reference>
        </references>
      </pivotArea>
    </chartFormat>
    <chartFormat chart="2" format="5">
      <pivotArea type="data" outline="0" fieldPosition="0">
        <references count="2">
          <reference field="4294967294" count="1" selected="0">
            <x v="0"/>
          </reference>
          <reference field="12" count="1" selected="0">
            <x v="2"/>
          </reference>
        </references>
      </pivotArea>
    </chartFormat>
    <chartFormat chart="2" format="6">
      <pivotArea type="data" outline="0" fieldPosition="0">
        <references count="2">
          <reference field="4294967294" count="1" selected="0">
            <x v="0"/>
          </reference>
          <reference field="12" count="1" selected="0">
            <x v="1"/>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410A543-A720-4F1F-B2B9-FF6C79B895DE}"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rketing Channel">
  <location ref="F144:G149" firstHeaderRow="1" firstDataRow="1" firstDataCol="1"/>
  <pivotFields count="32">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axis="axisRow" showAll="0">
      <items count="5">
        <item x="2"/>
        <item x="1"/>
        <item x="0"/>
        <item x="3"/>
        <item t="default"/>
      </items>
    </pivotField>
    <pivotField showAll="0"/>
    <pivotField showAll="0"/>
    <pivotField showAll="0"/>
    <pivotField showAll="0"/>
    <pivotField dataField="1" numFmtId="164" showAll="0"/>
    <pivotField showAll="0"/>
    <pivotField showAll="0"/>
    <pivotField showAll="0"/>
    <pivotField showAll="0"/>
  </pivotFields>
  <rowFields count="1">
    <field x="22"/>
  </rowFields>
  <rowItems count="5">
    <i>
      <x/>
    </i>
    <i>
      <x v="1"/>
    </i>
    <i>
      <x v="2"/>
    </i>
    <i>
      <x v="3"/>
    </i>
    <i t="grand">
      <x/>
    </i>
  </rowItems>
  <colItems count="1">
    <i/>
  </colItems>
  <dataFields count="1">
    <dataField name="Sum of Revenue" fld="27" baseField="0" baseItem="0" numFmtId="164"/>
  </dataFields>
  <formats count="2">
    <format dxfId="29">
      <pivotArea outline="0" collapsedLevelsAreSubtotals="1" fieldPosition="0"/>
    </format>
    <format dxfId="28">
      <pivotArea collapsedLevelsAreSubtotals="1" fieldPosition="0">
        <references count="1">
          <reference field="22" count="1">
            <x v="3"/>
          </reference>
        </references>
      </pivotArea>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622CC4E-3B0A-4ED1-B61A-E67C74685231}"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price Classification">
  <location ref="C157:D161" firstHeaderRow="1" firstDataRow="1" firstDataCol="1"/>
  <pivotFields count="32">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dataField="1" numFmtId="164" showAll="0"/>
    <pivotField axis="axisRow" showAll="0">
      <items count="4">
        <item x="2"/>
        <item x="1"/>
        <item x="0"/>
        <item t="default"/>
      </items>
    </pivotField>
    <pivotField showAll="0"/>
    <pivotField showAll="0">
      <items count="4">
        <item x="2"/>
        <item x="1"/>
        <item x="0"/>
        <item t="default"/>
      </items>
    </pivotField>
    <pivotField showAll="0"/>
  </pivotFields>
  <rowFields count="1">
    <field x="28"/>
  </rowFields>
  <rowItems count="4">
    <i>
      <x/>
    </i>
    <i>
      <x v="1"/>
    </i>
    <i>
      <x v="2"/>
    </i>
    <i t="grand">
      <x/>
    </i>
  </rowItems>
  <colItems count="1">
    <i/>
  </colItems>
  <dataFields count="1">
    <dataField name="Sum of Revenue" fld="27" baseField="0" baseItem="0" numFmtId="164"/>
  </dataFields>
  <formats count="1">
    <format dxfId="30">
      <pivotArea outline="0" collapsedLevelsAreSubtotals="1" fieldPosition="0"/>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9F3D024-5D20-4C4B-851F-EFE149761AEC}"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C123:D136" firstHeaderRow="1" firstDataRow="1" firstDataCol="1"/>
  <pivotFields count="32">
    <pivotField dataField="1"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numFmtId="164" showAll="0"/>
    <pivotField showAll="0"/>
    <pivotField numFmtId="2" showAll="0"/>
    <pivotField numFmtId="10" showAll="0"/>
    <pivotField showAll="0"/>
    <pivotField axis="axisRow" showAll="0">
      <items count="13">
        <item x="7"/>
        <item x="0"/>
        <item x="6"/>
        <item x="9"/>
        <item x="11"/>
        <item x="1"/>
        <item x="10"/>
        <item x="8"/>
        <item x="5"/>
        <item x="4"/>
        <item x="2"/>
        <item x="3"/>
        <item t="default"/>
      </items>
    </pivotField>
    <pivotField showAll="0"/>
    <pivotField showAll="0"/>
    <pivotField showAll="0"/>
    <pivotField showAll="0"/>
    <pivotField showAll="0"/>
    <pivotField showAll="0"/>
    <pivotField numFmtId="164" showAll="0"/>
    <pivotField showAll="0"/>
    <pivotField showAll="0"/>
    <pivotField showAll="0"/>
    <pivotField showAll="0"/>
  </pivotFields>
  <rowFields count="1">
    <field x="20"/>
  </rowFields>
  <rowItems count="13">
    <i>
      <x/>
    </i>
    <i>
      <x v="1"/>
    </i>
    <i>
      <x v="2"/>
    </i>
    <i>
      <x v="3"/>
    </i>
    <i>
      <x v="4"/>
    </i>
    <i>
      <x v="5"/>
    </i>
    <i>
      <x v="6"/>
    </i>
    <i>
      <x v="7"/>
    </i>
    <i>
      <x v="8"/>
    </i>
    <i>
      <x v="9"/>
    </i>
    <i>
      <x v="10"/>
    </i>
    <i>
      <x v="11"/>
    </i>
    <i t="grand">
      <x/>
    </i>
  </rowItems>
  <colItems count="1">
    <i/>
  </colItems>
  <dataFields count="1">
    <dataField name="Count of Transaction_ID" fld="0" subtotal="count" baseField="0" baseItem="0" numFmtId="1"/>
  </dataFields>
  <formats count="7">
    <format dxfId="37">
      <pivotArea outline="0" collapsedLevelsAreSubtotals="1" fieldPosition="0"/>
    </format>
    <format dxfId="36">
      <pivotArea collapsedLevelsAreSubtotals="1" fieldPosition="0">
        <references count="1">
          <reference field="20" count="1">
            <x v="0"/>
          </reference>
        </references>
      </pivotArea>
    </format>
    <format dxfId="35">
      <pivotArea collapsedLevelsAreSubtotals="1" fieldPosition="0">
        <references count="1">
          <reference field="20" count="1">
            <x v="0"/>
          </reference>
        </references>
      </pivotArea>
    </format>
    <format dxfId="34">
      <pivotArea collapsedLevelsAreSubtotals="1" fieldPosition="0">
        <references count="1">
          <reference field="20" count="1">
            <x v="0"/>
          </reference>
        </references>
      </pivotArea>
    </format>
    <format dxfId="33">
      <pivotArea collapsedLevelsAreSubtotals="1" fieldPosition="0">
        <references count="1">
          <reference field="20" count="1">
            <x v="0"/>
          </reference>
        </references>
      </pivotArea>
    </format>
    <format dxfId="32">
      <pivotArea collapsedLevelsAreSubtotals="1" fieldPosition="0">
        <references count="1">
          <reference field="20" count="1">
            <x v="0"/>
          </reference>
        </references>
      </pivotArea>
    </format>
    <format dxfId="31">
      <pivotArea collapsedLevelsAreSubtotals="1" fieldPosition="0">
        <references count="1">
          <reference field="20" count="1">
            <x v="0"/>
          </reference>
        </references>
      </pivotArea>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3421EF6-9B19-4677-9FB9-CB00A35C95EF}"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Land size" colHeaderCaption="Real Estate Company">
  <location ref="F157:G161" firstHeaderRow="1" firstDataRow="1" firstDataCol="1"/>
  <pivotFields count="32">
    <pivotField showAll="0"/>
    <pivotField showAll="0"/>
    <pivotField showAll="0"/>
    <pivotField showAll="0"/>
    <pivotField showAll="0"/>
    <pivotField axis="axisRow" showAll="0">
      <items count="6">
        <item x="0"/>
        <item n="SMALL" x="1"/>
        <item n="MEDIUM" x="2"/>
        <item n="LARGE" x="3"/>
        <item x="4"/>
        <item t="default"/>
      </items>
    </pivotField>
    <pivotField numFmtId="164" showAll="0"/>
    <pivotField numFmtId="164" showAll="0"/>
    <pivotField showAll="0"/>
    <pivotField showAll="0"/>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dataField="1" numFmtId="164" showAll="0"/>
    <pivotField showAll="0"/>
    <pivotField showAll="0"/>
    <pivotField showAll="0"/>
    <pivotField showAll="0"/>
  </pivotFields>
  <rowFields count="1">
    <field x="5"/>
  </rowFields>
  <rowItems count="4">
    <i>
      <x v="1"/>
    </i>
    <i>
      <x v="2"/>
    </i>
    <i>
      <x v="3"/>
    </i>
    <i t="grand">
      <x/>
    </i>
  </rowItems>
  <colItems count="1">
    <i/>
  </colItems>
  <dataFields count="1">
    <dataField name="Sum of Revenue" fld="27" baseField="0" baseItem="0" numFmtId="164"/>
  </dataFields>
  <formats count="1">
    <format dxfId="38">
      <pivotArea collapsedLevelsAreSubtotals="1" fieldPosition="0">
        <references count="1">
          <reference field="5" count="1">
            <x v="3"/>
          </reference>
        </references>
      </pivotArea>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267F690-EC42-49CA-AF5F-0BD662BBD02E}" name="PivotTable3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types">
  <location ref="F13:G16" firstHeaderRow="1" firstDataRow="1" firstDataCol="1"/>
  <pivotFields count="32">
    <pivotField dataField="1"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axis="axisRow" showAll="0">
      <items count="3">
        <item x="1"/>
        <item x="0"/>
        <item t="default"/>
      </items>
    </pivotField>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s>
  <rowFields count="1">
    <field x="14"/>
  </rowFields>
  <rowItems count="3">
    <i>
      <x/>
    </i>
    <i>
      <x v="1"/>
    </i>
    <i t="grand">
      <x/>
    </i>
  </rowItems>
  <colItems count="1">
    <i/>
  </colItems>
  <dataFields count="1">
    <dataField name="Count of Transaction_ID" fld="0" subtotal="count" baseField="0" baseItem="0"/>
  </dataField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B6A4AAB-93ED-49E2-A395-E8C91699D96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ayment type">
  <location ref="J26:K29" firstHeaderRow="1" firstDataRow="1" firstDataCol="1"/>
  <pivotFields count="32">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axis="axisRow" showAll="0">
      <items count="3">
        <item x="1"/>
        <item x="0"/>
        <item t="default"/>
      </items>
    </pivotField>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dataField="1" numFmtId="164" showAll="0"/>
    <pivotField showAll="0"/>
    <pivotField showAll="0"/>
    <pivotField showAll="0"/>
    <pivotField showAll="0"/>
  </pivotFields>
  <rowFields count="1">
    <field x="14"/>
  </rowFields>
  <rowItems count="3">
    <i>
      <x/>
    </i>
    <i>
      <x v="1"/>
    </i>
    <i t="grand">
      <x/>
    </i>
  </rowItems>
  <colItems count="1">
    <i/>
  </colItems>
  <dataFields count="1">
    <dataField name="Sum of Revenue" fld="27" baseField="0" baseItem="0" numFmtId="164"/>
  </dataField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8F826760-CD97-4F33-AC1D-78C43C509651}"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M26:N33" firstHeaderRow="1" firstDataRow="1" firstDataCol="1"/>
  <pivotFields count="32">
    <pivotField showAll="0"/>
    <pivotField showAll="0"/>
    <pivotField showAll="0"/>
    <pivotField showAll="0"/>
    <pivotField showAll="0"/>
    <pivotField showAll="0"/>
    <pivotField numFmtId="164" showAll="0"/>
    <pivotField numFmtId="164" showAll="0"/>
    <pivotField showAll="0"/>
    <pivotField axis="axisRow" showAll="0">
      <items count="7">
        <item x="2"/>
        <item x="0"/>
        <item x="4"/>
        <item x="1"/>
        <item x="3"/>
        <item x="5"/>
        <item t="default"/>
      </items>
    </pivotField>
    <pivotField showAll="0"/>
    <pivotField showAll="0"/>
    <pivotField showAll="0"/>
    <pivotField showAll="0"/>
    <pivotField showAll="0"/>
    <pivotField numFmtId="164" showAll="0"/>
    <pivotField dataField="1" showAll="0"/>
    <pivotField numFmtId="2" showAll="0"/>
    <pivotField numFmtId="10"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s>
  <rowFields count="1">
    <field x="9"/>
  </rowFields>
  <rowItems count="7">
    <i>
      <x/>
    </i>
    <i>
      <x v="1"/>
    </i>
    <i>
      <x v="2"/>
    </i>
    <i>
      <x v="3"/>
    </i>
    <i>
      <x v="4"/>
    </i>
    <i>
      <x v="5"/>
    </i>
    <i t="grand">
      <x/>
    </i>
  </rowItems>
  <colItems count="1">
    <i/>
  </colItems>
  <dataFields count="1">
    <dataField name="Sum of Installment_Duration" fld="16" baseField="9" baseItem="2"/>
  </dataField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FD9187F2-1FB1-4723-BB05-EA4478234A07}"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Payment type" colHeaderCaption="Discount &gt;5%">
  <location ref="F176:I180" firstHeaderRow="1" firstDataRow="2" firstDataCol="1"/>
  <pivotFields count="32">
    <pivotField dataField="1"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axis="axisRow" showAll="0">
      <items count="3">
        <item x="1"/>
        <item x="0"/>
        <item t="default"/>
      </items>
    </pivotField>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numFmtId="164" showAll="0"/>
    <pivotField showAll="0"/>
    <pivotField axis="axisCol" showAll="0">
      <items count="3">
        <item x="0"/>
        <item x="1"/>
        <item t="default"/>
      </items>
    </pivotField>
    <pivotField showAll="0"/>
    <pivotField showAll="0"/>
  </pivotFields>
  <rowFields count="1">
    <field x="14"/>
  </rowFields>
  <rowItems count="3">
    <i>
      <x/>
    </i>
    <i>
      <x v="1"/>
    </i>
    <i t="grand">
      <x/>
    </i>
  </rowItems>
  <colFields count="1">
    <field x="29"/>
  </colFields>
  <colItems count="3">
    <i>
      <x/>
    </i>
    <i>
      <x v="1"/>
    </i>
    <i t="grand">
      <x/>
    </i>
  </colItems>
  <dataFields count="1">
    <dataField name="Count of Transaction_ID" fld="0" subtotal="count" baseField="0" baseItem="0"/>
  </dataField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05124FC-7FA5-4BAB-A368-60FAAA874A76}" name="PivotTable4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gion">
  <location ref="U30:V37" firstHeaderRow="1" firstDataRow="1" firstDataCol="1"/>
  <pivotFields count="32">
    <pivotField showAll="0"/>
    <pivotField showAll="0"/>
    <pivotField showAll="0"/>
    <pivotField showAll="0"/>
    <pivotField showAll="0"/>
    <pivotField showAll="0"/>
    <pivotField numFmtId="164" showAll="0"/>
    <pivotField numFmtId="164" showAll="0"/>
    <pivotField showAll="0"/>
    <pivotField axis="axisRow" showAll="0">
      <items count="7">
        <item x="2"/>
        <item x="0"/>
        <item x="4"/>
        <item x="1"/>
        <item x="3"/>
        <item x="5"/>
        <item t="default"/>
      </items>
    </pivotField>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dataField="1" numFmtId="164" showAll="0"/>
    <pivotField showAll="0"/>
    <pivotField showAll="0"/>
    <pivotField showAll="0"/>
    <pivotField showAll="0"/>
  </pivotFields>
  <rowFields count="1">
    <field x="9"/>
  </rowFields>
  <rowItems count="7">
    <i>
      <x/>
    </i>
    <i>
      <x v="1"/>
    </i>
    <i>
      <x v="2"/>
    </i>
    <i>
      <x v="3"/>
    </i>
    <i>
      <x v="4"/>
    </i>
    <i>
      <x v="5"/>
    </i>
    <i t="grand">
      <x/>
    </i>
  </rowItems>
  <colItems count="1">
    <i/>
  </colItems>
  <dataFields count="1">
    <dataField name="Sum of Revenue" fld="27" baseField="0" baseItem="0" numFmtId="164"/>
  </dataFields>
  <formats count="1">
    <format dxfId="39">
      <pivotArea collapsedLevelsAreSubtotals="1" fieldPosition="0">
        <references count="2">
          <reference field="4294967294" count="1" selected="0">
            <x v="0"/>
          </reference>
          <reference field="9" count="1">
            <x v="1"/>
          </reference>
        </references>
      </pivotArea>
    </format>
  </formats>
  <chartFormats count="7">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0"/>
          </reference>
        </references>
      </pivotArea>
    </chartFormat>
    <chartFormat chart="3" format="4">
      <pivotArea type="data" outline="0" fieldPosition="0">
        <references count="2">
          <reference field="4294967294" count="1" selected="0">
            <x v="0"/>
          </reference>
          <reference field="9" count="1" selected="0">
            <x v="1"/>
          </reference>
        </references>
      </pivotArea>
    </chartFormat>
    <chartFormat chart="3" format="5">
      <pivotArea type="data" outline="0" fieldPosition="0">
        <references count="2">
          <reference field="4294967294" count="1" selected="0">
            <x v="0"/>
          </reference>
          <reference field="9" count="1" selected="0">
            <x v="2"/>
          </reference>
        </references>
      </pivotArea>
    </chartFormat>
    <chartFormat chart="3" format="6">
      <pivotArea type="data" outline="0" fieldPosition="0">
        <references count="2">
          <reference field="4294967294" count="1" selected="0">
            <x v="0"/>
          </reference>
          <reference field="9" count="1" selected="0">
            <x v="3"/>
          </reference>
        </references>
      </pivotArea>
    </chartFormat>
    <chartFormat chart="3" format="7">
      <pivotArea type="data" outline="0" fieldPosition="0">
        <references count="2">
          <reference field="4294967294" count="1" selected="0">
            <x v="0"/>
          </reference>
          <reference field="9" count="1" selected="0">
            <x v="4"/>
          </reference>
        </references>
      </pivotArea>
    </chartFormat>
    <chartFormat chart="3" format="8">
      <pivotArea type="data" outline="0" fieldPosition="0">
        <references count="2">
          <reference field="4294967294" count="1" selected="0">
            <x v="0"/>
          </reference>
          <reference field="9" count="1" selected="0">
            <x v="5"/>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EB5BD979-6EC0-45E5-9BCA-F77EAA3BBF3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Region" colHeaderCaption="Property types">
  <location ref="C74:G82" firstHeaderRow="1" firstDataRow="2" firstDataCol="1"/>
  <pivotFields count="32">
    <pivotField showAll="0"/>
    <pivotField showAll="0"/>
    <pivotField showAll="0"/>
    <pivotField showAll="0"/>
    <pivotField axis="axisCol" showAll="0">
      <items count="4">
        <item x="2"/>
        <item x="1"/>
        <item x="0"/>
        <item t="default"/>
      </items>
    </pivotField>
    <pivotField showAll="0"/>
    <pivotField numFmtId="164" showAll="0"/>
    <pivotField numFmtId="164" showAll="0"/>
    <pivotField showAll="0"/>
    <pivotField axis="axisRow" showAll="0">
      <items count="7">
        <item x="2"/>
        <item x="0"/>
        <item x="4"/>
        <item x="1"/>
        <item x="3"/>
        <item x="5"/>
        <item t="default"/>
      </items>
    </pivotField>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dataField="1" numFmtId="164" showAll="0"/>
    <pivotField showAll="0"/>
    <pivotField showAll="0"/>
    <pivotField showAll="0"/>
    <pivotField showAll="0"/>
  </pivotFields>
  <rowFields count="1">
    <field x="9"/>
  </rowFields>
  <rowItems count="7">
    <i>
      <x/>
    </i>
    <i>
      <x v="1"/>
    </i>
    <i>
      <x v="2"/>
    </i>
    <i>
      <x v="3"/>
    </i>
    <i>
      <x v="4"/>
    </i>
    <i>
      <x v="5"/>
    </i>
    <i t="grand">
      <x/>
    </i>
  </rowItems>
  <colFields count="1">
    <field x="4"/>
  </colFields>
  <colItems count="4">
    <i>
      <x/>
    </i>
    <i>
      <x v="1"/>
    </i>
    <i>
      <x v="2"/>
    </i>
    <i t="grand">
      <x/>
    </i>
  </colItems>
  <dataFields count="1">
    <dataField name="Sum of Revenue" fld="27" baseField="0" baseItem="0" numFmtId="164"/>
  </dataFields>
  <formats count="9">
    <format dxfId="48">
      <pivotArea field="4" grandRow="1" outline="0" collapsedLevelsAreSubtotals="1" axis="axisCol" fieldPosition="0">
        <references count="1">
          <reference field="4" count="1" selected="0">
            <x v="0"/>
          </reference>
        </references>
      </pivotArea>
    </format>
    <format dxfId="47">
      <pivotArea field="4" grandRow="1" outline="0" collapsedLevelsAreSubtotals="1" axis="axisCol" fieldPosition="0">
        <references count="1">
          <reference field="4" count="1" selected="0">
            <x v="0"/>
          </reference>
        </references>
      </pivotArea>
    </format>
    <format dxfId="46">
      <pivotArea collapsedLevelsAreSubtotals="1" fieldPosition="0">
        <references count="2">
          <reference field="4" count="1" selected="0">
            <x v="2"/>
          </reference>
          <reference field="9" count="1">
            <x v="0"/>
          </reference>
        </references>
      </pivotArea>
    </format>
    <format dxfId="45">
      <pivotArea collapsedLevelsAreSubtotals="1" fieldPosition="0">
        <references count="2">
          <reference field="4" count="1" selected="0">
            <x v="2"/>
          </reference>
          <reference field="9" count="1">
            <x v="1"/>
          </reference>
        </references>
      </pivotArea>
    </format>
    <format dxfId="44">
      <pivotArea collapsedLevelsAreSubtotals="1" fieldPosition="0">
        <references count="2">
          <reference field="4" count="1" selected="0">
            <x v="1"/>
          </reference>
          <reference field="9" count="1">
            <x v="2"/>
          </reference>
        </references>
      </pivotArea>
    </format>
    <format dxfId="43">
      <pivotArea collapsedLevelsAreSubtotals="1" fieldPosition="0">
        <references count="2">
          <reference field="4" count="1" selected="0">
            <x v="1"/>
          </reference>
          <reference field="9" count="1">
            <x v="3"/>
          </reference>
        </references>
      </pivotArea>
    </format>
    <format dxfId="42">
      <pivotArea collapsedLevelsAreSubtotals="1" fieldPosition="0">
        <references count="2">
          <reference field="4" count="1" selected="0">
            <x v="0"/>
          </reference>
          <reference field="9" count="1">
            <x v="4"/>
          </reference>
        </references>
      </pivotArea>
    </format>
    <format dxfId="41">
      <pivotArea collapsedLevelsAreSubtotals="1" fieldPosition="0">
        <references count="2">
          <reference field="4" count="1" selected="0">
            <x v="0"/>
          </reference>
          <reference field="9" count="1">
            <x v="5"/>
          </reference>
        </references>
      </pivotArea>
    </format>
    <format dxfId="40">
      <pivotArea field="9" grandCol="1" collapsedLevelsAreSubtotals="1" axis="axisRow" fieldPosition="0">
        <references count="1">
          <reference field="9" count="1">
            <x v="1"/>
          </reference>
        </references>
      </pivotArea>
    </format>
  </formats>
  <chartFormats count="2">
    <chartFormat chart="20"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1B510434-E4C1-4B4E-A8D5-328EDBE20470}"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Land size" colHeaderCaption="Real Estate Company">
  <location ref="C99:D103" firstHeaderRow="1" firstDataRow="1" firstDataCol="1"/>
  <pivotFields count="32">
    <pivotField showAll="0"/>
    <pivotField showAll="0"/>
    <pivotField showAll="0"/>
    <pivotField showAll="0"/>
    <pivotField showAll="0"/>
    <pivotField axis="axisRow" showAll="0">
      <items count="6">
        <item x="0"/>
        <item x="1"/>
        <item x="2"/>
        <item x="3"/>
        <item x="4"/>
        <item t="default"/>
      </items>
    </pivotField>
    <pivotField numFmtId="164" showAll="0"/>
    <pivotField numFmtId="164" showAll="0"/>
    <pivotField showAll="0"/>
    <pivotField showAll="0"/>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dataField="1" numFmtId="164" showAll="0"/>
    <pivotField showAll="0"/>
    <pivotField showAll="0"/>
    <pivotField showAll="0"/>
    <pivotField showAll="0"/>
  </pivotFields>
  <rowFields count="1">
    <field x="5"/>
  </rowFields>
  <rowItems count="4">
    <i>
      <x v="1"/>
    </i>
    <i>
      <x v="2"/>
    </i>
    <i>
      <x v="3"/>
    </i>
    <i t="grand">
      <x/>
    </i>
  </rowItems>
  <colItems count="1">
    <i/>
  </colItems>
  <dataFields count="1">
    <dataField name="Sum of Revenue" fld="27" baseField="0" baseItem="0" numFmtId="164"/>
  </dataFields>
  <formats count="1">
    <format dxfId="49">
      <pivotArea collapsedLevelsAreSubtotals="1" fieldPosition="0">
        <references count="1">
          <reference field="5" count="1">
            <x v="3"/>
          </reference>
        </references>
      </pivotArea>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AA76FE33-1C4A-4EF3-8AA7-3D9ACE8F43E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perty type">
  <location ref="C48:E52" firstHeaderRow="0" firstDataRow="1" firstDataCol="1"/>
  <pivotFields count="32">
    <pivotField showAll="0"/>
    <pivotField showAll="0"/>
    <pivotField showAll="0"/>
    <pivotField showAll="0"/>
    <pivotField axis="axisRow" showAll="0">
      <items count="4">
        <item x="2"/>
        <item x="1"/>
        <item x="0"/>
        <item t="default"/>
      </items>
    </pivotField>
    <pivotField showAll="0"/>
    <pivotField dataField="1" numFmtId="164" showAll="0"/>
    <pivotField numFmtId="164" showAll="0"/>
    <pivotField showAll="0"/>
    <pivotField showAll="0"/>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s>
  <rowFields count="1">
    <field x="4"/>
  </rowFields>
  <rowItems count="4">
    <i>
      <x/>
    </i>
    <i>
      <x v="1"/>
    </i>
    <i>
      <x v="2"/>
    </i>
    <i t="grand">
      <x/>
    </i>
  </rowItems>
  <colFields count="1">
    <field x="-2"/>
  </colFields>
  <colItems count="2">
    <i>
      <x/>
    </i>
    <i i="1">
      <x v="1"/>
    </i>
  </colItems>
  <dataFields count="2">
    <dataField name="Sum of Price_per_SQM" fld="6" baseField="4" baseItem="0" numFmtId="164"/>
    <dataField name="Average of Price_per_SQM2" fld="6" subtotal="average" baseField="4" baseItem="0" numFmtId="164"/>
  </dataField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12E7F338-EA45-4386-BE5D-FD2ECCF915B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type">
  <location ref="G200:H204" firstHeaderRow="1" firstDataRow="1" firstDataCol="1"/>
  <pivotFields count="32">
    <pivotField showAll="0"/>
    <pivotField showAll="0"/>
    <pivotField showAll="0"/>
    <pivotField showAll="0">
      <items count="8">
        <item x="0"/>
        <item x="1"/>
        <item x="2"/>
        <item x="3"/>
        <item x="4"/>
        <item x="5"/>
        <item x="6"/>
        <item t="default"/>
      </items>
    </pivotField>
    <pivotField showAll="0"/>
    <pivotField showAll="0"/>
    <pivotField numFmtId="164" showAll="0"/>
    <pivotField numFmtId="164" showAll="0"/>
    <pivotField showAll="0"/>
    <pivotField showAll="0"/>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axis="axisRow" showAll="0">
      <items count="4">
        <item x="0"/>
        <item x="1"/>
        <item x="2"/>
        <item t="default"/>
      </items>
    </pivotField>
    <pivotField showAll="0"/>
    <pivotField showAll="0"/>
    <pivotField showAll="0"/>
    <pivotField dataField="1" numFmtId="164" showAll="0"/>
    <pivotField showAll="0"/>
    <pivotField showAll="0"/>
    <pivotField showAll="0"/>
    <pivotField showAll="0"/>
  </pivotFields>
  <rowFields count="1">
    <field x="23"/>
  </rowFields>
  <rowItems count="4">
    <i>
      <x/>
    </i>
    <i>
      <x v="1"/>
    </i>
    <i>
      <x v="2"/>
    </i>
    <i t="grand">
      <x/>
    </i>
  </rowItems>
  <colItems count="1">
    <i/>
  </colItems>
  <dataFields count="1">
    <dataField name="Sum of Revenue" fld="27" baseField="0" baseItem="0" numFmtId="164"/>
  </dataFields>
  <formats count="5">
    <format dxfId="54">
      <pivotArea outline="0" collapsedLevelsAreSubtotals="1" fieldPosition="0"/>
    </format>
    <format dxfId="53">
      <pivotArea outline="0" collapsedLevelsAreSubtotals="1" fieldPosition="0">
        <references count="1">
          <reference field="4294967294" count="1" selected="0">
            <x v="0"/>
          </reference>
        </references>
      </pivotArea>
    </format>
    <format dxfId="52">
      <pivotArea collapsedLevelsAreSubtotals="1" fieldPosition="0">
        <references count="1">
          <reference field="23" count="1">
            <x v="1"/>
          </reference>
        </references>
      </pivotArea>
    </format>
    <format dxfId="51">
      <pivotArea collapsedLevelsAreSubtotals="1" fieldPosition="0">
        <references count="1">
          <reference field="23" count="1">
            <x v="1"/>
          </reference>
        </references>
      </pivotArea>
    </format>
    <format dxfId="50">
      <pivotArea collapsedLevelsAreSubtotals="1" fieldPosition="0">
        <references count="1">
          <reference field="23" count="1">
            <x v="1"/>
          </reference>
        </references>
      </pivotArea>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BB4B80C2-F6E3-4C19-A89B-5A870372B05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perty type" colHeaderCaption="Customer type">
  <location ref="C59:G64" firstHeaderRow="1" firstDataRow="2" firstDataCol="1"/>
  <pivotFields count="32">
    <pivotField showAll="0"/>
    <pivotField showAll="0"/>
    <pivotField showAll="0"/>
    <pivotField showAll="0"/>
    <pivotField axis="axisRow" showAll="0">
      <items count="4">
        <item x="2"/>
        <item x="1"/>
        <item x="0"/>
        <item t="default"/>
      </items>
    </pivotField>
    <pivotField showAll="0"/>
    <pivotField numFmtId="164" showAll="0"/>
    <pivotField numFmtId="164" showAll="0"/>
    <pivotField showAll="0"/>
    <pivotField showAll="0"/>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axis="axisCol" dataField="1" showAll="0">
      <items count="4">
        <item x="0"/>
        <item x="1"/>
        <item x="2"/>
        <item t="default"/>
      </items>
    </pivotField>
    <pivotField showAll="0"/>
    <pivotField showAll="0"/>
    <pivotField showAll="0"/>
    <pivotField numFmtId="164" showAll="0"/>
    <pivotField showAll="0"/>
    <pivotField showAll="0"/>
    <pivotField showAll="0"/>
    <pivotField showAll="0"/>
  </pivotFields>
  <rowFields count="1">
    <field x="4"/>
  </rowFields>
  <rowItems count="4">
    <i>
      <x/>
    </i>
    <i>
      <x v="1"/>
    </i>
    <i>
      <x v="2"/>
    </i>
    <i t="grand">
      <x/>
    </i>
  </rowItems>
  <colFields count="1">
    <field x="23"/>
  </colFields>
  <colItems count="4">
    <i>
      <x/>
    </i>
    <i>
      <x v="1"/>
    </i>
    <i>
      <x v="2"/>
    </i>
    <i t="grand">
      <x/>
    </i>
  </colItems>
  <dataFields count="1">
    <dataField name="Count of Customer_Type" fld="23" subtotal="count" baseField="0" baseItem="0"/>
  </dataFields>
  <chartFormats count="3">
    <chartFormat chart="7" format="32" series="1">
      <pivotArea type="data" outline="0" fieldPosition="0">
        <references count="2">
          <reference field="4294967294" count="1" selected="0">
            <x v="0"/>
          </reference>
          <reference field="23" count="1" selected="0">
            <x v="0"/>
          </reference>
        </references>
      </pivotArea>
    </chartFormat>
    <chartFormat chart="7" format="33" series="1">
      <pivotArea type="data" outline="0" fieldPosition="0">
        <references count="2">
          <reference field="4294967294" count="1" selected="0">
            <x v="0"/>
          </reference>
          <reference field="23" count="1" selected="0">
            <x v="1"/>
          </reference>
        </references>
      </pivotArea>
    </chartFormat>
    <chartFormat chart="7" format="34" series="1">
      <pivotArea type="data" outline="0" fieldPosition="0">
        <references count="2">
          <reference field="4294967294" count="1" selected="0">
            <x v="0"/>
          </reference>
          <reference field="23" count="1" selected="0">
            <x v="2"/>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9430CB6D-A9D3-41C8-9ED8-E7D46162B5ED}"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X30:Y37" firstHeaderRow="1" firstDataRow="1" firstDataCol="1"/>
  <pivotFields count="32">
    <pivotField showAll="0"/>
    <pivotField showAll="0"/>
    <pivotField showAll="0"/>
    <pivotField showAll="0"/>
    <pivotField showAll="0"/>
    <pivotField showAll="0"/>
    <pivotField numFmtId="164" showAll="0"/>
    <pivotField dataField="1" numFmtId="164" showAll="0"/>
    <pivotField showAll="0"/>
    <pivotField axis="axisRow" showAll="0">
      <items count="7">
        <item x="2"/>
        <item x="0"/>
        <item x="4"/>
        <item x="1"/>
        <item x="3"/>
        <item x="5"/>
        <item t="default"/>
      </items>
    </pivotField>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s>
  <rowFields count="1">
    <field x="9"/>
  </rowFields>
  <rowItems count="7">
    <i>
      <x/>
    </i>
    <i>
      <x v="1"/>
    </i>
    <i>
      <x v="2"/>
    </i>
    <i>
      <x v="3"/>
    </i>
    <i>
      <x v="4"/>
    </i>
    <i>
      <x v="5"/>
    </i>
    <i t="grand">
      <x/>
    </i>
  </rowItems>
  <colItems count="1">
    <i/>
  </colItems>
  <dataFields count="1">
    <dataField name="Sum of Total_Price" fld="7" baseField="0" baseItem="0" numFmtId="164"/>
  </dataField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173A97D0-4972-492D-8873-49A88AD17EF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Area type" colHeaderCaption="Real Estate Company">
  <location ref="I86:K90" firstHeaderRow="0" firstDataRow="1" firstDataCol="1"/>
  <pivotFields count="32">
    <pivotField showAll="0"/>
    <pivotField showAll="0"/>
    <pivotField showAll="0"/>
    <pivotField showAll="0"/>
    <pivotField showAll="0"/>
    <pivotField dataField="1" showAll="0"/>
    <pivotField numFmtId="164" showAll="0"/>
    <pivotField numFmtId="164" showAll="0"/>
    <pivotField showAll="0"/>
    <pivotField showAll="0"/>
    <pivotField showAll="0"/>
    <pivotField axis="axisRow" showAll="0">
      <items count="4">
        <item x="2"/>
        <item x="1"/>
        <item x="0"/>
        <item t="default"/>
      </items>
    </pivotField>
    <pivotField showAll="0"/>
    <pivotField showAll="0"/>
    <pivotField showAll="0"/>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dataField="1" numFmtId="164" showAll="0"/>
    <pivotField showAll="0"/>
    <pivotField showAll="0"/>
    <pivotField showAll="0"/>
    <pivotField showAll="0"/>
  </pivotFields>
  <rowFields count="1">
    <field x="11"/>
  </rowFields>
  <rowItems count="4">
    <i>
      <x/>
    </i>
    <i>
      <x v="1"/>
    </i>
    <i>
      <x v="2"/>
    </i>
    <i t="grand">
      <x/>
    </i>
  </rowItems>
  <colFields count="1">
    <field x="-2"/>
  </colFields>
  <colItems count="2">
    <i>
      <x/>
    </i>
    <i i="1">
      <x v="1"/>
    </i>
  </colItems>
  <dataFields count="2">
    <dataField name="Sum of Land_Size_SQM" fld="5" baseField="0" baseItem="0"/>
    <dataField name="Sum of Revenue" fld="27" baseField="0" baseItem="0" numFmtId="164"/>
  </dataField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2ADFBB0D-1FA6-453B-9EB7-55E8C9850772}" name="PivotTable4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al Estate Company">
  <location ref="I13:J19" firstHeaderRow="1" firstDataRow="1" firstDataCol="1"/>
  <pivotFields count="32">
    <pivotField dataField="1" showAll="0"/>
    <pivotField showAll="0"/>
    <pivotField showAll="0"/>
    <pivotField showAll="0"/>
    <pivotField showAll="0"/>
    <pivotField showAll="0"/>
    <pivotField numFmtId="164" showAll="0"/>
    <pivotField numFmtId="164" showAll="0"/>
    <pivotField showAll="0"/>
    <pivotField showAll="0"/>
    <pivotField showAll="0"/>
    <pivotField showAll="0"/>
    <pivotField axis="axisRow" showAll="0">
      <items count="6">
        <item x="1"/>
        <item x="0"/>
        <item x="3"/>
        <item x="2"/>
        <item x="4"/>
        <item t="default"/>
      </items>
    </pivotField>
    <pivotField showAll="0"/>
    <pivotField showAll="0"/>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s>
  <rowFields count="1">
    <field x="12"/>
  </rowFields>
  <rowItems count="6">
    <i>
      <x/>
    </i>
    <i>
      <x v="1"/>
    </i>
    <i>
      <x v="2"/>
    </i>
    <i>
      <x v="3"/>
    </i>
    <i>
      <x v="4"/>
    </i>
    <i t="grand">
      <x/>
    </i>
  </rowItems>
  <colItems count="1">
    <i/>
  </colItems>
  <dataFields count="1">
    <dataField name="Count of Transaction_ID" fld="0" subtotal="count" baseField="0" baseItem="0"/>
  </dataField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B3286303-9F62-4704-8630-91D30B365691}" name="PivotTable3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types">
  <location ref="I6:K10" firstHeaderRow="0" firstDataRow="1" firstDataCol="1"/>
  <pivotFields count="32">
    <pivotField dataField="1"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axis="axisRow" showAll="0">
      <items count="4">
        <item x="0"/>
        <item x="1"/>
        <item x="2"/>
        <item t="default"/>
      </items>
    </pivotField>
    <pivotField showAll="0"/>
    <pivotField showAll="0"/>
    <pivotField showAll="0"/>
    <pivotField dataField="1" numFmtId="164" showAll="0"/>
    <pivotField showAll="0"/>
    <pivotField showAll="0"/>
    <pivotField showAll="0"/>
    <pivotField showAll="0"/>
  </pivotFields>
  <rowFields count="1">
    <field x="23"/>
  </rowFields>
  <rowItems count="4">
    <i>
      <x/>
    </i>
    <i>
      <x v="1"/>
    </i>
    <i>
      <x v="2"/>
    </i>
    <i t="grand">
      <x/>
    </i>
  </rowItems>
  <colFields count="1">
    <field x="-2"/>
  </colFields>
  <colItems count="2">
    <i>
      <x/>
    </i>
    <i i="1">
      <x v="1"/>
    </i>
  </colItems>
  <dataFields count="2">
    <dataField name="Count of Transaction_ID" fld="0" subtotal="count" baseField="0" baseItem="0"/>
    <dataField name="Sum of Revenue" fld="27" baseField="0" baseItem="0" numFmtId="164"/>
  </dataFields>
  <formats count="1">
    <format dxfId="55">
      <pivotArea collapsedLevelsAreSubtotals="1" fieldPosition="0">
        <references count="2">
          <reference field="4294967294" count="1" selected="0">
            <x v="1"/>
          </reference>
          <reference field="23" count="1">
            <x v="1"/>
          </reference>
        </references>
      </pivotArea>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4AEA6D89-215C-4478-9E44-9C6CE3C6EBD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Month">
  <location ref="F123:G136" firstHeaderRow="1" firstDataRow="1" firstDataCol="1"/>
  <pivotFields count="32">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numFmtId="164" showAll="0"/>
    <pivotField showAll="0"/>
    <pivotField numFmtId="2" showAll="0"/>
    <pivotField numFmtId="10" showAll="0"/>
    <pivotField showAll="0"/>
    <pivotField axis="axisRow" showAll="0">
      <items count="13">
        <item x="7"/>
        <item x="0"/>
        <item x="6"/>
        <item x="9"/>
        <item x="11"/>
        <item x="1"/>
        <item x="10"/>
        <item x="8"/>
        <item x="5"/>
        <item x="4"/>
        <item x="2"/>
        <item x="3"/>
        <item t="default"/>
      </items>
    </pivotField>
    <pivotField showAll="0"/>
    <pivotField showAll="0"/>
    <pivotField showAll="0"/>
    <pivotField showAll="0"/>
    <pivotField showAll="0"/>
    <pivotField showAll="0"/>
    <pivotField dataField="1" numFmtId="164" showAll="0"/>
    <pivotField showAll="0"/>
    <pivotField showAll="0"/>
    <pivotField showAll="0"/>
    <pivotField showAll="0"/>
  </pivotFields>
  <rowFields count="1">
    <field x="20"/>
  </rowFields>
  <rowItems count="13">
    <i>
      <x/>
    </i>
    <i>
      <x v="1"/>
    </i>
    <i>
      <x v="2"/>
    </i>
    <i>
      <x v="3"/>
    </i>
    <i>
      <x v="4"/>
    </i>
    <i>
      <x v="5"/>
    </i>
    <i>
      <x v="6"/>
    </i>
    <i>
      <x v="7"/>
    </i>
    <i>
      <x v="8"/>
    </i>
    <i>
      <x v="9"/>
    </i>
    <i>
      <x v="10"/>
    </i>
    <i>
      <x v="11"/>
    </i>
    <i t="grand">
      <x/>
    </i>
  </rowItems>
  <colItems count="1">
    <i/>
  </colItems>
  <dataFields count="1">
    <dataField name="Sum of Revenue" fld="27" baseField="0" baseItem="0" numFmtId="164"/>
  </dataFields>
  <formats count="1">
    <format dxfId="56">
      <pivotArea collapsedLevelsAreSubtotals="1" fieldPosition="0">
        <references count="1">
          <reference field="20" count="1">
            <x v="8"/>
          </reference>
        </references>
      </pivotArea>
    </format>
  </formats>
  <chartFormats count="1">
    <chartFormat chart="20" format="2" series="1">
      <pivotArea type="data" outline="0" fieldPosition="0">
        <references count="1">
          <reference field="4294967294" count="1" selected="0">
            <x v="0"/>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FE223118-85DF-491E-9C6A-9ABA8C6DE3C8}" name="PivotTable4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perty type" colHeaderCaption="Customer type">
  <location ref="M86:Q91" firstHeaderRow="1" firstDataRow="2" firstDataCol="1"/>
  <pivotFields count="32">
    <pivotField showAll="0"/>
    <pivotField showAll="0"/>
    <pivotField showAll="0"/>
    <pivotField showAll="0"/>
    <pivotField axis="axisRow" showAll="0">
      <items count="4">
        <item x="2"/>
        <item x="1"/>
        <item x="0"/>
        <item t="default"/>
      </items>
    </pivotField>
    <pivotField showAll="0"/>
    <pivotField numFmtId="164" showAll="0"/>
    <pivotField numFmtId="164" showAll="0"/>
    <pivotField showAll="0"/>
    <pivotField showAll="0"/>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axis="axisCol" showAll="0">
      <items count="4">
        <item x="0"/>
        <item x="1"/>
        <item x="2"/>
        <item t="default"/>
      </items>
    </pivotField>
    <pivotField showAll="0"/>
    <pivotField showAll="0"/>
    <pivotField showAll="0"/>
    <pivotField dataField="1" numFmtId="164" showAll="0"/>
    <pivotField showAll="0"/>
    <pivotField showAll="0"/>
    <pivotField showAll="0"/>
    <pivotField showAll="0"/>
  </pivotFields>
  <rowFields count="1">
    <field x="4"/>
  </rowFields>
  <rowItems count="4">
    <i>
      <x/>
    </i>
    <i>
      <x v="1"/>
    </i>
    <i>
      <x v="2"/>
    </i>
    <i t="grand">
      <x/>
    </i>
  </rowItems>
  <colFields count="1">
    <field x="23"/>
  </colFields>
  <colItems count="4">
    <i>
      <x/>
    </i>
    <i>
      <x v="1"/>
    </i>
    <i>
      <x v="2"/>
    </i>
    <i t="grand">
      <x/>
    </i>
  </colItems>
  <dataFields count="1">
    <dataField name="Sum of Revenue" fld="27" baseField="0" baseItem="0" numFmtId="164"/>
  </dataField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2EE22209-22E1-4884-BB22-CFFDAC2F61D5}"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rketing Channel">
  <location ref="C144:E149" firstHeaderRow="0" firstDataRow="1" firstDataCol="1"/>
  <pivotFields count="32">
    <pivotField dataField="1"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axis="axisRow" showAll="0">
      <items count="5">
        <item x="2"/>
        <item x="1"/>
        <item x="0"/>
        <item x="3"/>
        <item t="default"/>
      </items>
    </pivotField>
    <pivotField showAll="0"/>
    <pivotField showAll="0"/>
    <pivotField showAll="0"/>
    <pivotField showAll="0"/>
    <pivotField dataField="1" numFmtId="164" showAll="0"/>
    <pivotField showAll="0"/>
    <pivotField showAll="0"/>
    <pivotField showAll="0"/>
    <pivotField showAll="0"/>
  </pivotFields>
  <rowFields count="1">
    <field x="22"/>
  </rowFields>
  <rowItems count="5">
    <i>
      <x/>
    </i>
    <i>
      <x v="1"/>
    </i>
    <i>
      <x v="2"/>
    </i>
    <i>
      <x v="3"/>
    </i>
    <i t="grand">
      <x/>
    </i>
  </rowItems>
  <colFields count="1">
    <field x="-2"/>
  </colFields>
  <colItems count="2">
    <i>
      <x/>
    </i>
    <i i="1">
      <x v="1"/>
    </i>
  </colItems>
  <dataFields count="2">
    <dataField name="Count of Transaction_ID" fld="0" subtotal="count" baseField="0" baseItem="0" numFmtId="1"/>
    <dataField name="Sum of Revenue" fld="27" baseField="0" baseItem="0" numFmtId="164"/>
  </dataFields>
  <formats count="3">
    <format dxfId="59">
      <pivotArea outline="0" collapsedLevelsAreSubtotals="1" fieldPosition="0"/>
    </format>
    <format dxfId="58">
      <pivotArea collapsedLevelsAreSubtotals="1" fieldPosition="0">
        <references count="1">
          <reference field="22" count="1">
            <x v="2"/>
          </reference>
        </references>
      </pivotArea>
    </format>
    <format dxfId="57">
      <pivotArea outline="0" collapsedLevelsAreSubtotals="1" fieldPosition="0">
        <references count="1">
          <reference field="4294967294" count="1" selected="0">
            <x v="1"/>
          </reference>
        </references>
      </pivotArea>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90653C67-2092-4986-8EAA-E7C2C3A3AB90}"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perty type">
  <location ref="C111:D115" firstHeaderRow="1" firstDataRow="1" firstDataCol="1"/>
  <pivotFields count="32">
    <pivotField showAll="0"/>
    <pivotField showAll="0"/>
    <pivotField showAll="0"/>
    <pivotField showAll="0"/>
    <pivotField axis="axisRow" showAll="0">
      <items count="4">
        <item x="2"/>
        <item x="1"/>
        <item x="0"/>
        <item t="default"/>
      </items>
    </pivotField>
    <pivotField dataField="1" showAll="0"/>
    <pivotField numFmtId="164" showAll="0"/>
    <pivotField numFmtId="164" showAll="0"/>
    <pivotField showAll="0"/>
    <pivotField showAll="0"/>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s>
  <rowFields count="1">
    <field x="4"/>
  </rowFields>
  <rowItems count="4">
    <i>
      <x/>
    </i>
    <i>
      <x v="1"/>
    </i>
    <i>
      <x v="2"/>
    </i>
    <i t="grand">
      <x/>
    </i>
  </rowItems>
  <colItems count="1">
    <i/>
  </colItems>
  <dataFields count="1">
    <dataField name="Average of Land_Size_SQM" fld="5" subtotal="average" baseField="4" baseItem="1" numFmtId="2"/>
  </dataFields>
  <formats count="1">
    <format dxfId="60">
      <pivotArea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0"/>
          </reference>
        </references>
      </pivotArea>
    </chartFormat>
    <chartFormat chart="2" format="4">
      <pivotArea type="data" outline="0" fieldPosition="0">
        <references count="2">
          <reference field="4294967294" count="1" selected="0">
            <x v="0"/>
          </reference>
          <reference field="4" count="1" selected="0">
            <x v="1"/>
          </reference>
        </references>
      </pivotArea>
    </chartFormat>
    <chartFormat chart="2" format="5">
      <pivotArea type="data" outline="0" fieldPosition="0">
        <references count="2">
          <reference field="4294967294" count="1" selected="0">
            <x v="0"/>
          </reference>
          <reference field="4" count="1" selected="0">
            <x v="2"/>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25CFD7B8-758F-443D-8205-7F9AC6F60163}"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F110:H117" firstHeaderRow="0" firstDataRow="1" firstDataCol="1"/>
  <pivotFields count="32">
    <pivotField showAll="0"/>
    <pivotField showAll="0"/>
    <pivotField showAll="0"/>
    <pivotField showAll="0"/>
    <pivotField showAll="0"/>
    <pivotField dataField="1" showAll="0"/>
    <pivotField numFmtId="164" showAll="0"/>
    <pivotField numFmtId="164" showAll="0"/>
    <pivotField showAll="0"/>
    <pivotField axis="axisRow" showAll="0">
      <items count="7">
        <item x="2"/>
        <item x="0"/>
        <item x="4"/>
        <item x="1"/>
        <item x="3"/>
        <item x="5"/>
        <item t="default"/>
      </items>
    </pivotField>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s>
  <rowFields count="1">
    <field x="9"/>
  </rowFields>
  <rowItems count="7">
    <i>
      <x/>
    </i>
    <i>
      <x v="1"/>
    </i>
    <i>
      <x v="2"/>
    </i>
    <i>
      <x v="3"/>
    </i>
    <i>
      <x v="4"/>
    </i>
    <i>
      <x v="5"/>
    </i>
    <i t="grand">
      <x/>
    </i>
  </rowItems>
  <colFields count="1">
    <field x="-2"/>
  </colFields>
  <colItems count="2">
    <i>
      <x/>
    </i>
    <i i="1">
      <x v="1"/>
    </i>
  </colItems>
  <dataFields count="2">
    <dataField name="Sum of Land_Size_SQM" fld="5" baseField="0" baseItem="0"/>
    <dataField name="Average of Land_Size_SQM" fld="5" subtotal="average" baseField="9" baseItem="1" numFmtId="2"/>
  </dataFields>
  <formats count="1">
    <format dxfId="61">
      <pivotArea outline="0" collapsedLevelsAreSubtotals="1" fieldPosition="0">
        <references count="1">
          <reference field="4294967294" count="1" selected="0">
            <x v="1"/>
          </reference>
        </references>
      </pivotArea>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C66F97FF-B463-4351-A7DA-18B1EEDB44D6}"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Area type" colHeaderCaption="Real Estate Company">
  <location ref="C176:D189" firstHeaderRow="1" firstDataRow="1" firstDataCol="1"/>
  <pivotFields count="32">
    <pivotField dataField="1" showAll="0"/>
    <pivotField showAll="0"/>
    <pivotField showAll="0"/>
    <pivotField showAll="0"/>
    <pivotField showAll="0"/>
    <pivotField showAll="0"/>
    <pivotField numFmtId="164" showAll="0"/>
    <pivotField numFmtId="164" showAll="0"/>
    <pivotField showAll="0"/>
    <pivotField showAll="0"/>
    <pivotField showAll="0"/>
    <pivotField axis="axisRow" showAll="0">
      <items count="4">
        <item x="2"/>
        <item x="1"/>
        <item x="0"/>
        <item t="default"/>
      </items>
    </pivotField>
    <pivotField showAll="0"/>
    <pivotField showAll="0"/>
    <pivotField showAll="0"/>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numFmtId="164" showAll="0"/>
    <pivotField axis="axisRow" showAll="0">
      <items count="4">
        <item x="2"/>
        <item x="1"/>
        <item x="0"/>
        <item t="default"/>
      </items>
    </pivotField>
    <pivotField showAll="0"/>
    <pivotField showAll="0"/>
    <pivotField showAll="0"/>
  </pivotFields>
  <rowFields count="2">
    <field x="11"/>
    <field x="28"/>
  </rowFields>
  <rowItems count="13">
    <i>
      <x/>
    </i>
    <i r="1">
      <x/>
    </i>
    <i r="1">
      <x v="1"/>
    </i>
    <i r="1">
      <x v="2"/>
    </i>
    <i>
      <x v="1"/>
    </i>
    <i r="1">
      <x/>
    </i>
    <i r="1">
      <x v="1"/>
    </i>
    <i r="1">
      <x v="2"/>
    </i>
    <i>
      <x v="2"/>
    </i>
    <i r="1">
      <x/>
    </i>
    <i r="1">
      <x v="1"/>
    </i>
    <i r="1">
      <x v="2"/>
    </i>
    <i t="grand">
      <x/>
    </i>
  </rowItems>
  <colItems count="1">
    <i/>
  </colItems>
  <dataFields count="1">
    <dataField name="Count of Transaction_ID" fld="0" subtotal="count" baseField="0" baseItem="0"/>
  </dataField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E2848A1F-DCC2-45E3-A9F4-60861D923E4A}"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perty types">
  <location ref="F6:G10" firstHeaderRow="1" firstDataRow="1" firstDataCol="1"/>
  <pivotFields count="32">
    <pivotField dataField="1" showAll="0"/>
    <pivotField showAll="0"/>
    <pivotField showAll="0"/>
    <pivotField showAll="0"/>
    <pivotField axis="axisRow" showAll="0">
      <items count="4">
        <item x="2"/>
        <item x="1"/>
        <item x="0"/>
        <item t="default"/>
      </items>
    </pivotField>
    <pivotField showAll="0"/>
    <pivotField numFmtId="164" showAll="0"/>
    <pivotField numFmtId="164" showAll="0"/>
    <pivotField showAll="0"/>
    <pivotField showAll="0"/>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s>
  <rowFields count="1">
    <field x="4"/>
  </rowFields>
  <rowItems count="4">
    <i>
      <x/>
    </i>
    <i>
      <x v="1"/>
    </i>
    <i>
      <x v="2"/>
    </i>
    <i t="grand">
      <x/>
    </i>
  </rowItems>
  <colItems count="1">
    <i/>
  </colItems>
  <dataFields count="1">
    <dataField name="Count of Transaction_ID" fld="0" subtotal="count" baseField="0" baseItem="0"/>
  </dataField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267254E6-DF70-4FA0-A477-2F73E8C1F8F9}"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C6:D13" firstHeaderRow="1" firstDataRow="1" firstDataCol="1"/>
  <pivotFields count="32">
    <pivotField dataField="1" showAll="0"/>
    <pivotField showAll="0"/>
    <pivotField showAll="0"/>
    <pivotField showAll="0"/>
    <pivotField showAll="0"/>
    <pivotField showAll="0"/>
    <pivotField numFmtId="164" showAll="0"/>
    <pivotField numFmtId="164" showAll="0"/>
    <pivotField showAll="0"/>
    <pivotField axis="axisRow" showAll="0">
      <items count="7">
        <item x="2"/>
        <item x="0"/>
        <item x="4"/>
        <item x="1"/>
        <item x="3"/>
        <item x="5"/>
        <item t="default"/>
      </items>
    </pivotField>
    <pivotField showAll="0"/>
    <pivotField showAll="0"/>
    <pivotField showAll="0"/>
    <pivotField showAll="0"/>
    <pivotField showAll="0"/>
    <pivotField numFmtId="164" showAll="0"/>
    <pivotField showAll="0"/>
    <pivotField numFmtId="2" showAll="0"/>
    <pivotField numFmtId="10"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s>
  <rowFields count="1">
    <field x="9"/>
  </rowFields>
  <rowItems count="7">
    <i>
      <x/>
    </i>
    <i>
      <x v="1"/>
    </i>
    <i>
      <x v="2"/>
    </i>
    <i>
      <x v="3"/>
    </i>
    <i>
      <x v="4"/>
    </i>
    <i>
      <x v="5"/>
    </i>
    <i t="grand">
      <x/>
    </i>
  </rowItems>
  <colItems count="1">
    <i/>
  </colItems>
  <dataFields count="1">
    <dataField name="Count of Transaction_ID" fld="0" subtotal="count" baseField="0" baseItem="0"/>
  </dataField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97D73FDD-A559-4C23-95F5-65E1159A56EC}" sourceName="Customer_Type">
  <pivotTables>
    <pivotTable tabId="3" name="PivotTable2"/>
  </pivotTables>
  <data>
    <tabular pivotCacheId="94011851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B19E0A8-30C5-484A-A1C2-555540A0507D}" sourceName="Region">
  <pivotTables>
    <pivotTable tabId="3" name="PivotTable2"/>
  </pivotTables>
  <data>
    <tabular pivotCacheId="940118512">
      <items count="6">
        <i x="2" s="1"/>
        <i x="0" s="1"/>
        <i x="4" s="1"/>
        <i x="1"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645B08F1-8B80-42B0-B67C-F21569E7BA05}" sourceName="Payment_Type">
  <pivotTables>
    <pivotTable tabId="3" name="PivotTable2"/>
  </pivotTables>
  <data>
    <tabular pivotCacheId="94011851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Type" xr10:uid="{0384F008-BCA4-4804-974C-D10A5585A884}" sourceName="Property_Type">
  <pivotTables>
    <pivotTable tabId="3" name="PivotTable2"/>
  </pivotTables>
  <data>
    <tabular pivotCacheId="940118512">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l_Estate_Company" xr10:uid="{E8530C85-723C-4A29-B6C7-47F142797D9D}" sourceName="Real_Estate_Company">
  <pivotTables>
    <pivotTable tabId="3" name="PivotTable2"/>
  </pivotTables>
  <data>
    <tabular pivotCacheId="940118512">
      <items count="5">
        <i x="1" s="1"/>
        <i x="0"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21BC006E-C1FF-4168-968C-23F13F108DCE}" cache="Slicer_Customer_Type" caption="Customer_Type" style="SlicerStyleDark5" rowHeight="234950"/>
  <slicer name="Region" xr10:uid="{C578CC41-0CA3-46D2-BC6B-AFA1C845BC53}" cache="Slicer_Region" caption="Region" style="SlicerStyleDark5" rowHeight="234950"/>
  <slicer name="Payment_Type" xr10:uid="{90205D9A-6A14-4CAE-BB67-F65033141277}" cache="Slicer_Payment_Type" caption="Payment_Type" style="SlicerStyleDark5" rowHeight="234950"/>
  <slicer name="Property_Type" xr10:uid="{A0572E8D-D780-412B-9BB3-7520328C88A6}" cache="Slicer_Property_Type" caption="Property_Type" style="SlicerStyleDark5" rowHeight="234950"/>
  <slicer name="Real_Estate_Company" xr10:uid="{AD55CD6C-2989-4D0C-8522-2CF37D6DC086}" cache="Slicer_Real_Estate_Company" caption="Real_Estate_Company"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AE6D36-6603-4EAE-842A-DE77149E47C1}" name="Table1" displayName="Table1" ref="A1:AF501" totalsRowShown="0" headerRowDxfId="89" headerRowBorderDxfId="88" tableBorderDxfId="87">
  <autoFilter ref="A1:AF501" xr:uid="{6FAE6D36-6603-4EAE-842A-DE77149E47C1}"/>
  <tableColumns count="32">
    <tableColumn id="1" xr3:uid="{813985FC-D2DB-4057-BD0E-AD8C77088004}" name="Transaction_ID"/>
    <tableColumn id="2" xr3:uid="{3FE039B4-7BDB-4259-8343-D691C60B23B9}" name="Customer_Name"/>
    <tableColumn id="3" xr3:uid="{64699C0E-40E0-4662-8728-20B7B5B7C68D}" name="Gender"/>
    <tableColumn id="4" xr3:uid="{3FBE8058-0A0F-48D3-B670-42D78FA66BE8}" name="Age"/>
    <tableColumn id="5" xr3:uid="{C8C5C29D-2696-4334-AEF4-1EF1F1EF5543}" name="Property_Type"/>
    <tableColumn id="6" xr3:uid="{BD54F1AD-8460-4D56-9248-8D34BC755125}" name="Land_Size_SQM"/>
    <tableColumn id="7" xr3:uid="{6F352CB4-AC15-4BEC-90E1-D31F53C533FF}" name="Price_per_SQM" dataDxfId="86"/>
    <tableColumn id="8" xr3:uid="{438DA1F9-941C-4550-8FCE-7FB34DCB2D4B}" name="Total_Price" dataDxfId="85"/>
    <tableColumn id="9" xr3:uid="{7B711308-8165-46B9-B140-406793DF211F}" name="State"/>
    <tableColumn id="10" xr3:uid="{3D18FA57-488B-4DBF-A037-2F7EC11019F7}" name="Region"/>
    <tableColumn id="11" xr3:uid="{F204CFF1-FB0D-4BF4-80F1-99244E2016C5}" name="City"/>
    <tableColumn id="12" xr3:uid="{B8F41123-78AD-4E27-B11C-1E5EB428A259}" name="Area_Type"/>
    <tableColumn id="13" xr3:uid="{41F2E432-24CE-4D82-B974-E831259724F1}" name="Real_Estate_Company"/>
    <tableColumn id="14" xr3:uid="{40814179-897C-4EFA-8DE4-E413BE63AF85}" name="Sales_Agent"/>
    <tableColumn id="15" xr3:uid="{FC8AC686-8A08-474F-9962-F0E031306DE5}" name="Payment_Type"/>
    <tableColumn id="16" xr3:uid="{E3083A30-46D8-4245-B91B-C1D212713BA7}" name="Initial_Deposit" dataDxfId="84"/>
    <tableColumn id="17" xr3:uid="{34B680D2-BBF8-4AAA-B1DF-132296A8887E}" name="Installment_Duration"/>
    <tableColumn id="18" xr3:uid="{51882915-4CF4-4BA8-A898-2350E911EAD0}" name="Discount_%" dataDxfId="83" dataCellStyle="Percent"/>
    <tableColumn id="28" xr3:uid="{F16836AA-996B-4901-845A-4B8E3A79A55B}" name="Discount 2" dataDxfId="82" dataCellStyle="Percent">
      <calculatedColumnFormula>Table1[[#This Row],[Discount_%]]/100</calculatedColumnFormula>
    </tableColumn>
    <tableColumn id="19" xr3:uid="{806D3C2A-97AD-4900-964C-8130F10C6513}" name="Transaction_Date" dataDxfId="81"/>
    <tableColumn id="20" xr3:uid="{F10E918B-3E1C-4058-9FD3-2526CD46379F}" name="Month"/>
    <tableColumn id="21" xr3:uid="{72342643-54C0-4FFD-BAA1-71E2307CA68E}" name="Year"/>
    <tableColumn id="22" xr3:uid="{ECF29D00-56B9-4EAB-B059-0EB805430EA9}" name="Marketing_Channel"/>
    <tableColumn id="23" xr3:uid="{6D87BA4D-22F5-40DE-B030-5EB7923754F5}" name="Customer_Type"/>
    <tableColumn id="24" xr3:uid="{31B5B67A-4556-4418-92BD-91F8048766F2}" name="Sales_Status"/>
    <tableColumn id="25" xr3:uid="{DECD15AB-0060-4974-BBCD-B70989A5CEDE}" name="Satisfaction_Rating"/>
    <tableColumn id="26" xr3:uid="{10B29C4F-6F1B-438B-849B-985C759D40F8}" name="Distance_to_City_Center"/>
    <tableColumn id="27" xr3:uid="{D1C912C6-DA85-4CF5-ADB7-52B6224E8AAF}" name="Revenue" dataDxfId="80">
      <calculatedColumnFormula>Table1[[#This Row],[Total_Price]]*(1-Table1[[#This Row],[Discount 2]])</calculatedColumnFormula>
    </tableColumn>
    <tableColumn id="29" xr3:uid="{1F209A94-8A6D-41FB-B9CE-14600E0A4477}" name="Revenue Classification" dataDxfId="79">
      <calculatedColumnFormula array="1">_xlfn.IFS(Table1[[#This Row],[Revenue]]&gt;=30000000,"High Value",Table1[[#This Row],[Revenue]]&gt;=10000000,"Moderate Value",TRUE,"Low Value")</calculatedColumnFormula>
    </tableColumn>
    <tableColumn id="30" xr3:uid="{3EB262AB-85FC-4BE5-A2C4-13D97F1DE988}" name="Discount &gt;5%" dataDxfId="78">
      <calculatedColumnFormula>IF(Table1[[#This Row],[Discount 2]]&gt;=5%, "YES", "NO")</calculatedColumnFormula>
    </tableColumn>
    <tableColumn id="31" xr3:uid="{EFE2049C-8838-44FC-8CA5-CDA5A7D4A7F4}" name="Customer Spending Behaviour" dataDxfId="77">
      <calculatedColumnFormula array="1">_xlfn.IFS(Table1[[#This Row],[Revenue]]&gt;=30000000,"High Spender",Table1[[#This Row],[Revenue]]&gt;=10000000,"Moderate Spender",TRUE,"Low Spender")</calculatedColumnFormula>
    </tableColumn>
    <tableColumn id="32" xr3:uid="{BE80F241-EADA-4800-B85E-FE179412A1DF}" name="Land Size Category" dataDxfId="76">
      <calculatedColumnFormula array="1">_xlfn.IFS(Table1[[#This Row],[Land_Size_SQM]]&gt;=730,"LARGE",Table1[[#This Row],[Land_Size_SQM]]&gt;=465,"MEDIUM",TRUE,"SMALL")</calculatedColumnFormula>
    </tableColumn>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25B4D6-23DA-4AB9-813A-8172B68AA0E4}" name="Table13" displayName="Table13" ref="A1:AF501" totalsRowShown="0" headerRowDxfId="75" headerRowBorderDxfId="74" tableBorderDxfId="73">
  <autoFilter ref="A1:AF501" xr:uid="{BC25B4D6-23DA-4AB9-813A-8172B68AA0E4}"/>
  <sortState xmlns:xlrd2="http://schemas.microsoft.com/office/spreadsheetml/2017/richdata2" ref="A2:AF501">
    <sortCondition descending="1" ref="AB1:AB501"/>
  </sortState>
  <tableColumns count="32">
    <tableColumn id="1" xr3:uid="{996BFCC6-7D2C-46B8-96D1-B857A027A09F}" name="Transaction_ID"/>
    <tableColumn id="2" xr3:uid="{2946601C-AFCE-4751-BA3D-E84E278E2518}" name="Customer_Name"/>
    <tableColumn id="3" xr3:uid="{FF064B64-4197-435B-83C1-E439FD998FD1}" name="Gender"/>
    <tableColumn id="4" xr3:uid="{7F437A57-6BE6-4A21-BA88-E482DDD679C4}" name="Age"/>
    <tableColumn id="5" xr3:uid="{DC24FCD5-B68A-4B83-B6EE-C2E732D652D2}" name="Property_Type"/>
    <tableColumn id="6" xr3:uid="{B4FEC897-6E99-48BF-9626-BA2D13043D0F}" name="Land_Size_SQM"/>
    <tableColumn id="7" xr3:uid="{5C2207CA-2770-4322-A909-DD095BE074EF}" name="Price_per_SQM" dataDxfId="72"/>
    <tableColumn id="8" xr3:uid="{D7855EE4-5A6F-403E-9D44-38FC4C3E3AAF}" name="Total_Price" dataDxfId="71"/>
    <tableColumn id="9" xr3:uid="{E653040E-31C6-45BA-9FEB-0DAEB90A59BE}" name="State"/>
    <tableColumn id="10" xr3:uid="{ADEBE580-483E-45C0-9D30-E7867EA79D81}" name="Region"/>
    <tableColumn id="11" xr3:uid="{8785B6D4-451F-4BFA-B79D-190EE1CCCC9E}" name="City"/>
    <tableColumn id="12" xr3:uid="{C5BFF2E8-1875-4DC4-BECE-FB267F101E17}" name="Area_Type"/>
    <tableColumn id="13" xr3:uid="{D46C7149-0BB4-4425-BD51-2D2551FA77C6}" name="Real_Estate_Company"/>
    <tableColumn id="14" xr3:uid="{E0B7F358-8954-4A18-BEDD-1863A742D407}" name="Sales_Agent"/>
    <tableColumn id="15" xr3:uid="{EBD89998-22D6-4A72-9651-9BB73D322D27}" name="Payment_Type"/>
    <tableColumn id="16" xr3:uid="{13AC354F-F383-47D4-B846-7C9EF6710710}" name="Initial_Deposit" dataDxfId="70"/>
    <tableColumn id="17" xr3:uid="{207B6918-4DDD-4395-988F-4F0DD2859302}" name="Installment_Duration"/>
    <tableColumn id="18" xr3:uid="{6DBFBEDF-376A-43B9-8723-9B4E89B0000E}" name="Discount_%" dataDxfId="69" dataCellStyle="Percent"/>
    <tableColumn id="28" xr3:uid="{B442E681-A691-4877-A64A-F61B8E95BBB4}" name="Discount 2" dataDxfId="68" dataCellStyle="Percent">
      <calculatedColumnFormula>Table13[[#This Row],[Discount_%]]/100</calculatedColumnFormula>
    </tableColumn>
    <tableColumn id="19" xr3:uid="{EE6762F3-8DC4-4F2C-A9DD-330AD5BB5E5B}" name="Transaction_Date" dataDxfId="67"/>
    <tableColumn id="20" xr3:uid="{DB59CD10-77DB-47A0-915F-D78FA34E9B7C}" name="Month"/>
    <tableColumn id="21" xr3:uid="{59F3F030-5F2E-4BB0-8681-F6EF0F4A644F}" name="Year"/>
    <tableColumn id="22" xr3:uid="{1F619E8E-F644-49F3-AFBF-96AF5FC61393}" name="Marketing_Channel"/>
    <tableColumn id="23" xr3:uid="{15F44081-139E-4B22-96E9-19651696FA3B}" name="Customer_Type"/>
    <tableColumn id="24" xr3:uid="{66700FBC-992A-4290-B30A-51F5F3E46700}" name="Sales_Status"/>
    <tableColumn id="25" xr3:uid="{8A67BCEA-6D18-4F67-853A-8883CBB080B8}" name="Satisfaction_Rating"/>
    <tableColumn id="26" xr3:uid="{CA2F749B-CE21-4D1E-92EC-505BBB0C7322}" name="Distance_to_City_Center"/>
    <tableColumn id="27" xr3:uid="{83F2270D-3DBB-4664-8E81-DAF09EF556D2}" name="Revenue" dataDxfId="66">
      <calculatedColumnFormula>Table13[[#This Row],[Total_Price]]*(1-Table13[[#This Row],[Discount 2]])</calculatedColumnFormula>
    </tableColumn>
    <tableColumn id="29" xr3:uid="{91CBE523-49E4-42E0-84F5-06B57E540C61}" name="Revenue Classification" dataDxfId="65">
      <calculatedColumnFormula array="1">_xlfn.IFS(Table13[[#This Row],[Revenue]]&gt;=30000000,"High Value",Table13[[#This Row],[Revenue]]&gt;=10000000,"Moderate Value",TRUE,"Low Value")</calculatedColumnFormula>
    </tableColumn>
    <tableColumn id="30" xr3:uid="{5D492CFC-1242-40C6-B03E-0AB8CC68C190}" name="Discount &gt;5%" dataDxfId="64">
      <calculatedColumnFormula>IF(Table13[[#This Row],[Discount 2]]&gt;=5%, "YES", "NO")</calculatedColumnFormula>
    </tableColumn>
    <tableColumn id="31" xr3:uid="{D2125317-D6F7-4F2F-BD7E-5B3F16B603AA}" name="Customer Spending Behaviour" dataDxfId="63">
      <calculatedColumnFormula array="1">_xlfn.IFS(Table13[[#This Row],[Revenue]]&gt;=30000000,"High Spender",Table13[[#This Row],[Revenue]]&gt;=10000000,"Moderate Spender",TRUE,"Low Spender")</calculatedColumnFormula>
    </tableColumn>
    <tableColumn id="32" xr3:uid="{93DD2C86-1C74-4543-986F-47D8E99140E1}" name="Land Size Category" dataDxfId="62">
      <calculatedColumnFormula array="1">_xlfn.IFS(Table13[[#This Row],[Land_Size_SQM]]&gt;=730,"LARGE",Table13[[#This Row],[Land_Size_SQM]]&gt;=465,"MEDIUM",TRUE,"SMALL")</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ivotTable" Target="../pivotTables/pivotTable39.xml"/><Relationship Id="rId21" Type="http://schemas.openxmlformats.org/officeDocument/2006/relationships/pivotTable" Target="../pivotTables/pivotTable21.xml"/><Relationship Id="rId34" Type="http://schemas.openxmlformats.org/officeDocument/2006/relationships/pivotTable" Target="../pivotTables/pivotTable34.xml"/><Relationship Id="rId42" Type="http://schemas.openxmlformats.org/officeDocument/2006/relationships/pivotTable" Target="../pivotTables/pivotTable42.xml"/><Relationship Id="rId7" Type="http://schemas.openxmlformats.org/officeDocument/2006/relationships/pivotTable" Target="../pivotTables/pivotTable7.xml"/><Relationship Id="rId2" Type="http://schemas.openxmlformats.org/officeDocument/2006/relationships/pivotTable" Target="../pivotTables/pivotTable2.xml"/><Relationship Id="rId16" Type="http://schemas.openxmlformats.org/officeDocument/2006/relationships/pivotTable" Target="../pivotTables/pivotTable16.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40" Type="http://schemas.openxmlformats.org/officeDocument/2006/relationships/pivotTable" Target="../pivotTables/pivotTable40.xml"/><Relationship Id="rId45" Type="http://schemas.openxmlformats.org/officeDocument/2006/relationships/pivotTable" Target="../pivotTables/pivotTable45.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4" Type="http://schemas.openxmlformats.org/officeDocument/2006/relationships/pivotTable" Target="../pivotTables/pivotTable44.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43" Type="http://schemas.openxmlformats.org/officeDocument/2006/relationships/pivotTable" Target="../pivotTables/pivotTable43.xml"/><Relationship Id="rId8" Type="http://schemas.openxmlformats.org/officeDocument/2006/relationships/pivotTable" Target="../pivotTables/pivotTable8.xml"/><Relationship Id="rId3" Type="http://schemas.openxmlformats.org/officeDocument/2006/relationships/pivotTable" Target="../pivotTables/pivotTable3.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 Id="rId20" Type="http://schemas.openxmlformats.org/officeDocument/2006/relationships/pivotTable" Target="../pivotTables/pivotTable20.xml"/><Relationship Id="rId41" Type="http://schemas.openxmlformats.org/officeDocument/2006/relationships/pivotTable" Target="../pivotTables/pivotTable4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501"/>
  <sheetViews>
    <sheetView topLeftCell="J1" workbookViewId="0">
      <selection activeCell="AE10" sqref="AE10"/>
    </sheetView>
  </sheetViews>
  <sheetFormatPr defaultRowHeight="14.4" x14ac:dyDescent="0.3"/>
  <cols>
    <col min="8" max="8" width="15.44140625"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t="s">
        <v>26</v>
      </c>
      <c r="B2" t="s">
        <v>526</v>
      </c>
      <c r="C2" t="s">
        <v>626</v>
      </c>
      <c r="D2">
        <v>22</v>
      </c>
      <c r="E2" t="s">
        <v>628</v>
      </c>
      <c r="F2">
        <v>959</v>
      </c>
      <c r="G2">
        <v>20024</v>
      </c>
      <c r="H2">
        <v>19203016</v>
      </c>
      <c r="I2" t="s">
        <v>631</v>
      </c>
      <c r="J2" t="s">
        <v>668</v>
      </c>
      <c r="K2" t="s">
        <v>664</v>
      </c>
      <c r="L2" t="s">
        <v>680</v>
      </c>
      <c r="M2" t="s">
        <v>683</v>
      </c>
      <c r="N2" t="s">
        <v>688</v>
      </c>
      <c r="O2" t="s">
        <v>693</v>
      </c>
      <c r="P2">
        <v>19203016</v>
      </c>
      <c r="Q2">
        <v>0</v>
      </c>
      <c r="R2">
        <v>2.23</v>
      </c>
      <c r="S2" t="s">
        <v>695</v>
      </c>
      <c r="T2" t="s">
        <v>981</v>
      </c>
      <c r="U2">
        <v>2024</v>
      </c>
      <c r="V2" t="s">
        <v>993</v>
      </c>
      <c r="W2" t="s">
        <v>997</v>
      </c>
      <c r="X2" t="s">
        <v>1000</v>
      </c>
      <c r="Y2">
        <v>5</v>
      </c>
      <c r="Z2">
        <v>27</v>
      </c>
    </row>
    <row r="3" spans="1:26" x14ac:dyDescent="0.3">
      <c r="A3" t="s">
        <v>27</v>
      </c>
      <c r="B3" t="s">
        <v>527</v>
      </c>
      <c r="C3" t="s">
        <v>627</v>
      </c>
      <c r="D3">
        <v>41</v>
      </c>
      <c r="E3" t="s">
        <v>628</v>
      </c>
      <c r="F3">
        <v>484</v>
      </c>
      <c r="G3">
        <v>2425</v>
      </c>
      <c r="H3">
        <v>1173700</v>
      </c>
      <c r="I3" t="s">
        <v>632</v>
      </c>
      <c r="J3" t="s">
        <v>669</v>
      </c>
      <c r="K3" t="s">
        <v>674</v>
      </c>
      <c r="L3" t="s">
        <v>680</v>
      </c>
      <c r="M3" t="s">
        <v>684</v>
      </c>
      <c r="N3" t="s">
        <v>689</v>
      </c>
      <c r="O3" t="s">
        <v>693</v>
      </c>
      <c r="P3">
        <v>1173700</v>
      </c>
      <c r="Q3">
        <v>0</v>
      </c>
      <c r="R3">
        <v>6.98</v>
      </c>
      <c r="S3" t="s">
        <v>696</v>
      </c>
      <c r="T3" t="s">
        <v>982</v>
      </c>
      <c r="U3">
        <v>2024</v>
      </c>
      <c r="V3" t="s">
        <v>994</v>
      </c>
      <c r="W3" t="s">
        <v>998</v>
      </c>
      <c r="X3" t="s">
        <v>1001</v>
      </c>
      <c r="Y3">
        <v>3</v>
      </c>
      <c r="Z3">
        <v>3</v>
      </c>
    </row>
    <row r="4" spans="1:26" x14ac:dyDescent="0.3">
      <c r="A4" t="s">
        <v>28</v>
      </c>
      <c r="B4" t="s">
        <v>528</v>
      </c>
      <c r="C4" t="s">
        <v>627</v>
      </c>
      <c r="D4">
        <v>65</v>
      </c>
      <c r="E4" t="s">
        <v>628</v>
      </c>
      <c r="F4">
        <v>327</v>
      </c>
      <c r="G4">
        <v>26807</v>
      </c>
      <c r="H4">
        <v>8765889</v>
      </c>
      <c r="I4" t="s">
        <v>633</v>
      </c>
      <c r="J4" t="s">
        <v>668</v>
      </c>
      <c r="K4" t="s">
        <v>675</v>
      </c>
      <c r="L4" t="s">
        <v>680</v>
      </c>
      <c r="M4" t="s">
        <v>683</v>
      </c>
      <c r="N4" t="s">
        <v>690</v>
      </c>
      <c r="O4" t="s">
        <v>693</v>
      </c>
      <c r="P4">
        <v>8765889</v>
      </c>
      <c r="Q4">
        <v>0</v>
      </c>
      <c r="R4">
        <v>5.52</v>
      </c>
      <c r="S4" t="s">
        <v>697</v>
      </c>
      <c r="T4" t="s">
        <v>983</v>
      </c>
      <c r="U4">
        <v>2024</v>
      </c>
      <c r="V4" t="s">
        <v>993</v>
      </c>
      <c r="W4" t="s">
        <v>999</v>
      </c>
      <c r="X4" t="s">
        <v>1000</v>
      </c>
      <c r="Y4">
        <v>4</v>
      </c>
      <c r="Z4">
        <v>18</v>
      </c>
    </row>
    <row r="5" spans="1:26" x14ac:dyDescent="0.3">
      <c r="A5" t="s">
        <v>29</v>
      </c>
      <c r="B5" t="s">
        <v>529</v>
      </c>
      <c r="C5" t="s">
        <v>627</v>
      </c>
      <c r="D5">
        <v>54</v>
      </c>
      <c r="E5" t="s">
        <v>629</v>
      </c>
      <c r="F5">
        <v>366</v>
      </c>
      <c r="G5">
        <v>26260</v>
      </c>
      <c r="H5">
        <v>9611160</v>
      </c>
      <c r="I5" t="s">
        <v>634</v>
      </c>
      <c r="J5" t="s">
        <v>670</v>
      </c>
      <c r="K5" t="s">
        <v>651</v>
      </c>
      <c r="L5" t="s">
        <v>680</v>
      </c>
      <c r="M5" t="s">
        <v>683</v>
      </c>
      <c r="N5" t="s">
        <v>691</v>
      </c>
      <c r="O5" t="s">
        <v>694</v>
      </c>
      <c r="P5">
        <v>3854580</v>
      </c>
      <c r="Q5">
        <v>6</v>
      </c>
      <c r="R5">
        <v>7.02</v>
      </c>
      <c r="S5" t="s">
        <v>698</v>
      </c>
      <c r="T5" t="s">
        <v>984</v>
      </c>
      <c r="U5">
        <v>2024</v>
      </c>
      <c r="V5" t="s">
        <v>995</v>
      </c>
      <c r="W5" t="s">
        <v>998</v>
      </c>
      <c r="X5" t="s">
        <v>1001</v>
      </c>
      <c r="Y5">
        <v>5</v>
      </c>
      <c r="Z5">
        <v>15</v>
      </c>
    </row>
    <row r="6" spans="1:26" x14ac:dyDescent="0.3">
      <c r="A6" t="s">
        <v>30</v>
      </c>
      <c r="B6" t="s">
        <v>530</v>
      </c>
      <c r="C6" t="s">
        <v>626</v>
      </c>
      <c r="D6">
        <v>45</v>
      </c>
      <c r="E6" t="s">
        <v>629</v>
      </c>
      <c r="F6">
        <v>434</v>
      </c>
      <c r="G6">
        <v>4103</v>
      </c>
      <c r="H6">
        <v>1780702</v>
      </c>
      <c r="I6" t="s">
        <v>635</v>
      </c>
      <c r="J6" t="s">
        <v>668</v>
      </c>
      <c r="K6" t="s">
        <v>664</v>
      </c>
      <c r="L6" t="s">
        <v>681</v>
      </c>
      <c r="M6" t="s">
        <v>683</v>
      </c>
      <c r="N6" t="s">
        <v>690</v>
      </c>
      <c r="O6" t="s">
        <v>694</v>
      </c>
      <c r="P6">
        <v>499170</v>
      </c>
      <c r="Q6">
        <v>24</v>
      </c>
      <c r="R6">
        <v>2.11</v>
      </c>
      <c r="S6" t="s">
        <v>699</v>
      </c>
      <c r="T6" t="s">
        <v>985</v>
      </c>
      <c r="U6">
        <v>2024</v>
      </c>
      <c r="V6" t="s">
        <v>996</v>
      </c>
      <c r="W6" t="s">
        <v>999</v>
      </c>
      <c r="X6" t="s">
        <v>1001</v>
      </c>
      <c r="Y6">
        <v>5</v>
      </c>
      <c r="Z6">
        <v>35</v>
      </c>
    </row>
    <row r="7" spans="1:26" x14ac:dyDescent="0.3">
      <c r="A7" t="s">
        <v>31</v>
      </c>
      <c r="B7" t="s">
        <v>531</v>
      </c>
      <c r="C7" t="s">
        <v>627</v>
      </c>
      <c r="D7">
        <v>27</v>
      </c>
      <c r="E7" t="s">
        <v>628</v>
      </c>
      <c r="F7">
        <v>638</v>
      </c>
      <c r="G7">
        <v>40242</v>
      </c>
      <c r="H7">
        <v>25674396</v>
      </c>
      <c r="I7" t="s">
        <v>636</v>
      </c>
      <c r="J7" t="s">
        <v>671</v>
      </c>
      <c r="K7" t="s">
        <v>674</v>
      </c>
      <c r="L7" t="s">
        <v>682</v>
      </c>
      <c r="M7" t="s">
        <v>683</v>
      </c>
      <c r="N7" t="s">
        <v>691</v>
      </c>
      <c r="O7" t="s">
        <v>694</v>
      </c>
      <c r="P7">
        <v>6824158</v>
      </c>
      <c r="Q7">
        <v>12</v>
      </c>
      <c r="R7">
        <v>9.98</v>
      </c>
      <c r="S7" t="s">
        <v>700</v>
      </c>
      <c r="T7" t="s">
        <v>986</v>
      </c>
      <c r="U7">
        <v>2024</v>
      </c>
      <c r="V7" t="s">
        <v>993</v>
      </c>
      <c r="W7" t="s">
        <v>998</v>
      </c>
      <c r="X7" t="s">
        <v>1002</v>
      </c>
      <c r="Y7">
        <v>5</v>
      </c>
      <c r="Z7">
        <v>30</v>
      </c>
    </row>
    <row r="8" spans="1:26" x14ac:dyDescent="0.3">
      <c r="A8" t="s">
        <v>32</v>
      </c>
      <c r="B8" t="s">
        <v>532</v>
      </c>
      <c r="C8" t="s">
        <v>627</v>
      </c>
      <c r="D8">
        <v>38</v>
      </c>
      <c r="E8" t="s">
        <v>630</v>
      </c>
      <c r="F8">
        <v>211</v>
      </c>
      <c r="G8">
        <v>46583</v>
      </c>
      <c r="H8">
        <v>9829013</v>
      </c>
      <c r="I8" t="s">
        <v>637</v>
      </c>
      <c r="J8" t="s">
        <v>672</v>
      </c>
      <c r="K8" t="s">
        <v>675</v>
      </c>
      <c r="L8" t="s">
        <v>680</v>
      </c>
      <c r="M8" t="s">
        <v>684</v>
      </c>
      <c r="N8" t="s">
        <v>689</v>
      </c>
      <c r="O8" t="s">
        <v>693</v>
      </c>
      <c r="P8">
        <v>9829013</v>
      </c>
      <c r="Q8">
        <v>0</v>
      </c>
      <c r="R8">
        <v>6.82</v>
      </c>
      <c r="S8" t="s">
        <v>701</v>
      </c>
      <c r="T8" t="s">
        <v>985</v>
      </c>
      <c r="U8">
        <v>2024</v>
      </c>
      <c r="V8" t="s">
        <v>994</v>
      </c>
      <c r="W8" t="s">
        <v>997</v>
      </c>
      <c r="X8" t="s">
        <v>1000</v>
      </c>
      <c r="Y8">
        <v>5</v>
      </c>
      <c r="Z8">
        <v>7</v>
      </c>
    </row>
    <row r="9" spans="1:26" x14ac:dyDescent="0.3">
      <c r="A9" t="s">
        <v>33</v>
      </c>
      <c r="B9" t="s">
        <v>533</v>
      </c>
      <c r="C9" t="s">
        <v>627</v>
      </c>
      <c r="D9">
        <v>58</v>
      </c>
      <c r="E9" t="s">
        <v>630</v>
      </c>
      <c r="F9">
        <v>823</v>
      </c>
      <c r="G9">
        <v>15035</v>
      </c>
      <c r="H9">
        <v>12373805</v>
      </c>
      <c r="I9" t="s">
        <v>635</v>
      </c>
      <c r="J9" t="s">
        <v>668</v>
      </c>
      <c r="K9" t="s">
        <v>675</v>
      </c>
      <c r="L9" t="s">
        <v>681</v>
      </c>
      <c r="M9" t="s">
        <v>685</v>
      </c>
      <c r="N9" t="s">
        <v>689</v>
      </c>
      <c r="O9" t="s">
        <v>693</v>
      </c>
      <c r="P9">
        <v>12373805</v>
      </c>
      <c r="Q9">
        <v>0</v>
      </c>
      <c r="R9">
        <v>3.74</v>
      </c>
      <c r="S9" t="s">
        <v>702</v>
      </c>
      <c r="T9" t="s">
        <v>987</v>
      </c>
      <c r="U9">
        <v>2024</v>
      </c>
      <c r="V9" t="s">
        <v>994</v>
      </c>
      <c r="W9" t="s">
        <v>998</v>
      </c>
      <c r="X9" t="s">
        <v>1000</v>
      </c>
      <c r="Y9">
        <v>1</v>
      </c>
      <c r="Z9">
        <v>16</v>
      </c>
    </row>
    <row r="10" spans="1:26" x14ac:dyDescent="0.3">
      <c r="A10" t="s">
        <v>34</v>
      </c>
      <c r="B10" t="s">
        <v>534</v>
      </c>
      <c r="C10" t="s">
        <v>626</v>
      </c>
      <c r="D10">
        <v>55</v>
      </c>
      <c r="E10" t="s">
        <v>628</v>
      </c>
      <c r="F10">
        <v>949</v>
      </c>
      <c r="G10">
        <v>33849</v>
      </c>
      <c r="H10">
        <v>32122701</v>
      </c>
      <c r="I10" t="s">
        <v>638</v>
      </c>
      <c r="J10" t="s">
        <v>672</v>
      </c>
      <c r="K10" t="s">
        <v>676</v>
      </c>
      <c r="L10" t="s">
        <v>681</v>
      </c>
      <c r="M10" t="s">
        <v>686</v>
      </c>
      <c r="N10" t="s">
        <v>692</v>
      </c>
      <c r="O10" t="s">
        <v>693</v>
      </c>
      <c r="P10">
        <v>32122701</v>
      </c>
      <c r="Q10">
        <v>0</v>
      </c>
      <c r="R10">
        <v>9.7799999999999994</v>
      </c>
      <c r="S10" t="s">
        <v>703</v>
      </c>
      <c r="T10" t="s">
        <v>986</v>
      </c>
      <c r="U10">
        <v>2024</v>
      </c>
      <c r="V10" t="s">
        <v>995</v>
      </c>
      <c r="W10" t="s">
        <v>999</v>
      </c>
      <c r="X10" t="s">
        <v>1001</v>
      </c>
      <c r="Y10">
        <v>2</v>
      </c>
      <c r="Z10">
        <v>46</v>
      </c>
    </row>
    <row r="11" spans="1:26" x14ac:dyDescent="0.3">
      <c r="A11" t="s">
        <v>35</v>
      </c>
      <c r="B11" t="s">
        <v>535</v>
      </c>
      <c r="C11" t="s">
        <v>627</v>
      </c>
      <c r="D11">
        <v>57</v>
      </c>
      <c r="E11" t="s">
        <v>628</v>
      </c>
      <c r="F11">
        <v>648</v>
      </c>
      <c r="G11">
        <v>35919</v>
      </c>
      <c r="H11">
        <v>23275512</v>
      </c>
      <c r="I11" t="s">
        <v>639</v>
      </c>
      <c r="J11" t="s">
        <v>671</v>
      </c>
      <c r="K11" t="s">
        <v>651</v>
      </c>
      <c r="L11" t="s">
        <v>680</v>
      </c>
      <c r="M11" t="s">
        <v>685</v>
      </c>
      <c r="N11" t="s">
        <v>689</v>
      </c>
      <c r="O11" t="s">
        <v>694</v>
      </c>
      <c r="P11">
        <v>6386141</v>
      </c>
      <c r="Q11">
        <v>3</v>
      </c>
      <c r="R11">
        <v>0.64</v>
      </c>
      <c r="S11" t="s">
        <v>704</v>
      </c>
      <c r="T11" t="s">
        <v>988</v>
      </c>
      <c r="U11">
        <v>2024</v>
      </c>
      <c r="V11" t="s">
        <v>996</v>
      </c>
      <c r="W11" t="s">
        <v>999</v>
      </c>
      <c r="X11" t="s">
        <v>1000</v>
      </c>
      <c r="Y11">
        <v>3</v>
      </c>
      <c r="Z11">
        <v>5</v>
      </c>
    </row>
    <row r="12" spans="1:26" x14ac:dyDescent="0.3">
      <c r="A12" t="s">
        <v>36</v>
      </c>
      <c r="B12" t="s">
        <v>536</v>
      </c>
      <c r="C12" t="s">
        <v>627</v>
      </c>
      <c r="D12">
        <v>50</v>
      </c>
      <c r="E12" t="s">
        <v>630</v>
      </c>
      <c r="F12">
        <v>885</v>
      </c>
      <c r="G12">
        <v>33812</v>
      </c>
      <c r="H12">
        <v>29923620</v>
      </c>
      <c r="I12" t="s">
        <v>640</v>
      </c>
      <c r="J12" t="s">
        <v>672</v>
      </c>
      <c r="K12" t="s">
        <v>677</v>
      </c>
      <c r="L12" t="s">
        <v>680</v>
      </c>
      <c r="M12" t="s">
        <v>685</v>
      </c>
      <c r="N12" t="s">
        <v>689</v>
      </c>
      <c r="O12" t="s">
        <v>693</v>
      </c>
      <c r="P12">
        <v>29923620</v>
      </c>
      <c r="Q12">
        <v>0</v>
      </c>
      <c r="R12">
        <v>5.39</v>
      </c>
      <c r="S12" t="s">
        <v>705</v>
      </c>
      <c r="T12" t="s">
        <v>985</v>
      </c>
      <c r="U12">
        <v>2024</v>
      </c>
      <c r="V12" t="s">
        <v>995</v>
      </c>
      <c r="W12" t="s">
        <v>998</v>
      </c>
      <c r="X12" t="s">
        <v>1002</v>
      </c>
      <c r="Y12">
        <v>4</v>
      </c>
      <c r="Z12">
        <v>30</v>
      </c>
    </row>
    <row r="13" spans="1:26" x14ac:dyDescent="0.3">
      <c r="A13" t="s">
        <v>37</v>
      </c>
      <c r="B13" t="s">
        <v>537</v>
      </c>
      <c r="C13" t="s">
        <v>627</v>
      </c>
      <c r="D13">
        <v>37</v>
      </c>
      <c r="E13" t="s">
        <v>630</v>
      </c>
      <c r="F13">
        <v>262</v>
      </c>
      <c r="G13">
        <v>28386</v>
      </c>
      <c r="H13">
        <v>7437132</v>
      </c>
      <c r="I13" t="s">
        <v>631</v>
      </c>
      <c r="J13" t="s">
        <v>668</v>
      </c>
      <c r="K13" t="s">
        <v>676</v>
      </c>
      <c r="L13" t="s">
        <v>680</v>
      </c>
      <c r="M13" t="s">
        <v>685</v>
      </c>
      <c r="N13" t="s">
        <v>691</v>
      </c>
      <c r="O13" t="s">
        <v>694</v>
      </c>
      <c r="P13">
        <v>2042213</v>
      </c>
      <c r="Q13">
        <v>3</v>
      </c>
      <c r="R13">
        <v>1.9</v>
      </c>
      <c r="S13" t="s">
        <v>706</v>
      </c>
      <c r="T13" t="s">
        <v>989</v>
      </c>
      <c r="U13">
        <v>2024</v>
      </c>
      <c r="V13" t="s">
        <v>993</v>
      </c>
      <c r="W13" t="s">
        <v>999</v>
      </c>
      <c r="X13" t="s">
        <v>1001</v>
      </c>
      <c r="Y13">
        <v>5</v>
      </c>
      <c r="Z13">
        <v>1</v>
      </c>
    </row>
    <row r="14" spans="1:26" x14ac:dyDescent="0.3">
      <c r="A14" t="s">
        <v>38</v>
      </c>
      <c r="B14" t="s">
        <v>538</v>
      </c>
      <c r="C14" t="s">
        <v>626</v>
      </c>
      <c r="D14">
        <v>36</v>
      </c>
      <c r="E14" t="s">
        <v>630</v>
      </c>
      <c r="F14">
        <v>616</v>
      </c>
      <c r="G14">
        <v>33826</v>
      </c>
      <c r="H14">
        <v>20836816</v>
      </c>
      <c r="I14" t="s">
        <v>641</v>
      </c>
      <c r="J14" t="s">
        <v>673</v>
      </c>
      <c r="K14" t="s">
        <v>638</v>
      </c>
      <c r="L14" t="s">
        <v>681</v>
      </c>
      <c r="M14" t="s">
        <v>684</v>
      </c>
      <c r="N14" t="s">
        <v>692</v>
      </c>
      <c r="O14" t="s">
        <v>694</v>
      </c>
      <c r="P14">
        <v>9572332</v>
      </c>
      <c r="Q14">
        <v>6</v>
      </c>
      <c r="R14">
        <v>9.02</v>
      </c>
      <c r="S14" t="s">
        <v>707</v>
      </c>
      <c r="T14" t="s">
        <v>987</v>
      </c>
      <c r="U14">
        <v>2024</v>
      </c>
      <c r="V14" t="s">
        <v>995</v>
      </c>
      <c r="W14" t="s">
        <v>999</v>
      </c>
      <c r="X14" t="s">
        <v>1000</v>
      </c>
      <c r="Y14">
        <v>3</v>
      </c>
      <c r="Z14">
        <v>14</v>
      </c>
    </row>
    <row r="15" spans="1:26" x14ac:dyDescent="0.3">
      <c r="A15" t="s">
        <v>39</v>
      </c>
      <c r="B15" t="s">
        <v>533</v>
      </c>
      <c r="C15" t="s">
        <v>627</v>
      </c>
      <c r="D15">
        <v>23</v>
      </c>
      <c r="E15" t="s">
        <v>629</v>
      </c>
      <c r="F15">
        <v>262</v>
      </c>
      <c r="G15">
        <v>22552</v>
      </c>
      <c r="H15">
        <v>5908624</v>
      </c>
      <c r="I15" t="s">
        <v>642</v>
      </c>
      <c r="J15" t="s">
        <v>673</v>
      </c>
      <c r="K15" t="s">
        <v>675</v>
      </c>
      <c r="L15" t="s">
        <v>680</v>
      </c>
      <c r="M15" t="s">
        <v>683</v>
      </c>
      <c r="N15" t="s">
        <v>689</v>
      </c>
      <c r="O15" t="s">
        <v>693</v>
      </c>
      <c r="P15">
        <v>5908624</v>
      </c>
      <c r="Q15">
        <v>0</v>
      </c>
      <c r="R15">
        <v>0.5</v>
      </c>
      <c r="S15" t="s">
        <v>708</v>
      </c>
      <c r="T15" t="s">
        <v>986</v>
      </c>
      <c r="U15">
        <v>2024</v>
      </c>
      <c r="V15" t="s">
        <v>993</v>
      </c>
      <c r="W15" t="s">
        <v>997</v>
      </c>
      <c r="X15" t="s">
        <v>1000</v>
      </c>
      <c r="Y15">
        <v>4</v>
      </c>
      <c r="Z15">
        <v>8</v>
      </c>
    </row>
    <row r="16" spans="1:26" x14ac:dyDescent="0.3">
      <c r="A16" t="s">
        <v>40</v>
      </c>
      <c r="B16" t="s">
        <v>535</v>
      </c>
      <c r="C16" t="s">
        <v>626</v>
      </c>
      <c r="D16">
        <v>36</v>
      </c>
      <c r="E16" t="s">
        <v>628</v>
      </c>
      <c r="F16">
        <v>808</v>
      </c>
      <c r="G16">
        <v>4604</v>
      </c>
      <c r="H16">
        <v>3720032</v>
      </c>
      <c r="I16" t="s">
        <v>640</v>
      </c>
      <c r="J16" t="s">
        <v>672</v>
      </c>
      <c r="K16" t="s">
        <v>674</v>
      </c>
      <c r="L16" t="s">
        <v>682</v>
      </c>
      <c r="M16" t="s">
        <v>687</v>
      </c>
      <c r="N16" t="s">
        <v>688</v>
      </c>
      <c r="O16" t="s">
        <v>693</v>
      </c>
      <c r="P16">
        <v>3720032</v>
      </c>
      <c r="Q16">
        <v>0</v>
      </c>
      <c r="R16">
        <v>4.1900000000000004</v>
      </c>
      <c r="S16" t="s">
        <v>709</v>
      </c>
      <c r="T16" t="s">
        <v>985</v>
      </c>
      <c r="U16">
        <v>2024</v>
      </c>
      <c r="V16" t="s">
        <v>994</v>
      </c>
      <c r="W16" t="s">
        <v>998</v>
      </c>
      <c r="X16" t="s">
        <v>1000</v>
      </c>
      <c r="Y16">
        <v>3</v>
      </c>
      <c r="Z16">
        <v>30</v>
      </c>
    </row>
    <row r="17" spans="1:26" x14ac:dyDescent="0.3">
      <c r="A17" t="s">
        <v>41</v>
      </c>
      <c r="B17" t="s">
        <v>539</v>
      </c>
      <c r="C17" t="s">
        <v>627</v>
      </c>
      <c r="D17">
        <v>42</v>
      </c>
      <c r="E17" t="s">
        <v>628</v>
      </c>
      <c r="F17">
        <v>669</v>
      </c>
      <c r="G17">
        <v>42708</v>
      </c>
      <c r="H17">
        <v>28571652</v>
      </c>
      <c r="I17" t="s">
        <v>643</v>
      </c>
      <c r="J17" t="s">
        <v>671</v>
      </c>
      <c r="K17" t="s">
        <v>664</v>
      </c>
      <c r="L17" t="s">
        <v>680</v>
      </c>
      <c r="M17" t="s">
        <v>687</v>
      </c>
      <c r="N17" t="s">
        <v>690</v>
      </c>
      <c r="O17" t="s">
        <v>693</v>
      </c>
      <c r="P17">
        <v>28571652</v>
      </c>
      <c r="Q17">
        <v>0</v>
      </c>
      <c r="R17">
        <v>0.73</v>
      </c>
      <c r="S17" t="s">
        <v>710</v>
      </c>
      <c r="T17" t="s">
        <v>990</v>
      </c>
      <c r="U17">
        <v>2024</v>
      </c>
      <c r="V17" t="s">
        <v>996</v>
      </c>
      <c r="W17" t="s">
        <v>998</v>
      </c>
      <c r="X17" t="s">
        <v>1001</v>
      </c>
      <c r="Y17">
        <v>3</v>
      </c>
      <c r="Z17">
        <v>40</v>
      </c>
    </row>
    <row r="18" spans="1:26" x14ac:dyDescent="0.3">
      <c r="A18" t="s">
        <v>42</v>
      </c>
      <c r="B18" t="s">
        <v>540</v>
      </c>
      <c r="C18" t="s">
        <v>627</v>
      </c>
      <c r="D18">
        <v>37</v>
      </c>
      <c r="E18" t="s">
        <v>630</v>
      </c>
      <c r="F18">
        <v>883</v>
      </c>
      <c r="G18">
        <v>38346</v>
      </c>
      <c r="H18">
        <v>33859518</v>
      </c>
      <c r="I18" t="s">
        <v>644</v>
      </c>
      <c r="J18" t="s">
        <v>668</v>
      </c>
      <c r="K18" t="s">
        <v>664</v>
      </c>
      <c r="L18" t="s">
        <v>682</v>
      </c>
      <c r="M18" t="s">
        <v>683</v>
      </c>
      <c r="N18" t="s">
        <v>690</v>
      </c>
      <c r="O18" t="s">
        <v>694</v>
      </c>
      <c r="P18">
        <v>16309419</v>
      </c>
      <c r="Q18">
        <v>3</v>
      </c>
      <c r="R18">
        <v>1.34</v>
      </c>
      <c r="S18" t="s">
        <v>711</v>
      </c>
      <c r="T18" t="s">
        <v>981</v>
      </c>
      <c r="U18">
        <v>2024</v>
      </c>
      <c r="V18" t="s">
        <v>996</v>
      </c>
      <c r="W18" t="s">
        <v>997</v>
      </c>
      <c r="X18" t="s">
        <v>1001</v>
      </c>
      <c r="Y18">
        <v>3</v>
      </c>
      <c r="Z18">
        <v>33</v>
      </c>
    </row>
    <row r="19" spans="1:26" x14ac:dyDescent="0.3">
      <c r="A19" t="s">
        <v>43</v>
      </c>
      <c r="B19" t="s">
        <v>527</v>
      </c>
      <c r="C19" t="s">
        <v>626</v>
      </c>
      <c r="D19">
        <v>55</v>
      </c>
      <c r="E19" t="s">
        <v>629</v>
      </c>
      <c r="F19">
        <v>294</v>
      </c>
      <c r="G19">
        <v>43568</v>
      </c>
      <c r="H19">
        <v>12808992</v>
      </c>
      <c r="I19" t="s">
        <v>645</v>
      </c>
      <c r="J19" t="s">
        <v>670</v>
      </c>
      <c r="K19" t="s">
        <v>664</v>
      </c>
      <c r="L19" t="s">
        <v>681</v>
      </c>
      <c r="M19" t="s">
        <v>686</v>
      </c>
      <c r="N19" t="s">
        <v>689</v>
      </c>
      <c r="O19" t="s">
        <v>694</v>
      </c>
      <c r="P19">
        <v>2731210</v>
      </c>
      <c r="Q19">
        <v>12</v>
      </c>
      <c r="R19">
        <v>3.34</v>
      </c>
      <c r="S19" t="s">
        <v>712</v>
      </c>
      <c r="T19" t="s">
        <v>987</v>
      </c>
      <c r="U19">
        <v>2024</v>
      </c>
      <c r="V19" t="s">
        <v>993</v>
      </c>
      <c r="W19" t="s">
        <v>999</v>
      </c>
      <c r="X19" t="s">
        <v>1001</v>
      </c>
      <c r="Y19">
        <v>2</v>
      </c>
      <c r="Z19">
        <v>35</v>
      </c>
    </row>
    <row r="20" spans="1:26" x14ac:dyDescent="0.3">
      <c r="A20" t="s">
        <v>44</v>
      </c>
      <c r="B20" t="s">
        <v>530</v>
      </c>
      <c r="C20" t="s">
        <v>627</v>
      </c>
      <c r="D20">
        <v>62</v>
      </c>
      <c r="E20" t="s">
        <v>628</v>
      </c>
      <c r="F20">
        <v>765</v>
      </c>
      <c r="G20">
        <v>11705</v>
      </c>
      <c r="H20">
        <v>8954325</v>
      </c>
      <c r="I20" t="s">
        <v>646</v>
      </c>
      <c r="J20" t="s">
        <v>673</v>
      </c>
      <c r="K20" t="s">
        <v>674</v>
      </c>
      <c r="L20" t="s">
        <v>681</v>
      </c>
      <c r="M20" t="s">
        <v>686</v>
      </c>
      <c r="N20" t="s">
        <v>691</v>
      </c>
      <c r="O20" t="s">
        <v>694</v>
      </c>
      <c r="P20">
        <v>1903230</v>
      </c>
      <c r="Q20">
        <v>6</v>
      </c>
      <c r="R20">
        <v>3.65</v>
      </c>
      <c r="S20" t="s">
        <v>713</v>
      </c>
      <c r="T20" t="s">
        <v>988</v>
      </c>
      <c r="U20">
        <v>2024</v>
      </c>
      <c r="V20" t="s">
        <v>996</v>
      </c>
      <c r="W20" t="s">
        <v>999</v>
      </c>
      <c r="X20" t="s">
        <v>1000</v>
      </c>
      <c r="Y20">
        <v>2</v>
      </c>
      <c r="Z20">
        <v>27</v>
      </c>
    </row>
    <row r="21" spans="1:26" x14ac:dyDescent="0.3">
      <c r="A21" t="s">
        <v>45</v>
      </c>
      <c r="B21" t="s">
        <v>541</v>
      </c>
      <c r="C21" t="s">
        <v>627</v>
      </c>
      <c r="D21">
        <v>50</v>
      </c>
      <c r="E21" t="s">
        <v>628</v>
      </c>
      <c r="F21">
        <v>621</v>
      </c>
      <c r="G21">
        <v>45903</v>
      </c>
      <c r="H21">
        <v>28505763</v>
      </c>
      <c r="I21" t="s">
        <v>641</v>
      </c>
      <c r="J21" t="s">
        <v>673</v>
      </c>
      <c r="K21" t="s">
        <v>651</v>
      </c>
      <c r="L21" t="s">
        <v>680</v>
      </c>
      <c r="M21" t="s">
        <v>684</v>
      </c>
      <c r="N21" t="s">
        <v>690</v>
      </c>
      <c r="O21" t="s">
        <v>693</v>
      </c>
      <c r="P21">
        <v>28505763</v>
      </c>
      <c r="Q21">
        <v>0</v>
      </c>
      <c r="R21">
        <v>2.67</v>
      </c>
      <c r="S21" t="s">
        <v>714</v>
      </c>
      <c r="T21" t="s">
        <v>984</v>
      </c>
      <c r="U21">
        <v>2024</v>
      </c>
      <c r="V21" t="s">
        <v>994</v>
      </c>
      <c r="W21" t="s">
        <v>999</v>
      </c>
      <c r="X21" t="s">
        <v>1000</v>
      </c>
      <c r="Y21">
        <v>1</v>
      </c>
      <c r="Z21">
        <v>43</v>
      </c>
    </row>
    <row r="22" spans="1:26" x14ac:dyDescent="0.3">
      <c r="A22" t="s">
        <v>46</v>
      </c>
      <c r="B22" t="s">
        <v>542</v>
      </c>
      <c r="C22" t="s">
        <v>627</v>
      </c>
      <c r="D22">
        <v>36</v>
      </c>
      <c r="E22" t="s">
        <v>628</v>
      </c>
      <c r="F22">
        <v>485</v>
      </c>
      <c r="G22">
        <v>6549</v>
      </c>
      <c r="H22">
        <v>3176265</v>
      </c>
      <c r="I22" t="s">
        <v>632</v>
      </c>
      <c r="J22" t="s">
        <v>669</v>
      </c>
      <c r="K22" t="s">
        <v>651</v>
      </c>
      <c r="L22" t="s">
        <v>682</v>
      </c>
      <c r="M22" t="s">
        <v>687</v>
      </c>
      <c r="N22" t="s">
        <v>689</v>
      </c>
      <c r="O22" t="s">
        <v>694</v>
      </c>
      <c r="P22">
        <v>1246508</v>
      </c>
      <c r="Q22">
        <v>12</v>
      </c>
      <c r="R22">
        <v>4</v>
      </c>
      <c r="S22" t="s">
        <v>701</v>
      </c>
      <c r="T22" t="s">
        <v>985</v>
      </c>
      <c r="U22">
        <v>2024</v>
      </c>
      <c r="V22" t="s">
        <v>993</v>
      </c>
      <c r="W22" t="s">
        <v>997</v>
      </c>
      <c r="X22" t="s">
        <v>1002</v>
      </c>
      <c r="Y22">
        <v>3</v>
      </c>
      <c r="Z22">
        <v>47</v>
      </c>
    </row>
    <row r="23" spans="1:26" x14ac:dyDescent="0.3">
      <c r="A23" t="s">
        <v>47</v>
      </c>
      <c r="B23" t="s">
        <v>533</v>
      </c>
      <c r="C23" t="s">
        <v>627</v>
      </c>
      <c r="D23">
        <v>43</v>
      </c>
      <c r="E23" t="s">
        <v>630</v>
      </c>
      <c r="F23">
        <v>723</v>
      </c>
      <c r="G23">
        <v>9578</v>
      </c>
      <c r="H23">
        <v>6924894</v>
      </c>
      <c r="I23" t="s">
        <v>639</v>
      </c>
      <c r="J23" t="s">
        <v>671</v>
      </c>
      <c r="K23" t="s">
        <v>674</v>
      </c>
      <c r="L23" t="s">
        <v>680</v>
      </c>
      <c r="M23" t="s">
        <v>687</v>
      </c>
      <c r="N23" t="s">
        <v>692</v>
      </c>
      <c r="O23" t="s">
        <v>694</v>
      </c>
      <c r="P23">
        <v>1914157</v>
      </c>
      <c r="Q23">
        <v>6</v>
      </c>
      <c r="R23">
        <v>7.09</v>
      </c>
      <c r="S23" t="s">
        <v>715</v>
      </c>
      <c r="T23" t="s">
        <v>988</v>
      </c>
      <c r="U23">
        <v>2024</v>
      </c>
      <c r="V23" t="s">
        <v>994</v>
      </c>
      <c r="W23" t="s">
        <v>997</v>
      </c>
      <c r="X23" t="s">
        <v>1000</v>
      </c>
      <c r="Y23">
        <v>3</v>
      </c>
      <c r="Z23">
        <v>33</v>
      </c>
    </row>
    <row r="24" spans="1:26" x14ac:dyDescent="0.3">
      <c r="A24" t="s">
        <v>48</v>
      </c>
      <c r="B24" t="s">
        <v>543</v>
      </c>
      <c r="C24" t="s">
        <v>626</v>
      </c>
      <c r="D24">
        <v>45</v>
      </c>
      <c r="E24" t="s">
        <v>629</v>
      </c>
      <c r="F24">
        <v>534</v>
      </c>
      <c r="G24">
        <v>28371</v>
      </c>
      <c r="H24">
        <v>15150114</v>
      </c>
      <c r="I24" t="s">
        <v>636</v>
      </c>
      <c r="J24" t="s">
        <v>671</v>
      </c>
      <c r="K24" t="s">
        <v>640</v>
      </c>
      <c r="L24" t="s">
        <v>680</v>
      </c>
      <c r="M24" t="s">
        <v>687</v>
      </c>
      <c r="N24" t="s">
        <v>690</v>
      </c>
      <c r="O24" t="s">
        <v>694</v>
      </c>
      <c r="P24">
        <v>3901943</v>
      </c>
      <c r="Q24">
        <v>6</v>
      </c>
      <c r="R24">
        <v>6.65</v>
      </c>
      <c r="S24" t="s">
        <v>716</v>
      </c>
      <c r="T24" t="s">
        <v>991</v>
      </c>
      <c r="U24">
        <v>2024</v>
      </c>
      <c r="V24" t="s">
        <v>996</v>
      </c>
      <c r="W24" t="s">
        <v>998</v>
      </c>
      <c r="X24" t="s">
        <v>1001</v>
      </c>
      <c r="Y24">
        <v>5</v>
      </c>
      <c r="Z24">
        <v>42</v>
      </c>
    </row>
    <row r="25" spans="1:26" x14ac:dyDescent="0.3">
      <c r="A25" t="s">
        <v>49</v>
      </c>
      <c r="B25" t="s">
        <v>544</v>
      </c>
      <c r="C25" t="s">
        <v>626</v>
      </c>
      <c r="D25">
        <v>25</v>
      </c>
      <c r="E25" t="s">
        <v>628</v>
      </c>
      <c r="F25">
        <v>652</v>
      </c>
      <c r="G25">
        <v>46277</v>
      </c>
      <c r="H25">
        <v>30172604</v>
      </c>
      <c r="I25" t="s">
        <v>639</v>
      </c>
      <c r="J25" t="s">
        <v>671</v>
      </c>
      <c r="K25" t="s">
        <v>678</v>
      </c>
      <c r="L25" t="s">
        <v>682</v>
      </c>
      <c r="M25" t="s">
        <v>687</v>
      </c>
      <c r="N25" t="s">
        <v>688</v>
      </c>
      <c r="O25" t="s">
        <v>693</v>
      </c>
      <c r="P25">
        <v>30172604</v>
      </c>
      <c r="Q25">
        <v>0</v>
      </c>
      <c r="R25">
        <v>5.1100000000000003</v>
      </c>
      <c r="S25" t="s">
        <v>717</v>
      </c>
      <c r="T25" t="s">
        <v>987</v>
      </c>
      <c r="U25">
        <v>2024</v>
      </c>
      <c r="V25" t="s">
        <v>996</v>
      </c>
      <c r="W25" t="s">
        <v>999</v>
      </c>
      <c r="X25" t="s">
        <v>1000</v>
      </c>
      <c r="Y25">
        <v>1</v>
      </c>
      <c r="Z25">
        <v>16</v>
      </c>
    </row>
    <row r="26" spans="1:26" x14ac:dyDescent="0.3">
      <c r="A26" t="s">
        <v>50</v>
      </c>
      <c r="B26" t="s">
        <v>545</v>
      </c>
      <c r="C26" t="s">
        <v>627</v>
      </c>
      <c r="D26">
        <v>29</v>
      </c>
      <c r="E26" t="s">
        <v>629</v>
      </c>
      <c r="F26">
        <v>666</v>
      </c>
      <c r="G26">
        <v>29160</v>
      </c>
      <c r="H26">
        <v>19420560</v>
      </c>
      <c r="I26" t="s">
        <v>647</v>
      </c>
      <c r="J26" t="s">
        <v>670</v>
      </c>
      <c r="K26" t="s">
        <v>676</v>
      </c>
      <c r="L26" t="s">
        <v>682</v>
      </c>
      <c r="M26" t="s">
        <v>685</v>
      </c>
      <c r="N26" t="s">
        <v>689</v>
      </c>
      <c r="O26" t="s">
        <v>693</v>
      </c>
      <c r="P26">
        <v>19420560</v>
      </c>
      <c r="Q26">
        <v>0</v>
      </c>
      <c r="R26">
        <v>7.18</v>
      </c>
      <c r="S26" t="s">
        <v>718</v>
      </c>
      <c r="T26" t="s">
        <v>991</v>
      </c>
      <c r="U26">
        <v>2024</v>
      </c>
      <c r="V26" t="s">
        <v>995</v>
      </c>
      <c r="W26" t="s">
        <v>999</v>
      </c>
      <c r="X26" t="s">
        <v>1000</v>
      </c>
      <c r="Y26">
        <v>5</v>
      </c>
      <c r="Z26">
        <v>30</v>
      </c>
    </row>
    <row r="27" spans="1:26" x14ac:dyDescent="0.3">
      <c r="A27" t="s">
        <v>51</v>
      </c>
      <c r="B27" t="s">
        <v>533</v>
      </c>
      <c r="C27" t="s">
        <v>626</v>
      </c>
      <c r="D27">
        <v>48</v>
      </c>
      <c r="E27" t="s">
        <v>629</v>
      </c>
      <c r="F27">
        <v>324</v>
      </c>
      <c r="G27">
        <v>31914</v>
      </c>
      <c r="H27">
        <v>10340136</v>
      </c>
      <c r="I27" t="s">
        <v>642</v>
      </c>
      <c r="J27" t="s">
        <v>673</v>
      </c>
      <c r="K27" t="s">
        <v>679</v>
      </c>
      <c r="L27" t="s">
        <v>682</v>
      </c>
      <c r="M27" t="s">
        <v>686</v>
      </c>
      <c r="N27" t="s">
        <v>691</v>
      </c>
      <c r="O27" t="s">
        <v>693</v>
      </c>
      <c r="P27">
        <v>10340136</v>
      </c>
      <c r="Q27">
        <v>0</v>
      </c>
      <c r="R27">
        <v>8.01</v>
      </c>
      <c r="S27" t="s">
        <v>719</v>
      </c>
      <c r="T27" t="s">
        <v>984</v>
      </c>
      <c r="U27">
        <v>2024</v>
      </c>
      <c r="V27" t="s">
        <v>995</v>
      </c>
      <c r="W27" t="s">
        <v>999</v>
      </c>
      <c r="X27" t="s">
        <v>1001</v>
      </c>
      <c r="Y27">
        <v>4</v>
      </c>
      <c r="Z27">
        <v>29</v>
      </c>
    </row>
    <row r="28" spans="1:26" x14ac:dyDescent="0.3">
      <c r="A28" t="s">
        <v>52</v>
      </c>
      <c r="B28" t="s">
        <v>546</v>
      </c>
      <c r="C28" t="s">
        <v>626</v>
      </c>
      <c r="D28">
        <v>40</v>
      </c>
      <c r="E28" t="s">
        <v>629</v>
      </c>
      <c r="F28">
        <v>984</v>
      </c>
      <c r="G28">
        <v>36163</v>
      </c>
      <c r="H28">
        <v>35584392</v>
      </c>
      <c r="I28" t="s">
        <v>648</v>
      </c>
      <c r="J28" t="s">
        <v>671</v>
      </c>
      <c r="K28" t="s">
        <v>677</v>
      </c>
      <c r="L28" t="s">
        <v>680</v>
      </c>
      <c r="M28" t="s">
        <v>683</v>
      </c>
      <c r="N28" t="s">
        <v>688</v>
      </c>
      <c r="O28" t="s">
        <v>694</v>
      </c>
      <c r="P28">
        <v>10048293</v>
      </c>
      <c r="Q28">
        <v>6</v>
      </c>
      <c r="R28">
        <v>0.77</v>
      </c>
      <c r="S28" t="s">
        <v>720</v>
      </c>
      <c r="T28" t="s">
        <v>992</v>
      </c>
      <c r="U28">
        <v>2024</v>
      </c>
      <c r="V28" t="s">
        <v>996</v>
      </c>
      <c r="W28" t="s">
        <v>998</v>
      </c>
      <c r="X28" t="s">
        <v>1001</v>
      </c>
      <c r="Y28">
        <v>2</v>
      </c>
      <c r="Z28">
        <v>46</v>
      </c>
    </row>
    <row r="29" spans="1:26" x14ac:dyDescent="0.3">
      <c r="A29" t="s">
        <v>53</v>
      </c>
      <c r="B29" t="s">
        <v>547</v>
      </c>
      <c r="C29" t="s">
        <v>626</v>
      </c>
      <c r="D29">
        <v>50</v>
      </c>
      <c r="E29" t="s">
        <v>628</v>
      </c>
      <c r="F29">
        <v>617</v>
      </c>
      <c r="G29">
        <v>23684</v>
      </c>
      <c r="H29">
        <v>14613028</v>
      </c>
      <c r="I29" t="s">
        <v>649</v>
      </c>
      <c r="J29" t="s">
        <v>669</v>
      </c>
      <c r="K29" t="s">
        <v>640</v>
      </c>
      <c r="L29" t="s">
        <v>681</v>
      </c>
      <c r="M29" t="s">
        <v>687</v>
      </c>
      <c r="N29" t="s">
        <v>691</v>
      </c>
      <c r="O29" t="s">
        <v>694</v>
      </c>
      <c r="P29">
        <v>3195573</v>
      </c>
      <c r="Q29">
        <v>24</v>
      </c>
      <c r="R29">
        <v>8.33</v>
      </c>
      <c r="S29" t="s">
        <v>721</v>
      </c>
      <c r="T29" t="s">
        <v>991</v>
      </c>
      <c r="U29">
        <v>2024</v>
      </c>
      <c r="V29" t="s">
        <v>995</v>
      </c>
      <c r="W29" t="s">
        <v>997</v>
      </c>
      <c r="X29" t="s">
        <v>1001</v>
      </c>
      <c r="Y29">
        <v>5</v>
      </c>
      <c r="Z29">
        <v>39</v>
      </c>
    </row>
    <row r="30" spans="1:26" x14ac:dyDescent="0.3">
      <c r="A30" t="s">
        <v>54</v>
      </c>
      <c r="B30" t="s">
        <v>548</v>
      </c>
      <c r="C30" t="s">
        <v>627</v>
      </c>
      <c r="D30">
        <v>59</v>
      </c>
      <c r="E30" t="s">
        <v>629</v>
      </c>
      <c r="F30">
        <v>479</v>
      </c>
      <c r="G30">
        <v>30562</v>
      </c>
      <c r="H30">
        <v>14639198</v>
      </c>
      <c r="I30" t="s">
        <v>632</v>
      </c>
      <c r="J30" t="s">
        <v>669</v>
      </c>
      <c r="K30" t="s">
        <v>679</v>
      </c>
      <c r="L30" t="s">
        <v>680</v>
      </c>
      <c r="M30" t="s">
        <v>684</v>
      </c>
      <c r="N30" t="s">
        <v>692</v>
      </c>
      <c r="O30" t="s">
        <v>694</v>
      </c>
      <c r="P30">
        <v>4635607</v>
      </c>
      <c r="Q30">
        <v>3</v>
      </c>
      <c r="R30">
        <v>6.69</v>
      </c>
      <c r="S30" t="s">
        <v>722</v>
      </c>
      <c r="T30" t="s">
        <v>991</v>
      </c>
      <c r="U30">
        <v>2024</v>
      </c>
      <c r="V30" t="s">
        <v>993</v>
      </c>
      <c r="W30" t="s">
        <v>999</v>
      </c>
      <c r="X30" t="s">
        <v>1001</v>
      </c>
      <c r="Y30">
        <v>4</v>
      </c>
      <c r="Z30">
        <v>9</v>
      </c>
    </row>
    <row r="31" spans="1:26" x14ac:dyDescent="0.3">
      <c r="A31" t="s">
        <v>55</v>
      </c>
      <c r="B31" t="s">
        <v>549</v>
      </c>
      <c r="C31" t="s">
        <v>626</v>
      </c>
      <c r="D31">
        <v>25</v>
      </c>
      <c r="E31" t="s">
        <v>630</v>
      </c>
      <c r="F31">
        <v>466</v>
      </c>
      <c r="G31">
        <v>26844</v>
      </c>
      <c r="H31">
        <v>12509304</v>
      </c>
      <c r="I31" t="s">
        <v>650</v>
      </c>
      <c r="J31" t="s">
        <v>670</v>
      </c>
      <c r="K31" t="s">
        <v>664</v>
      </c>
      <c r="L31" t="s">
        <v>680</v>
      </c>
      <c r="M31" t="s">
        <v>686</v>
      </c>
      <c r="N31" t="s">
        <v>689</v>
      </c>
      <c r="O31" t="s">
        <v>694</v>
      </c>
      <c r="P31">
        <v>4208252</v>
      </c>
      <c r="Q31">
        <v>6</v>
      </c>
      <c r="R31">
        <v>3.38</v>
      </c>
      <c r="S31" t="s">
        <v>716</v>
      </c>
      <c r="T31" t="s">
        <v>991</v>
      </c>
      <c r="U31">
        <v>2024</v>
      </c>
      <c r="V31" t="s">
        <v>994</v>
      </c>
      <c r="W31" t="s">
        <v>999</v>
      </c>
      <c r="X31" t="s">
        <v>1001</v>
      </c>
      <c r="Y31">
        <v>1</v>
      </c>
      <c r="Z31">
        <v>50</v>
      </c>
    </row>
    <row r="32" spans="1:26" x14ac:dyDescent="0.3">
      <c r="A32" t="s">
        <v>56</v>
      </c>
      <c r="B32" t="s">
        <v>548</v>
      </c>
      <c r="C32" t="s">
        <v>627</v>
      </c>
      <c r="D32">
        <v>56</v>
      </c>
      <c r="E32" t="s">
        <v>628</v>
      </c>
      <c r="F32">
        <v>453</v>
      </c>
      <c r="G32">
        <v>15065</v>
      </c>
      <c r="H32">
        <v>6824445</v>
      </c>
      <c r="I32" t="s">
        <v>631</v>
      </c>
      <c r="J32" t="s">
        <v>668</v>
      </c>
      <c r="K32" t="s">
        <v>664</v>
      </c>
      <c r="L32" t="s">
        <v>681</v>
      </c>
      <c r="M32" t="s">
        <v>687</v>
      </c>
      <c r="N32" t="s">
        <v>690</v>
      </c>
      <c r="O32" t="s">
        <v>693</v>
      </c>
      <c r="P32">
        <v>6824445</v>
      </c>
      <c r="Q32">
        <v>0</v>
      </c>
      <c r="R32">
        <v>6.21</v>
      </c>
      <c r="S32" t="s">
        <v>723</v>
      </c>
      <c r="T32" t="s">
        <v>992</v>
      </c>
      <c r="U32">
        <v>2024</v>
      </c>
      <c r="V32" t="s">
        <v>996</v>
      </c>
      <c r="W32" t="s">
        <v>997</v>
      </c>
      <c r="X32" t="s">
        <v>1001</v>
      </c>
      <c r="Y32">
        <v>1</v>
      </c>
      <c r="Z32">
        <v>50</v>
      </c>
    </row>
    <row r="33" spans="1:26" x14ac:dyDescent="0.3">
      <c r="A33" t="s">
        <v>57</v>
      </c>
      <c r="B33" t="s">
        <v>550</v>
      </c>
      <c r="C33" t="s">
        <v>627</v>
      </c>
      <c r="D33">
        <v>64</v>
      </c>
      <c r="E33" t="s">
        <v>630</v>
      </c>
      <c r="F33">
        <v>792</v>
      </c>
      <c r="G33">
        <v>3682</v>
      </c>
      <c r="H33">
        <v>2916144</v>
      </c>
      <c r="I33" t="s">
        <v>651</v>
      </c>
      <c r="J33" t="s">
        <v>669</v>
      </c>
      <c r="K33" t="s">
        <v>676</v>
      </c>
      <c r="L33" t="s">
        <v>682</v>
      </c>
      <c r="M33" t="s">
        <v>686</v>
      </c>
      <c r="N33" t="s">
        <v>689</v>
      </c>
      <c r="O33" t="s">
        <v>694</v>
      </c>
      <c r="P33">
        <v>930239</v>
      </c>
      <c r="Q33">
        <v>24</v>
      </c>
      <c r="R33">
        <v>7.15</v>
      </c>
      <c r="S33" t="s">
        <v>724</v>
      </c>
      <c r="T33" t="s">
        <v>981</v>
      </c>
      <c r="U33">
        <v>2024</v>
      </c>
      <c r="V33" t="s">
        <v>993</v>
      </c>
      <c r="W33" t="s">
        <v>998</v>
      </c>
      <c r="X33" t="s">
        <v>1001</v>
      </c>
      <c r="Y33">
        <v>4</v>
      </c>
      <c r="Z33">
        <v>43</v>
      </c>
    </row>
    <row r="34" spans="1:26" x14ac:dyDescent="0.3">
      <c r="A34" t="s">
        <v>58</v>
      </c>
      <c r="B34" t="s">
        <v>541</v>
      </c>
      <c r="C34" t="s">
        <v>626</v>
      </c>
      <c r="D34">
        <v>60</v>
      </c>
      <c r="E34" t="s">
        <v>630</v>
      </c>
      <c r="F34">
        <v>863</v>
      </c>
      <c r="G34">
        <v>24362</v>
      </c>
      <c r="H34">
        <v>21024406</v>
      </c>
      <c r="I34" t="s">
        <v>643</v>
      </c>
      <c r="J34" t="s">
        <v>671</v>
      </c>
      <c r="K34" t="s">
        <v>675</v>
      </c>
      <c r="L34" t="s">
        <v>682</v>
      </c>
      <c r="M34" t="s">
        <v>683</v>
      </c>
      <c r="N34" t="s">
        <v>691</v>
      </c>
      <c r="O34" t="s">
        <v>693</v>
      </c>
      <c r="P34">
        <v>21024406</v>
      </c>
      <c r="Q34">
        <v>0</v>
      </c>
      <c r="R34">
        <v>8.5</v>
      </c>
      <c r="S34" t="s">
        <v>725</v>
      </c>
      <c r="T34" t="s">
        <v>986</v>
      </c>
      <c r="U34">
        <v>2024</v>
      </c>
      <c r="V34" t="s">
        <v>996</v>
      </c>
      <c r="W34" t="s">
        <v>997</v>
      </c>
      <c r="X34" t="s">
        <v>1001</v>
      </c>
      <c r="Y34">
        <v>3</v>
      </c>
      <c r="Z34">
        <v>40</v>
      </c>
    </row>
    <row r="35" spans="1:26" x14ac:dyDescent="0.3">
      <c r="A35" t="s">
        <v>59</v>
      </c>
      <c r="B35" t="s">
        <v>551</v>
      </c>
      <c r="C35" t="s">
        <v>627</v>
      </c>
      <c r="D35">
        <v>49</v>
      </c>
      <c r="E35" t="s">
        <v>629</v>
      </c>
      <c r="F35">
        <v>676</v>
      </c>
      <c r="G35">
        <v>30545</v>
      </c>
      <c r="H35">
        <v>20648420</v>
      </c>
      <c r="I35" t="s">
        <v>652</v>
      </c>
      <c r="J35" t="s">
        <v>672</v>
      </c>
      <c r="K35" t="s">
        <v>678</v>
      </c>
      <c r="L35" t="s">
        <v>682</v>
      </c>
      <c r="M35" t="s">
        <v>684</v>
      </c>
      <c r="N35" t="s">
        <v>690</v>
      </c>
      <c r="O35" t="s">
        <v>694</v>
      </c>
      <c r="P35">
        <v>9405643</v>
      </c>
      <c r="Q35">
        <v>12</v>
      </c>
      <c r="R35">
        <v>8.31</v>
      </c>
      <c r="S35" t="s">
        <v>726</v>
      </c>
      <c r="T35" t="s">
        <v>981</v>
      </c>
      <c r="U35">
        <v>2024</v>
      </c>
      <c r="V35" t="s">
        <v>993</v>
      </c>
      <c r="W35" t="s">
        <v>998</v>
      </c>
      <c r="X35" t="s">
        <v>1002</v>
      </c>
      <c r="Y35">
        <v>2</v>
      </c>
      <c r="Z35">
        <v>32</v>
      </c>
    </row>
    <row r="36" spans="1:26" x14ac:dyDescent="0.3">
      <c r="A36" t="s">
        <v>60</v>
      </c>
      <c r="B36" t="s">
        <v>552</v>
      </c>
      <c r="C36" t="s">
        <v>627</v>
      </c>
      <c r="D36">
        <v>64</v>
      </c>
      <c r="E36" t="s">
        <v>630</v>
      </c>
      <c r="F36">
        <v>548</v>
      </c>
      <c r="G36">
        <v>20327</v>
      </c>
      <c r="H36">
        <v>11139196</v>
      </c>
      <c r="I36" t="s">
        <v>651</v>
      </c>
      <c r="J36" t="s">
        <v>669</v>
      </c>
      <c r="K36" t="s">
        <v>677</v>
      </c>
      <c r="L36" t="s">
        <v>682</v>
      </c>
      <c r="M36" t="s">
        <v>684</v>
      </c>
      <c r="N36" t="s">
        <v>691</v>
      </c>
      <c r="O36" t="s">
        <v>694</v>
      </c>
      <c r="P36">
        <v>3954283</v>
      </c>
      <c r="Q36">
        <v>3</v>
      </c>
      <c r="R36">
        <v>1.91</v>
      </c>
      <c r="S36" t="s">
        <v>727</v>
      </c>
      <c r="T36" t="s">
        <v>992</v>
      </c>
      <c r="U36">
        <v>2024</v>
      </c>
      <c r="V36" t="s">
        <v>993</v>
      </c>
      <c r="W36" t="s">
        <v>999</v>
      </c>
      <c r="X36" t="s">
        <v>1002</v>
      </c>
      <c r="Y36">
        <v>2</v>
      </c>
      <c r="Z36">
        <v>26</v>
      </c>
    </row>
    <row r="37" spans="1:26" x14ac:dyDescent="0.3">
      <c r="A37" t="s">
        <v>61</v>
      </c>
      <c r="B37" t="s">
        <v>553</v>
      </c>
      <c r="C37" t="s">
        <v>626</v>
      </c>
      <c r="D37">
        <v>37</v>
      </c>
      <c r="E37" t="s">
        <v>630</v>
      </c>
      <c r="F37">
        <v>879</v>
      </c>
      <c r="G37">
        <v>40112</v>
      </c>
      <c r="H37">
        <v>35258448</v>
      </c>
      <c r="I37" t="s">
        <v>653</v>
      </c>
      <c r="J37" t="s">
        <v>668</v>
      </c>
      <c r="K37" t="s">
        <v>677</v>
      </c>
      <c r="L37" t="s">
        <v>681</v>
      </c>
      <c r="M37" t="s">
        <v>683</v>
      </c>
      <c r="N37" t="s">
        <v>689</v>
      </c>
      <c r="O37" t="s">
        <v>694</v>
      </c>
      <c r="P37">
        <v>12906069</v>
      </c>
      <c r="Q37">
        <v>24</v>
      </c>
      <c r="R37">
        <v>3.44</v>
      </c>
      <c r="S37" t="s">
        <v>728</v>
      </c>
      <c r="T37" t="s">
        <v>985</v>
      </c>
      <c r="U37">
        <v>2024</v>
      </c>
      <c r="V37" t="s">
        <v>996</v>
      </c>
      <c r="W37" t="s">
        <v>998</v>
      </c>
      <c r="X37" t="s">
        <v>1000</v>
      </c>
      <c r="Y37">
        <v>5</v>
      </c>
      <c r="Z37">
        <v>49</v>
      </c>
    </row>
    <row r="38" spans="1:26" x14ac:dyDescent="0.3">
      <c r="A38" t="s">
        <v>62</v>
      </c>
      <c r="B38" t="s">
        <v>554</v>
      </c>
      <c r="C38" t="s">
        <v>627</v>
      </c>
      <c r="D38">
        <v>39</v>
      </c>
      <c r="E38" t="s">
        <v>628</v>
      </c>
      <c r="F38">
        <v>421</v>
      </c>
      <c r="G38">
        <v>33732</v>
      </c>
      <c r="H38">
        <v>14201172</v>
      </c>
      <c r="I38" t="s">
        <v>653</v>
      </c>
      <c r="J38" t="s">
        <v>668</v>
      </c>
      <c r="K38" t="s">
        <v>679</v>
      </c>
      <c r="L38" t="s">
        <v>682</v>
      </c>
      <c r="M38" t="s">
        <v>686</v>
      </c>
      <c r="N38" t="s">
        <v>688</v>
      </c>
      <c r="O38" t="s">
        <v>694</v>
      </c>
      <c r="P38">
        <v>7017554</v>
      </c>
      <c r="Q38">
        <v>12</v>
      </c>
      <c r="R38">
        <v>8.33</v>
      </c>
      <c r="S38" t="s">
        <v>729</v>
      </c>
      <c r="T38" t="s">
        <v>992</v>
      </c>
      <c r="U38">
        <v>2024</v>
      </c>
      <c r="V38" t="s">
        <v>994</v>
      </c>
      <c r="W38" t="s">
        <v>999</v>
      </c>
      <c r="X38" t="s">
        <v>1000</v>
      </c>
      <c r="Y38">
        <v>5</v>
      </c>
      <c r="Z38">
        <v>19</v>
      </c>
    </row>
    <row r="39" spans="1:26" x14ac:dyDescent="0.3">
      <c r="A39" t="s">
        <v>63</v>
      </c>
      <c r="B39" t="s">
        <v>551</v>
      </c>
      <c r="C39" t="s">
        <v>627</v>
      </c>
      <c r="D39">
        <v>24</v>
      </c>
      <c r="E39" t="s">
        <v>630</v>
      </c>
      <c r="F39">
        <v>305</v>
      </c>
      <c r="G39">
        <v>2803</v>
      </c>
      <c r="H39">
        <v>854915</v>
      </c>
      <c r="I39" t="s">
        <v>653</v>
      </c>
      <c r="J39" t="s">
        <v>668</v>
      </c>
      <c r="K39" t="s">
        <v>678</v>
      </c>
      <c r="L39" t="s">
        <v>681</v>
      </c>
      <c r="M39" t="s">
        <v>685</v>
      </c>
      <c r="N39" t="s">
        <v>692</v>
      </c>
      <c r="O39" t="s">
        <v>694</v>
      </c>
      <c r="P39">
        <v>293761</v>
      </c>
      <c r="Q39">
        <v>24</v>
      </c>
      <c r="R39">
        <v>3.41</v>
      </c>
      <c r="S39" t="s">
        <v>730</v>
      </c>
      <c r="T39" t="s">
        <v>988</v>
      </c>
      <c r="U39">
        <v>2024</v>
      </c>
      <c r="V39" t="s">
        <v>993</v>
      </c>
      <c r="W39" t="s">
        <v>999</v>
      </c>
      <c r="X39" t="s">
        <v>1000</v>
      </c>
      <c r="Y39">
        <v>5</v>
      </c>
      <c r="Z39">
        <v>20</v>
      </c>
    </row>
    <row r="40" spans="1:26" x14ac:dyDescent="0.3">
      <c r="A40" t="s">
        <v>64</v>
      </c>
      <c r="B40" t="s">
        <v>555</v>
      </c>
      <c r="C40" t="s">
        <v>626</v>
      </c>
      <c r="D40">
        <v>57</v>
      </c>
      <c r="E40" t="s">
        <v>630</v>
      </c>
      <c r="F40">
        <v>771</v>
      </c>
      <c r="G40">
        <v>29274</v>
      </c>
      <c r="H40">
        <v>22570254</v>
      </c>
      <c r="I40" t="s">
        <v>641</v>
      </c>
      <c r="J40" t="s">
        <v>673</v>
      </c>
      <c r="K40" t="s">
        <v>676</v>
      </c>
      <c r="L40" t="s">
        <v>681</v>
      </c>
      <c r="M40" t="s">
        <v>686</v>
      </c>
      <c r="N40" t="s">
        <v>692</v>
      </c>
      <c r="O40" t="s">
        <v>693</v>
      </c>
      <c r="P40">
        <v>22570254</v>
      </c>
      <c r="Q40">
        <v>0</v>
      </c>
      <c r="R40">
        <v>7.76</v>
      </c>
      <c r="S40" t="s">
        <v>716</v>
      </c>
      <c r="T40" t="s">
        <v>991</v>
      </c>
      <c r="U40">
        <v>2024</v>
      </c>
      <c r="V40" t="s">
        <v>993</v>
      </c>
      <c r="W40" t="s">
        <v>997</v>
      </c>
      <c r="X40" t="s">
        <v>1001</v>
      </c>
      <c r="Y40">
        <v>1</v>
      </c>
      <c r="Z40">
        <v>49</v>
      </c>
    </row>
    <row r="41" spans="1:26" x14ac:dyDescent="0.3">
      <c r="A41" t="s">
        <v>65</v>
      </c>
      <c r="B41" t="s">
        <v>556</v>
      </c>
      <c r="C41" t="s">
        <v>627</v>
      </c>
      <c r="D41">
        <v>46</v>
      </c>
      <c r="E41" t="s">
        <v>630</v>
      </c>
      <c r="F41">
        <v>876</v>
      </c>
      <c r="G41">
        <v>7320</v>
      </c>
      <c r="H41">
        <v>6412320</v>
      </c>
      <c r="I41" t="s">
        <v>654</v>
      </c>
      <c r="J41" t="s">
        <v>669</v>
      </c>
      <c r="K41" t="s">
        <v>677</v>
      </c>
      <c r="L41" t="s">
        <v>682</v>
      </c>
      <c r="M41" t="s">
        <v>686</v>
      </c>
      <c r="N41" t="s">
        <v>691</v>
      </c>
      <c r="O41" t="s">
        <v>693</v>
      </c>
      <c r="P41">
        <v>6412320</v>
      </c>
      <c r="Q41">
        <v>0</v>
      </c>
      <c r="R41">
        <v>2.4</v>
      </c>
      <c r="S41" t="s">
        <v>731</v>
      </c>
      <c r="T41" t="s">
        <v>985</v>
      </c>
      <c r="U41">
        <v>2024</v>
      </c>
      <c r="V41" t="s">
        <v>994</v>
      </c>
      <c r="W41" t="s">
        <v>999</v>
      </c>
      <c r="X41" t="s">
        <v>1000</v>
      </c>
      <c r="Y41">
        <v>3</v>
      </c>
      <c r="Z41">
        <v>46</v>
      </c>
    </row>
    <row r="42" spans="1:26" x14ac:dyDescent="0.3">
      <c r="A42" t="s">
        <v>66</v>
      </c>
      <c r="B42" t="s">
        <v>550</v>
      </c>
      <c r="C42" t="s">
        <v>626</v>
      </c>
      <c r="D42">
        <v>27</v>
      </c>
      <c r="E42" t="s">
        <v>629</v>
      </c>
      <c r="F42">
        <v>272</v>
      </c>
      <c r="G42">
        <v>47048</v>
      </c>
      <c r="H42">
        <v>12797056</v>
      </c>
      <c r="I42" t="s">
        <v>636</v>
      </c>
      <c r="J42" t="s">
        <v>671</v>
      </c>
      <c r="K42" t="s">
        <v>678</v>
      </c>
      <c r="L42" t="s">
        <v>680</v>
      </c>
      <c r="M42" t="s">
        <v>683</v>
      </c>
      <c r="N42" t="s">
        <v>690</v>
      </c>
      <c r="O42" t="s">
        <v>693</v>
      </c>
      <c r="P42">
        <v>12797056</v>
      </c>
      <c r="Q42">
        <v>0</v>
      </c>
      <c r="R42">
        <v>9.24</v>
      </c>
      <c r="S42" t="s">
        <v>732</v>
      </c>
      <c r="T42" t="s">
        <v>983</v>
      </c>
      <c r="U42">
        <v>2024</v>
      </c>
      <c r="V42" t="s">
        <v>996</v>
      </c>
      <c r="W42" t="s">
        <v>999</v>
      </c>
      <c r="X42" t="s">
        <v>1000</v>
      </c>
      <c r="Y42">
        <v>2</v>
      </c>
      <c r="Z42">
        <v>20</v>
      </c>
    </row>
    <row r="43" spans="1:26" x14ac:dyDescent="0.3">
      <c r="A43" t="s">
        <v>67</v>
      </c>
      <c r="B43" t="s">
        <v>557</v>
      </c>
      <c r="C43" t="s">
        <v>626</v>
      </c>
      <c r="D43">
        <v>48</v>
      </c>
      <c r="E43" t="s">
        <v>628</v>
      </c>
      <c r="F43">
        <v>495</v>
      </c>
      <c r="G43">
        <v>30780</v>
      </c>
      <c r="H43">
        <v>15236100</v>
      </c>
      <c r="I43" t="s">
        <v>655</v>
      </c>
      <c r="J43" t="s">
        <v>672</v>
      </c>
      <c r="K43" t="s">
        <v>674</v>
      </c>
      <c r="L43" t="s">
        <v>682</v>
      </c>
      <c r="M43" t="s">
        <v>685</v>
      </c>
      <c r="N43" t="s">
        <v>691</v>
      </c>
      <c r="O43" t="s">
        <v>693</v>
      </c>
      <c r="P43">
        <v>15236100</v>
      </c>
      <c r="Q43">
        <v>0</v>
      </c>
      <c r="R43">
        <v>4.6900000000000004</v>
      </c>
      <c r="S43" t="s">
        <v>733</v>
      </c>
      <c r="T43" t="s">
        <v>982</v>
      </c>
      <c r="U43">
        <v>2024</v>
      </c>
      <c r="V43" t="s">
        <v>994</v>
      </c>
      <c r="W43" t="s">
        <v>997</v>
      </c>
      <c r="X43" t="s">
        <v>1002</v>
      </c>
      <c r="Y43">
        <v>1</v>
      </c>
      <c r="Z43">
        <v>6</v>
      </c>
    </row>
    <row r="44" spans="1:26" x14ac:dyDescent="0.3">
      <c r="A44" t="s">
        <v>68</v>
      </c>
      <c r="B44" t="s">
        <v>558</v>
      </c>
      <c r="C44" t="s">
        <v>627</v>
      </c>
      <c r="D44">
        <v>57</v>
      </c>
      <c r="E44" t="s">
        <v>630</v>
      </c>
      <c r="F44">
        <v>221</v>
      </c>
      <c r="G44">
        <v>46058</v>
      </c>
      <c r="H44">
        <v>10178818</v>
      </c>
      <c r="I44" t="s">
        <v>656</v>
      </c>
      <c r="J44" t="s">
        <v>669</v>
      </c>
      <c r="K44" t="s">
        <v>674</v>
      </c>
      <c r="L44" t="s">
        <v>682</v>
      </c>
      <c r="M44" t="s">
        <v>684</v>
      </c>
      <c r="N44" t="s">
        <v>689</v>
      </c>
      <c r="O44" t="s">
        <v>694</v>
      </c>
      <c r="P44">
        <v>4366028</v>
      </c>
      <c r="Q44">
        <v>3</v>
      </c>
      <c r="R44">
        <v>1.75</v>
      </c>
      <c r="S44" t="s">
        <v>734</v>
      </c>
      <c r="T44" t="s">
        <v>986</v>
      </c>
      <c r="U44">
        <v>2024</v>
      </c>
      <c r="V44" t="s">
        <v>995</v>
      </c>
      <c r="W44" t="s">
        <v>998</v>
      </c>
      <c r="X44" t="s">
        <v>1002</v>
      </c>
      <c r="Y44">
        <v>3</v>
      </c>
      <c r="Z44">
        <v>21</v>
      </c>
    </row>
    <row r="45" spans="1:26" x14ac:dyDescent="0.3">
      <c r="A45" t="s">
        <v>69</v>
      </c>
      <c r="B45" t="s">
        <v>559</v>
      </c>
      <c r="C45" t="s">
        <v>627</v>
      </c>
      <c r="D45">
        <v>40</v>
      </c>
      <c r="E45" t="s">
        <v>630</v>
      </c>
      <c r="F45">
        <v>537</v>
      </c>
      <c r="G45">
        <v>28977</v>
      </c>
      <c r="H45">
        <v>15560649</v>
      </c>
      <c r="I45" t="s">
        <v>631</v>
      </c>
      <c r="J45" t="s">
        <v>668</v>
      </c>
      <c r="K45" t="s">
        <v>638</v>
      </c>
      <c r="L45" t="s">
        <v>681</v>
      </c>
      <c r="M45" t="s">
        <v>685</v>
      </c>
      <c r="N45" t="s">
        <v>691</v>
      </c>
      <c r="O45" t="s">
        <v>694</v>
      </c>
      <c r="P45">
        <v>6205199</v>
      </c>
      <c r="Q45">
        <v>12</v>
      </c>
      <c r="R45">
        <v>4</v>
      </c>
      <c r="S45" t="s">
        <v>728</v>
      </c>
      <c r="T45" t="s">
        <v>985</v>
      </c>
      <c r="U45">
        <v>2024</v>
      </c>
      <c r="V45" t="s">
        <v>993</v>
      </c>
      <c r="W45" t="s">
        <v>997</v>
      </c>
      <c r="X45" t="s">
        <v>1001</v>
      </c>
      <c r="Y45">
        <v>4</v>
      </c>
      <c r="Z45">
        <v>27</v>
      </c>
    </row>
    <row r="46" spans="1:26" x14ac:dyDescent="0.3">
      <c r="A46" t="s">
        <v>70</v>
      </c>
      <c r="B46" t="s">
        <v>560</v>
      </c>
      <c r="C46" t="s">
        <v>626</v>
      </c>
      <c r="D46">
        <v>64</v>
      </c>
      <c r="E46" t="s">
        <v>630</v>
      </c>
      <c r="F46">
        <v>570</v>
      </c>
      <c r="G46">
        <v>42804</v>
      </c>
      <c r="H46">
        <v>24398280</v>
      </c>
      <c r="I46" t="s">
        <v>641</v>
      </c>
      <c r="J46" t="s">
        <v>673</v>
      </c>
      <c r="K46" t="s">
        <v>675</v>
      </c>
      <c r="L46" t="s">
        <v>680</v>
      </c>
      <c r="M46" t="s">
        <v>685</v>
      </c>
      <c r="N46" t="s">
        <v>692</v>
      </c>
      <c r="O46" t="s">
        <v>694</v>
      </c>
      <c r="P46">
        <v>10442395</v>
      </c>
      <c r="Q46">
        <v>24</v>
      </c>
      <c r="R46">
        <v>2.04</v>
      </c>
      <c r="S46" t="s">
        <v>728</v>
      </c>
      <c r="T46" t="s">
        <v>985</v>
      </c>
      <c r="U46">
        <v>2024</v>
      </c>
      <c r="V46" t="s">
        <v>996</v>
      </c>
      <c r="W46" t="s">
        <v>997</v>
      </c>
      <c r="X46" t="s">
        <v>1000</v>
      </c>
      <c r="Y46">
        <v>3</v>
      </c>
      <c r="Z46">
        <v>36</v>
      </c>
    </row>
    <row r="47" spans="1:26" x14ac:dyDescent="0.3">
      <c r="A47" t="s">
        <v>71</v>
      </c>
      <c r="B47" t="s">
        <v>548</v>
      </c>
      <c r="C47" t="s">
        <v>626</v>
      </c>
      <c r="D47">
        <v>52</v>
      </c>
      <c r="E47" t="s">
        <v>629</v>
      </c>
      <c r="F47">
        <v>295</v>
      </c>
      <c r="G47">
        <v>16725</v>
      </c>
      <c r="H47">
        <v>4933875</v>
      </c>
      <c r="I47" t="s">
        <v>642</v>
      </c>
      <c r="J47" t="s">
        <v>673</v>
      </c>
      <c r="K47" t="s">
        <v>640</v>
      </c>
      <c r="L47" t="s">
        <v>681</v>
      </c>
      <c r="M47" t="s">
        <v>684</v>
      </c>
      <c r="N47" t="s">
        <v>691</v>
      </c>
      <c r="O47" t="s">
        <v>693</v>
      </c>
      <c r="P47">
        <v>4933875</v>
      </c>
      <c r="Q47">
        <v>0</v>
      </c>
      <c r="R47">
        <v>4.6100000000000003</v>
      </c>
      <c r="S47" t="s">
        <v>735</v>
      </c>
      <c r="T47" t="s">
        <v>987</v>
      </c>
      <c r="U47">
        <v>2024</v>
      </c>
      <c r="V47" t="s">
        <v>995</v>
      </c>
      <c r="W47" t="s">
        <v>999</v>
      </c>
      <c r="X47" t="s">
        <v>1002</v>
      </c>
      <c r="Y47">
        <v>5</v>
      </c>
      <c r="Z47">
        <v>10</v>
      </c>
    </row>
    <row r="48" spans="1:26" x14ac:dyDescent="0.3">
      <c r="A48" t="s">
        <v>72</v>
      </c>
      <c r="B48" t="s">
        <v>561</v>
      </c>
      <c r="C48" t="s">
        <v>626</v>
      </c>
      <c r="D48">
        <v>20</v>
      </c>
      <c r="E48" t="s">
        <v>630</v>
      </c>
      <c r="F48">
        <v>720</v>
      </c>
      <c r="G48">
        <v>10946</v>
      </c>
      <c r="H48">
        <v>7881120</v>
      </c>
      <c r="I48" t="s">
        <v>650</v>
      </c>
      <c r="J48" t="s">
        <v>670</v>
      </c>
      <c r="K48" t="s">
        <v>674</v>
      </c>
      <c r="L48" t="s">
        <v>682</v>
      </c>
      <c r="M48" t="s">
        <v>687</v>
      </c>
      <c r="N48" t="s">
        <v>692</v>
      </c>
      <c r="O48" t="s">
        <v>693</v>
      </c>
      <c r="P48">
        <v>7881120</v>
      </c>
      <c r="Q48">
        <v>0</v>
      </c>
      <c r="R48">
        <v>2.76</v>
      </c>
      <c r="S48" t="s">
        <v>736</v>
      </c>
      <c r="T48" t="s">
        <v>991</v>
      </c>
      <c r="U48">
        <v>2024</v>
      </c>
      <c r="V48" t="s">
        <v>995</v>
      </c>
      <c r="W48" t="s">
        <v>999</v>
      </c>
      <c r="X48" t="s">
        <v>1002</v>
      </c>
      <c r="Y48">
        <v>5</v>
      </c>
      <c r="Z48">
        <v>31</v>
      </c>
    </row>
    <row r="49" spans="1:26" x14ac:dyDescent="0.3">
      <c r="A49" t="s">
        <v>73</v>
      </c>
      <c r="B49" t="s">
        <v>562</v>
      </c>
      <c r="C49" t="s">
        <v>626</v>
      </c>
      <c r="D49">
        <v>34</v>
      </c>
      <c r="E49" t="s">
        <v>630</v>
      </c>
      <c r="F49">
        <v>981</v>
      </c>
      <c r="G49">
        <v>37614</v>
      </c>
      <c r="H49">
        <v>36899334</v>
      </c>
      <c r="I49" t="s">
        <v>657</v>
      </c>
      <c r="J49" t="s">
        <v>671</v>
      </c>
      <c r="K49" t="s">
        <v>675</v>
      </c>
      <c r="L49" t="s">
        <v>680</v>
      </c>
      <c r="M49" t="s">
        <v>687</v>
      </c>
      <c r="N49" t="s">
        <v>691</v>
      </c>
      <c r="O49" t="s">
        <v>694</v>
      </c>
      <c r="P49">
        <v>17706355</v>
      </c>
      <c r="Q49">
        <v>24</v>
      </c>
      <c r="R49">
        <v>8.6999999999999993</v>
      </c>
      <c r="S49" t="s">
        <v>737</v>
      </c>
      <c r="T49" t="s">
        <v>984</v>
      </c>
      <c r="U49">
        <v>2024</v>
      </c>
      <c r="V49" t="s">
        <v>995</v>
      </c>
      <c r="W49" t="s">
        <v>998</v>
      </c>
      <c r="X49" t="s">
        <v>1001</v>
      </c>
      <c r="Y49">
        <v>2</v>
      </c>
      <c r="Z49">
        <v>32</v>
      </c>
    </row>
    <row r="50" spans="1:26" x14ac:dyDescent="0.3">
      <c r="A50" t="s">
        <v>74</v>
      </c>
      <c r="B50" t="s">
        <v>540</v>
      </c>
      <c r="C50" t="s">
        <v>626</v>
      </c>
      <c r="D50">
        <v>20</v>
      </c>
      <c r="E50" t="s">
        <v>629</v>
      </c>
      <c r="F50">
        <v>804</v>
      </c>
      <c r="G50">
        <v>23757</v>
      </c>
      <c r="H50">
        <v>19100628</v>
      </c>
      <c r="I50" t="s">
        <v>641</v>
      </c>
      <c r="J50" t="s">
        <v>673</v>
      </c>
      <c r="K50" t="s">
        <v>675</v>
      </c>
      <c r="L50" t="s">
        <v>680</v>
      </c>
      <c r="M50" t="s">
        <v>684</v>
      </c>
      <c r="N50" t="s">
        <v>688</v>
      </c>
      <c r="O50" t="s">
        <v>693</v>
      </c>
      <c r="P50">
        <v>19100628</v>
      </c>
      <c r="Q50">
        <v>0</v>
      </c>
      <c r="R50">
        <v>8.74</v>
      </c>
      <c r="S50" t="s">
        <v>738</v>
      </c>
      <c r="T50" t="s">
        <v>989</v>
      </c>
      <c r="U50">
        <v>2024</v>
      </c>
      <c r="V50" t="s">
        <v>993</v>
      </c>
      <c r="W50" t="s">
        <v>998</v>
      </c>
      <c r="X50" t="s">
        <v>1002</v>
      </c>
      <c r="Y50">
        <v>3</v>
      </c>
      <c r="Z50">
        <v>40</v>
      </c>
    </row>
    <row r="51" spans="1:26" x14ac:dyDescent="0.3">
      <c r="A51" t="s">
        <v>75</v>
      </c>
      <c r="B51" t="s">
        <v>563</v>
      </c>
      <c r="C51" t="s">
        <v>627</v>
      </c>
      <c r="D51">
        <v>35</v>
      </c>
      <c r="E51" t="s">
        <v>629</v>
      </c>
      <c r="F51">
        <v>536</v>
      </c>
      <c r="G51">
        <v>46194</v>
      </c>
      <c r="H51">
        <v>24759984</v>
      </c>
      <c r="I51" t="s">
        <v>633</v>
      </c>
      <c r="J51" t="s">
        <v>668</v>
      </c>
      <c r="K51" t="s">
        <v>676</v>
      </c>
      <c r="L51" t="s">
        <v>682</v>
      </c>
      <c r="M51" t="s">
        <v>687</v>
      </c>
      <c r="N51" t="s">
        <v>688</v>
      </c>
      <c r="O51" t="s">
        <v>694</v>
      </c>
      <c r="P51">
        <v>9607858</v>
      </c>
      <c r="Q51">
        <v>12</v>
      </c>
      <c r="R51">
        <v>8.8699999999999992</v>
      </c>
      <c r="S51" t="s">
        <v>739</v>
      </c>
      <c r="T51" t="s">
        <v>986</v>
      </c>
      <c r="U51">
        <v>2024</v>
      </c>
      <c r="V51" t="s">
        <v>993</v>
      </c>
      <c r="W51" t="s">
        <v>998</v>
      </c>
      <c r="X51" t="s">
        <v>1000</v>
      </c>
      <c r="Y51">
        <v>1</v>
      </c>
      <c r="Z51">
        <v>29</v>
      </c>
    </row>
    <row r="52" spans="1:26" x14ac:dyDescent="0.3">
      <c r="A52" t="s">
        <v>76</v>
      </c>
      <c r="B52" t="s">
        <v>564</v>
      </c>
      <c r="C52" t="s">
        <v>627</v>
      </c>
      <c r="D52">
        <v>53</v>
      </c>
      <c r="E52" t="s">
        <v>630</v>
      </c>
      <c r="F52">
        <v>247</v>
      </c>
      <c r="G52">
        <v>23258</v>
      </c>
      <c r="H52">
        <v>5744726</v>
      </c>
      <c r="I52" t="s">
        <v>651</v>
      </c>
      <c r="J52" t="s">
        <v>669</v>
      </c>
      <c r="K52" t="s">
        <v>664</v>
      </c>
      <c r="L52" t="s">
        <v>682</v>
      </c>
      <c r="M52" t="s">
        <v>683</v>
      </c>
      <c r="N52" t="s">
        <v>688</v>
      </c>
      <c r="O52" t="s">
        <v>693</v>
      </c>
      <c r="P52">
        <v>5744726</v>
      </c>
      <c r="Q52">
        <v>0</v>
      </c>
      <c r="R52">
        <v>2.93</v>
      </c>
      <c r="S52" t="s">
        <v>740</v>
      </c>
      <c r="T52" t="s">
        <v>991</v>
      </c>
      <c r="U52">
        <v>2024</v>
      </c>
      <c r="V52" t="s">
        <v>996</v>
      </c>
      <c r="W52" t="s">
        <v>999</v>
      </c>
      <c r="X52" t="s">
        <v>1001</v>
      </c>
      <c r="Y52">
        <v>4</v>
      </c>
      <c r="Z52">
        <v>40</v>
      </c>
    </row>
    <row r="53" spans="1:26" x14ac:dyDescent="0.3">
      <c r="A53" t="s">
        <v>77</v>
      </c>
      <c r="B53" t="s">
        <v>558</v>
      </c>
      <c r="C53" t="s">
        <v>627</v>
      </c>
      <c r="D53">
        <v>49</v>
      </c>
      <c r="E53" t="s">
        <v>630</v>
      </c>
      <c r="F53">
        <v>797</v>
      </c>
      <c r="G53">
        <v>11379</v>
      </c>
      <c r="H53">
        <v>9069063</v>
      </c>
      <c r="I53" t="s">
        <v>653</v>
      </c>
      <c r="J53" t="s">
        <v>668</v>
      </c>
      <c r="K53" t="s">
        <v>678</v>
      </c>
      <c r="L53" t="s">
        <v>682</v>
      </c>
      <c r="M53" t="s">
        <v>686</v>
      </c>
      <c r="N53" t="s">
        <v>688</v>
      </c>
      <c r="O53" t="s">
        <v>693</v>
      </c>
      <c r="P53">
        <v>9069063</v>
      </c>
      <c r="Q53">
        <v>0</v>
      </c>
      <c r="R53">
        <v>4.6100000000000003</v>
      </c>
      <c r="S53" t="s">
        <v>741</v>
      </c>
      <c r="T53" t="s">
        <v>992</v>
      </c>
      <c r="U53">
        <v>2024</v>
      </c>
      <c r="V53" t="s">
        <v>993</v>
      </c>
      <c r="W53" t="s">
        <v>998</v>
      </c>
      <c r="X53" t="s">
        <v>1002</v>
      </c>
      <c r="Y53">
        <v>5</v>
      </c>
      <c r="Z53">
        <v>20</v>
      </c>
    </row>
    <row r="54" spans="1:26" x14ac:dyDescent="0.3">
      <c r="A54" t="s">
        <v>78</v>
      </c>
      <c r="B54" t="s">
        <v>565</v>
      </c>
      <c r="C54" t="s">
        <v>626</v>
      </c>
      <c r="D54">
        <v>56</v>
      </c>
      <c r="E54" t="s">
        <v>630</v>
      </c>
      <c r="F54">
        <v>667</v>
      </c>
      <c r="G54">
        <v>21799</v>
      </c>
      <c r="H54">
        <v>14539933</v>
      </c>
      <c r="I54" t="s">
        <v>633</v>
      </c>
      <c r="J54" t="s">
        <v>668</v>
      </c>
      <c r="K54" t="s">
        <v>677</v>
      </c>
      <c r="L54" t="s">
        <v>682</v>
      </c>
      <c r="M54" t="s">
        <v>687</v>
      </c>
      <c r="N54" t="s">
        <v>690</v>
      </c>
      <c r="O54" t="s">
        <v>693</v>
      </c>
      <c r="P54">
        <v>14539933</v>
      </c>
      <c r="Q54">
        <v>0</v>
      </c>
      <c r="R54">
        <v>9.99</v>
      </c>
      <c r="S54" t="s">
        <v>742</v>
      </c>
      <c r="T54" t="s">
        <v>986</v>
      </c>
      <c r="U54">
        <v>2024</v>
      </c>
      <c r="V54" t="s">
        <v>993</v>
      </c>
      <c r="W54" t="s">
        <v>997</v>
      </c>
      <c r="X54" t="s">
        <v>1002</v>
      </c>
      <c r="Y54">
        <v>3</v>
      </c>
      <c r="Z54">
        <v>1</v>
      </c>
    </row>
    <row r="55" spans="1:26" x14ac:dyDescent="0.3">
      <c r="A55" t="s">
        <v>79</v>
      </c>
      <c r="B55" t="s">
        <v>562</v>
      </c>
      <c r="C55" t="s">
        <v>626</v>
      </c>
      <c r="D55">
        <v>63</v>
      </c>
      <c r="E55" t="s">
        <v>629</v>
      </c>
      <c r="F55">
        <v>820</v>
      </c>
      <c r="G55">
        <v>34553</v>
      </c>
      <c r="H55">
        <v>28333460</v>
      </c>
      <c r="I55" t="s">
        <v>652</v>
      </c>
      <c r="J55" t="s">
        <v>672</v>
      </c>
      <c r="K55" t="s">
        <v>664</v>
      </c>
      <c r="L55" t="s">
        <v>682</v>
      </c>
      <c r="M55" t="s">
        <v>683</v>
      </c>
      <c r="N55" t="s">
        <v>689</v>
      </c>
      <c r="O55" t="s">
        <v>694</v>
      </c>
      <c r="P55">
        <v>10826768</v>
      </c>
      <c r="Q55">
        <v>6</v>
      </c>
      <c r="R55">
        <v>3.52</v>
      </c>
      <c r="S55" t="s">
        <v>743</v>
      </c>
      <c r="T55" t="s">
        <v>983</v>
      </c>
      <c r="U55">
        <v>2024</v>
      </c>
      <c r="V55" t="s">
        <v>993</v>
      </c>
      <c r="W55" t="s">
        <v>998</v>
      </c>
      <c r="X55" t="s">
        <v>1002</v>
      </c>
      <c r="Y55">
        <v>1</v>
      </c>
      <c r="Z55">
        <v>38</v>
      </c>
    </row>
    <row r="56" spans="1:26" x14ac:dyDescent="0.3">
      <c r="A56" t="s">
        <v>80</v>
      </c>
      <c r="B56" t="s">
        <v>561</v>
      </c>
      <c r="C56" t="s">
        <v>626</v>
      </c>
      <c r="D56">
        <v>30</v>
      </c>
      <c r="E56" t="s">
        <v>630</v>
      </c>
      <c r="F56">
        <v>292</v>
      </c>
      <c r="G56">
        <v>21340</v>
      </c>
      <c r="H56">
        <v>6231280</v>
      </c>
      <c r="I56" t="s">
        <v>636</v>
      </c>
      <c r="J56" t="s">
        <v>671</v>
      </c>
      <c r="K56" t="s">
        <v>638</v>
      </c>
      <c r="L56" t="s">
        <v>681</v>
      </c>
      <c r="M56" t="s">
        <v>687</v>
      </c>
      <c r="N56" t="s">
        <v>690</v>
      </c>
      <c r="O56" t="s">
        <v>694</v>
      </c>
      <c r="P56">
        <v>1574595</v>
      </c>
      <c r="Q56">
        <v>24</v>
      </c>
      <c r="R56">
        <v>1.32</v>
      </c>
      <c r="S56" t="s">
        <v>744</v>
      </c>
      <c r="T56" t="s">
        <v>985</v>
      </c>
      <c r="U56">
        <v>2024</v>
      </c>
      <c r="V56" t="s">
        <v>993</v>
      </c>
      <c r="W56" t="s">
        <v>998</v>
      </c>
      <c r="X56" t="s">
        <v>1000</v>
      </c>
      <c r="Y56">
        <v>2</v>
      </c>
      <c r="Z56">
        <v>49</v>
      </c>
    </row>
    <row r="57" spans="1:26" x14ac:dyDescent="0.3">
      <c r="A57" t="s">
        <v>81</v>
      </c>
      <c r="B57" t="s">
        <v>566</v>
      </c>
      <c r="C57" t="s">
        <v>626</v>
      </c>
      <c r="D57">
        <v>60</v>
      </c>
      <c r="E57" t="s">
        <v>630</v>
      </c>
      <c r="F57">
        <v>574</v>
      </c>
      <c r="G57">
        <v>7918</v>
      </c>
      <c r="H57">
        <v>4544932</v>
      </c>
      <c r="I57" t="s">
        <v>632</v>
      </c>
      <c r="J57" t="s">
        <v>669</v>
      </c>
      <c r="K57" t="s">
        <v>675</v>
      </c>
      <c r="L57" t="s">
        <v>680</v>
      </c>
      <c r="M57" t="s">
        <v>683</v>
      </c>
      <c r="N57" t="s">
        <v>691</v>
      </c>
      <c r="O57" t="s">
        <v>694</v>
      </c>
      <c r="P57">
        <v>1269570</v>
      </c>
      <c r="Q57">
        <v>3</v>
      </c>
      <c r="R57">
        <v>1.24</v>
      </c>
      <c r="S57" t="s">
        <v>745</v>
      </c>
      <c r="T57" t="s">
        <v>991</v>
      </c>
      <c r="U57">
        <v>2024</v>
      </c>
      <c r="V57" t="s">
        <v>993</v>
      </c>
      <c r="W57" t="s">
        <v>997</v>
      </c>
      <c r="X57" t="s">
        <v>1001</v>
      </c>
      <c r="Y57">
        <v>3</v>
      </c>
      <c r="Z57">
        <v>40</v>
      </c>
    </row>
    <row r="58" spans="1:26" x14ac:dyDescent="0.3">
      <c r="A58" t="s">
        <v>82</v>
      </c>
      <c r="B58" t="s">
        <v>531</v>
      </c>
      <c r="C58" t="s">
        <v>627</v>
      </c>
      <c r="D58">
        <v>35</v>
      </c>
      <c r="E58" t="s">
        <v>629</v>
      </c>
      <c r="F58">
        <v>917</v>
      </c>
      <c r="G58">
        <v>21804</v>
      </c>
      <c r="H58">
        <v>19994268</v>
      </c>
      <c r="I58" t="s">
        <v>649</v>
      </c>
      <c r="J58" t="s">
        <v>669</v>
      </c>
      <c r="K58" t="s">
        <v>678</v>
      </c>
      <c r="L58" t="s">
        <v>680</v>
      </c>
      <c r="M58" t="s">
        <v>684</v>
      </c>
      <c r="N58" t="s">
        <v>691</v>
      </c>
      <c r="O58" t="s">
        <v>694</v>
      </c>
      <c r="P58">
        <v>4837275</v>
      </c>
      <c r="Q58">
        <v>3</v>
      </c>
      <c r="R58">
        <v>9.4600000000000009</v>
      </c>
      <c r="S58" t="s">
        <v>733</v>
      </c>
      <c r="T58" t="s">
        <v>982</v>
      </c>
      <c r="U58">
        <v>2024</v>
      </c>
      <c r="V58" t="s">
        <v>994</v>
      </c>
      <c r="W58" t="s">
        <v>997</v>
      </c>
      <c r="X58" t="s">
        <v>1001</v>
      </c>
      <c r="Y58">
        <v>5</v>
      </c>
      <c r="Z58">
        <v>27</v>
      </c>
    </row>
    <row r="59" spans="1:26" x14ac:dyDescent="0.3">
      <c r="A59" t="s">
        <v>83</v>
      </c>
      <c r="B59" t="s">
        <v>557</v>
      </c>
      <c r="C59" t="s">
        <v>627</v>
      </c>
      <c r="D59">
        <v>64</v>
      </c>
      <c r="E59" t="s">
        <v>630</v>
      </c>
      <c r="F59">
        <v>624</v>
      </c>
      <c r="G59">
        <v>44920</v>
      </c>
      <c r="H59">
        <v>28030080</v>
      </c>
      <c r="I59" t="s">
        <v>655</v>
      </c>
      <c r="J59" t="s">
        <v>672</v>
      </c>
      <c r="K59" t="s">
        <v>638</v>
      </c>
      <c r="L59" t="s">
        <v>680</v>
      </c>
      <c r="M59" t="s">
        <v>684</v>
      </c>
      <c r="N59" t="s">
        <v>691</v>
      </c>
      <c r="O59" t="s">
        <v>693</v>
      </c>
      <c r="P59">
        <v>28030080</v>
      </c>
      <c r="Q59">
        <v>0</v>
      </c>
      <c r="R59">
        <v>8.34</v>
      </c>
      <c r="S59" t="s">
        <v>746</v>
      </c>
      <c r="T59" t="s">
        <v>983</v>
      </c>
      <c r="U59">
        <v>2024</v>
      </c>
      <c r="V59" t="s">
        <v>996</v>
      </c>
      <c r="W59" t="s">
        <v>998</v>
      </c>
      <c r="X59" t="s">
        <v>1000</v>
      </c>
      <c r="Y59">
        <v>3</v>
      </c>
      <c r="Z59">
        <v>35</v>
      </c>
    </row>
    <row r="60" spans="1:26" x14ac:dyDescent="0.3">
      <c r="A60" t="s">
        <v>84</v>
      </c>
      <c r="B60" t="s">
        <v>565</v>
      </c>
      <c r="C60" t="s">
        <v>627</v>
      </c>
      <c r="D60">
        <v>23</v>
      </c>
      <c r="E60" t="s">
        <v>630</v>
      </c>
      <c r="F60">
        <v>607</v>
      </c>
      <c r="G60">
        <v>20080</v>
      </c>
      <c r="H60">
        <v>12188560</v>
      </c>
      <c r="I60" t="s">
        <v>635</v>
      </c>
      <c r="J60" t="s">
        <v>668</v>
      </c>
      <c r="K60" t="s">
        <v>664</v>
      </c>
      <c r="L60" t="s">
        <v>680</v>
      </c>
      <c r="M60" t="s">
        <v>683</v>
      </c>
      <c r="N60" t="s">
        <v>692</v>
      </c>
      <c r="O60" t="s">
        <v>693</v>
      </c>
      <c r="P60">
        <v>12188560</v>
      </c>
      <c r="Q60">
        <v>0</v>
      </c>
      <c r="R60">
        <v>9.68</v>
      </c>
      <c r="S60" t="s">
        <v>747</v>
      </c>
      <c r="T60" t="s">
        <v>989</v>
      </c>
      <c r="U60">
        <v>2024</v>
      </c>
      <c r="V60" t="s">
        <v>996</v>
      </c>
      <c r="W60" t="s">
        <v>999</v>
      </c>
      <c r="X60" t="s">
        <v>1001</v>
      </c>
      <c r="Y60">
        <v>2</v>
      </c>
      <c r="Z60">
        <v>38</v>
      </c>
    </row>
    <row r="61" spans="1:26" x14ac:dyDescent="0.3">
      <c r="A61" t="s">
        <v>85</v>
      </c>
      <c r="B61" t="s">
        <v>567</v>
      </c>
      <c r="C61" t="s">
        <v>626</v>
      </c>
      <c r="D61">
        <v>31</v>
      </c>
      <c r="E61" t="s">
        <v>628</v>
      </c>
      <c r="F61">
        <v>992</v>
      </c>
      <c r="G61">
        <v>11670</v>
      </c>
      <c r="H61">
        <v>11576640</v>
      </c>
      <c r="I61" t="s">
        <v>654</v>
      </c>
      <c r="J61" t="s">
        <v>669</v>
      </c>
      <c r="K61" t="s">
        <v>651</v>
      </c>
      <c r="L61" t="s">
        <v>682</v>
      </c>
      <c r="M61" t="s">
        <v>685</v>
      </c>
      <c r="N61" t="s">
        <v>688</v>
      </c>
      <c r="O61" t="s">
        <v>693</v>
      </c>
      <c r="P61">
        <v>11576640</v>
      </c>
      <c r="Q61">
        <v>0</v>
      </c>
      <c r="R61">
        <v>2.77</v>
      </c>
      <c r="S61" t="s">
        <v>748</v>
      </c>
      <c r="T61" t="s">
        <v>987</v>
      </c>
      <c r="U61">
        <v>2024</v>
      </c>
      <c r="V61" t="s">
        <v>993</v>
      </c>
      <c r="W61" t="s">
        <v>998</v>
      </c>
      <c r="X61" t="s">
        <v>1000</v>
      </c>
      <c r="Y61">
        <v>5</v>
      </c>
      <c r="Z61">
        <v>21</v>
      </c>
    </row>
    <row r="62" spans="1:26" x14ac:dyDescent="0.3">
      <c r="A62" t="s">
        <v>86</v>
      </c>
      <c r="B62" t="s">
        <v>568</v>
      </c>
      <c r="C62" t="s">
        <v>627</v>
      </c>
      <c r="D62">
        <v>48</v>
      </c>
      <c r="E62" t="s">
        <v>629</v>
      </c>
      <c r="F62">
        <v>253</v>
      </c>
      <c r="G62">
        <v>10307</v>
      </c>
      <c r="H62">
        <v>2607671</v>
      </c>
      <c r="I62" t="s">
        <v>641</v>
      </c>
      <c r="J62" t="s">
        <v>673</v>
      </c>
      <c r="K62" t="s">
        <v>677</v>
      </c>
      <c r="L62" t="s">
        <v>680</v>
      </c>
      <c r="M62" t="s">
        <v>686</v>
      </c>
      <c r="N62" t="s">
        <v>689</v>
      </c>
      <c r="O62" t="s">
        <v>694</v>
      </c>
      <c r="P62">
        <v>1104869</v>
      </c>
      <c r="Q62">
        <v>3</v>
      </c>
      <c r="R62">
        <v>4.76</v>
      </c>
      <c r="S62" t="s">
        <v>749</v>
      </c>
      <c r="T62" t="s">
        <v>991</v>
      </c>
      <c r="U62">
        <v>2024</v>
      </c>
      <c r="V62" t="s">
        <v>994</v>
      </c>
      <c r="W62" t="s">
        <v>998</v>
      </c>
      <c r="X62" t="s">
        <v>1001</v>
      </c>
      <c r="Y62">
        <v>1</v>
      </c>
      <c r="Z62">
        <v>4</v>
      </c>
    </row>
    <row r="63" spans="1:26" x14ac:dyDescent="0.3">
      <c r="A63" t="s">
        <v>87</v>
      </c>
      <c r="B63" t="s">
        <v>569</v>
      </c>
      <c r="C63" t="s">
        <v>626</v>
      </c>
      <c r="D63">
        <v>58</v>
      </c>
      <c r="E63" t="s">
        <v>628</v>
      </c>
      <c r="F63">
        <v>636</v>
      </c>
      <c r="G63">
        <v>46964</v>
      </c>
      <c r="H63">
        <v>29869104</v>
      </c>
      <c r="I63" t="s">
        <v>658</v>
      </c>
      <c r="J63" t="s">
        <v>670</v>
      </c>
      <c r="K63" t="s">
        <v>640</v>
      </c>
      <c r="L63" t="s">
        <v>680</v>
      </c>
      <c r="M63" t="s">
        <v>683</v>
      </c>
      <c r="N63" t="s">
        <v>690</v>
      </c>
      <c r="O63" t="s">
        <v>693</v>
      </c>
      <c r="P63">
        <v>29869104</v>
      </c>
      <c r="Q63">
        <v>0</v>
      </c>
      <c r="R63">
        <v>4.9000000000000004</v>
      </c>
      <c r="S63" t="s">
        <v>750</v>
      </c>
      <c r="T63" t="s">
        <v>989</v>
      </c>
      <c r="U63">
        <v>2024</v>
      </c>
      <c r="V63" t="s">
        <v>994</v>
      </c>
      <c r="W63" t="s">
        <v>998</v>
      </c>
      <c r="X63" t="s">
        <v>1001</v>
      </c>
      <c r="Y63">
        <v>5</v>
      </c>
      <c r="Z63">
        <v>19</v>
      </c>
    </row>
    <row r="64" spans="1:26" x14ac:dyDescent="0.3">
      <c r="A64" t="s">
        <v>88</v>
      </c>
      <c r="B64" t="s">
        <v>570</v>
      </c>
      <c r="C64" t="s">
        <v>626</v>
      </c>
      <c r="D64">
        <v>48</v>
      </c>
      <c r="E64" t="s">
        <v>628</v>
      </c>
      <c r="F64">
        <v>640</v>
      </c>
      <c r="G64">
        <v>8499</v>
      </c>
      <c r="H64">
        <v>5439360</v>
      </c>
      <c r="I64" t="s">
        <v>647</v>
      </c>
      <c r="J64" t="s">
        <v>670</v>
      </c>
      <c r="K64" t="s">
        <v>674</v>
      </c>
      <c r="L64" t="s">
        <v>681</v>
      </c>
      <c r="M64" t="s">
        <v>687</v>
      </c>
      <c r="N64" t="s">
        <v>691</v>
      </c>
      <c r="O64" t="s">
        <v>693</v>
      </c>
      <c r="P64">
        <v>5439360</v>
      </c>
      <c r="Q64">
        <v>0</v>
      </c>
      <c r="R64">
        <v>8.5299999999999994</v>
      </c>
      <c r="S64" t="s">
        <v>751</v>
      </c>
      <c r="T64" t="s">
        <v>983</v>
      </c>
      <c r="U64">
        <v>2024</v>
      </c>
      <c r="V64" t="s">
        <v>995</v>
      </c>
      <c r="W64" t="s">
        <v>998</v>
      </c>
      <c r="X64" t="s">
        <v>1001</v>
      </c>
      <c r="Y64">
        <v>1</v>
      </c>
      <c r="Z64">
        <v>21</v>
      </c>
    </row>
    <row r="65" spans="1:26" x14ac:dyDescent="0.3">
      <c r="A65" t="s">
        <v>89</v>
      </c>
      <c r="B65" t="s">
        <v>571</v>
      </c>
      <c r="C65" t="s">
        <v>627</v>
      </c>
      <c r="D65">
        <v>55</v>
      </c>
      <c r="E65" t="s">
        <v>628</v>
      </c>
      <c r="F65">
        <v>583</v>
      </c>
      <c r="G65">
        <v>12003</v>
      </c>
      <c r="H65">
        <v>6997749</v>
      </c>
      <c r="I65" t="s">
        <v>645</v>
      </c>
      <c r="J65" t="s">
        <v>670</v>
      </c>
      <c r="K65" t="s">
        <v>677</v>
      </c>
      <c r="L65" t="s">
        <v>682</v>
      </c>
      <c r="M65" t="s">
        <v>686</v>
      </c>
      <c r="N65" t="s">
        <v>692</v>
      </c>
      <c r="O65" t="s">
        <v>694</v>
      </c>
      <c r="P65">
        <v>1591060</v>
      </c>
      <c r="Q65">
        <v>3</v>
      </c>
      <c r="R65">
        <v>0.85</v>
      </c>
      <c r="S65" t="s">
        <v>752</v>
      </c>
      <c r="T65" t="s">
        <v>989</v>
      </c>
      <c r="U65">
        <v>2024</v>
      </c>
      <c r="V65" t="s">
        <v>994</v>
      </c>
      <c r="W65" t="s">
        <v>997</v>
      </c>
      <c r="X65" t="s">
        <v>1000</v>
      </c>
      <c r="Y65">
        <v>4</v>
      </c>
      <c r="Z65">
        <v>23</v>
      </c>
    </row>
    <row r="66" spans="1:26" x14ac:dyDescent="0.3">
      <c r="A66" t="s">
        <v>90</v>
      </c>
      <c r="B66" t="s">
        <v>572</v>
      </c>
      <c r="C66" t="s">
        <v>627</v>
      </c>
      <c r="D66">
        <v>42</v>
      </c>
      <c r="E66" t="s">
        <v>629</v>
      </c>
      <c r="F66">
        <v>494</v>
      </c>
      <c r="G66">
        <v>41348</v>
      </c>
      <c r="H66">
        <v>20425912</v>
      </c>
      <c r="I66" t="s">
        <v>633</v>
      </c>
      <c r="J66" t="s">
        <v>668</v>
      </c>
      <c r="K66" t="s">
        <v>664</v>
      </c>
      <c r="L66" t="s">
        <v>681</v>
      </c>
      <c r="M66" t="s">
        <v>685</v>
      </c>
      <c r="N66" t="s">
        <v>690</v>
      </c>
      <c r="O66" t="s">
        <v>694</v>
      </c>
      <c r="P66">
        <v>4720023</v>
      </c>
      <c r="Q66">
        <v>12</v>
      </c>
      <c r="R66">
        <v>5.07</v>
      </c>
      <c r="S66" t="s">
        <v>753</v>
      </c>
      <c r="T66" t="s">
        <v>987</v>
      </c>
      <c r="U66">
        <v>2024</v>
      </c>
      <c r="V66" t="s">
        <v>996</v>
      </c>
      <c r="W66" t="s">
        <v>998</v>
      </c>
      <c r="X66" t="s">
        <v>1001</v>
      </c>
      <c r="Y66">
        <v>5</v>
      </c>
      <c r="Z66">
        <v>40</v>
      </c>
    </row>
    <row r="67" spans="1:26" x14ac:dyDescent="0.3">
      <c r="A67" t="s">
        <v>91</v>
      </c>
      <c r="B67" t="s">
        <v>553</v>
      </c>
      <c r="C67" t="s">
        <v>627</v>
      </c>
      <c r="D67">
        <v>31</v>
      </c>
      <c r="E67" t="s">
        <v>628</v>
      </c>
      <c r="F67">
        <v>226</v>
      </c>
      <c r="G67">
        <v>41911</v>
      </c>
      <c r="H67">
        <v>9471886</v>
      </c>
      <c r="I67" t="s">
        <v>659</v>
      </c>
      <c r="J67" t="s">
        <v>668</v>
      </c>
      <c r="K67" t="s">
        <v>675</v>
      </c>
      <c r="L67" t="s">
        <v>682</v>
      </c>
      <c r="M67" t="s">
        <v>684</v>
      </c>
      <c r="N67" t="s">
        <v>689</v>
      </c>
      <c r="O67" t="s">
        <v>694</v>
      </c>
      <c r="P67">
        <v>2407041</v>
      </c>
      <c r="Q67">
        <v>3</v>
      </c>
      <c r="R67">
        <v>7.03</v>
      </c>
      <c r="S67" t="s">
        <v>754</v>
      </c>
      <c r="T67" t="s">
        <v>982</v>
      </c>
      <c r="U67">
        <v>2024</v>
      </c>
      <c r="V67" t="s">
        <v>996</v>
      </c>
      <c r="W67" t="s">
        <v>997</v>
      </c>
      <c r="X67" t="s">
        <v>1001</v>
      </c>
      <c r="Y67">
        <v>1</v>
      </c>
      <c r="Z67">
        <v>6</v>
      </c>
    </row>
    <row r="68" spans="1:26" x14ac:dyDescent="0.3">
      <c r="A68" t="s">
        <v>92</v>
      </c>
      <c r="B68" t="s">
        <v>573</v>
      </c>
      <c r="C68" t="s">
        <v>627</v>
      </c>
      <c r="D68">
        <v>23</v>
      </c>
      <c r="E68" t="s">
        <v>628</v>
      </c>
      <c r="F68">
        <v>585</v>
      </c>
      <c r="G68">
        <v>29514</v>
      </c>
      <c r="H68">
        <v>17265690</v>
      </c>
      <c r="I68" t="s">
        <v>644</v>
      </c>
      <c r="J68" t="s">
        <v>668</v>
      </c>
      <c r="K68" t="s">
        <v>679</v>
      </c>
      <c r="L68" t="s">
        <v>680</v>
      </c>
      <c r="M68" t="s">
        <v>686</v>
      </c>
      <c r="N68" t="s">
        <v>689</v>
      </c>
      <c r="O68" t="s">
        <v>694</v>
      </c>
      <c r="P68">
        <v>4268472</v>
      </c>
      <c r="Q68">
        <v>12</v>
      </c>
      <c r="R68">
        <v>3.12</v>
      </c>
      <c r="S68" t="s">
        <v>755</v>
      </c>
      <c r="T68" t="s">
        <v>982</v>
      </c>
      <c r="U68">
        <v>2024</v>
      </c>
      <c r="V68" t="s">
        <v>993</v>
      </c>
      <c r="W68" t="s">
        <v>998</v>
      </c>
      <c r="X68" t="s">
        <v>1002</v>
      </c>
      <c r="Y68">
        <v>4</v>
      </c>
      <c r="Z68">
        <v>32</v>
      </c>
    </row>
    <row r="69" spans="1:26" x14ac:dyDescent="0.3">
      <c r="A69" t="s">
        <v>93</v>
      </c>
      <c r="B69" t="s">
        <v>566</v>
      </c>
      <c r="C69" t="s">
        <v>626</v>
      </c>
      <c r="D69">
        <v>53</v>
      </c>
      <c r="E69" t="s">
        <v>629</v>
      </c>
      <c r="F69">
        <v>479</v>
      </c>
      <c r="G69">
        <v>16127</v>
      </c>
      <c r="H69">
        <v>7724833</v>
      </c>
      <c r="I69" t="s">
        <v>660</v>
      </c>
      <c r="J69" t="s">
        <v>672</v>
      </c>
      <c r="K69" t="s">
        <v>640</v>
      </c>
      <c r="L69" t="s">
        <v>681</v>
      </c>
      <c r="M69" t="s">
        <v>685</v>
      </c>
      <c r="N69" t="s">
        <v>688</v>
      </c>
      <c r="O69" t="s">
        <v>693</v>
      </c>
      <c r="P69">
        <v>7724833</v>
      </c>
      <c r="Q69">
        <v>0</v>
      </c>
      <c r="R69">
        <v>3.45</v>
      </c>
      <c r="S69" t="s">
        <v>756</v>
      </c>
      <c r="T69" t="s">
        <v>981</v>
      </c>
      <c r="U69">
        <v>2024</v>
      </c>
      <c r="V69" t="s">
        <v>995</v>
      </c>
      <c r="W69" t="s">
        <v>997</v>
      </c>
      <c r="X69" t="s">
        <v>1000</v>
      </c>
      <c r="Y69">
        <v>1</v>
      </c>
      <c r="Z69">
        <v>14</v>
      </c>
    </row>
    <row r="70" spans="1:26" x14ac:dyDescent="0.3">
      <c r="A70" t="s">
        <v>94</v>
      </c>
      <c r="B70" t="s">
        <v>534</v>
      </c>
      <c r="C70" t="s">
        <v>626</v>
      </c>
      <c r="D70">
        <v>54</v>
      </c>
      <c r="E70" t="s">
        <v>629</v>
      </c>
      <c r="F70">
        <v>982</v>
      </c>
      <c r="G70">
        <v>18745</v>
      </c>
      <c r="H70">
        <v>18407590</v>
      </c>
      <c r="I70" t="s">
        <v>648</v>
      </c>
      <c r="J70" t="s">
        <v>671</v>
      </c>
      <c r="K70" t="s">
        <v>638</v>
      </c>
      <c r="L70" t="s">
        <v>680</v>
      </c>
      <c r="M70" t="s">
        <v>686</v>
      </c>
      <c r="N70" t="s">
        <v>692</v>
      </c>
      <c r="O70" t="s">
        <v>694</v>
      </c>
      <c r="P70">
        <v>4344105</v>
      </c>
      <c r="Q70">
        <v>12</v>
      </c>
      <c r="R70">
        <v>4.97</v>
      </c>
      <c r="S70" t="s">
        <v>757</v>
      </c>
      <c r="T70" t="s">
        <v>989</v>
      </c>
      <c r="U70">
        <v>2024</v>
      </c>
      <c r="V70" t="s">
        <v>994</v>
      </c>
      <c r="W70" t="s">
        <v>999</v>
      </c>
      <c r="X70" t="s">
        <v>1002</v>
      </c>
      <c r="Y70">
        <v>1</v>
      </c>
      <c r="Z70">
        <v>28</v>
      </c>
    </row>
    <row r="71" spans="1:26" x14ac:dyDescent="0.3">
      <c r="A71" t="s">
        <v>95</v>
      </c>
      <c r="B71" t="s">
        <v>538</v>
      </c>
      <c r="C71" t="s">
        <v>626</v>
      </c>
      <c r="D71">
        <v>30</v>
      </c>
      <c r="E71" t="s">
        <v>629</v>
      </c>
      <c r="F71">
        <v>520</v>
      </c>
      <c r="G71">
        <v>39732</v>
      </c>
      <c r="H71">
        <v>20660640</v>
      </c>
      <c r="I71" t="s">
        <v>661</v>
      </c>
      <c r="J71" t="s">
        <v>673</v>
      </c>
      <c r="K71" t="s">
        <v>676</v>
      </c>
      <c r="L71" t="s">
        <v>681</v>
      </c>
      <c r="M71" t="s">
        <v>687</v>
      </c>
      <c r="N71" t="s">
        <v>689</v>
      </c>
      <c r="O71" t="s">
        <v>694</v>
      </c>
      <c r="P71">
        <v>8529739</v>
      </c>
      <c r="Q71">
        <v>24</v>
      </c>
      <c r="R71">
        <v>4.18</v>
      </c>
      <c r="S71" t="s">
        <v>758</v>
      </c>
      <c r="T71" t="s">
        <v>981</v>
      </c>
      <c r="U71">
        <v>2024</v>
      </c>
      <c r="V71" t="s">
        <v>995</v>
      </c>
      <c r="W71" t="s">
        <v>999</v>
      </c>
      <c r="X71" t="s">
        <v>1000</v>
      </c>
      <c r="Y71">
        <v>4</v>
      </c>
      <c r="Z71">
        <v>38</v>
      </c>
    </row>
    <row r="72" spans="1:26" x14ac:dyDescent="0.3">
      <c r="A72" t="s">
        <v>96</v>
      </c>
      <c r="B72" t="s">
        <v>540</v>
      </c>
      <c r="C72" t="s">
        <v>627</v>
      </c>
      <c r="D72">
        <v>42</v>
      </c>
      <c r="E72" t="s">
        <v>630</v>
      </c>
      <c r="F72">
        <v>605</v>
      </c>
      <c r="G72">
        <v>22334</v>
      </c>
      <c r="H72">
        <v>13512070</v>
      </c>
      <c r="I72" t="s">
        <v>647</v>
      </c>
      <c r="J72" t="s">
        <v>670</v>
      </c>
      <c r="K72" t="s">
        <v>676</v>
      </c>
      <c r="L72" t="s">
        <v>682</v>
      </c>
      <c r="M72" t="s">
        <v>683</v>
      </c>
      <c r="N72" t="s">
        <v>688</v>
      </c>
      <c r="O72" t="s">
        <v>694</v>
      </c>
      <c r="P72">
        <v>4052548</v>
      </c>
      <c r="Q72">
        <v>6</v>
      </c>
      <c r="R72">
        <v>1.68</v>
      </c>
      <c r="S72" t="s">
        <v>759</v>
      </c>
      <c r="T72" t="s">
        <v>986</v>
      </c>
      <c r="U72">
        <v>2024</v>
      </c>
      <c r="V72" t="s">
        <v>993</v>
      </c>
      <c r="W72" t="s">
        <v>999</v>
      </c>
      <c r="X72" t="s">
        <v>1002</v>
      </c>
      <c r="Y72">
        <v>2</v>
      </c>
      <c r="Z72">
        <v>12</v>
      </c>
    </row>
    <row r="73" spans="1:26" x14ac:dyDescent="0.3">
      <c r="A73" t="s">
        <v>97</v>
      </c>
      <c r="B73" t="s">
        <v>573</v>
      </c>
      <c r="C73" t="s">
        <v>626</v>
      </c>
      <c r="D73">
        <v>60</v>
      </c>
      <c r="E73" t="s">
        <v>630</v>
      </c>
      <c r="F73">
        <v>381</v>
      </c>
      <c r="G73">
        <v>43153</v>
      </c>
      <c r="H73">
        <v>16441293</v>
      </c>
      <c r="I73" t="s">
        <v>640</v>
      </c>
      <c r="J73" t="s">
        <v>672</v>
      </c>
      <c r="K73" t="s">
        <v>676</v>
      </c>
      <c r="L73" t="s">
        <v>680</v>
      </c>
      <c r="M73" t="s">
        <v>684</v>
      </c>
      <c r="N73" t="s">
        <v>689</v>
      </c>
      <c r="O73" t="s">
        <v>694</v>
      </c>
      <c r="P73">
        <v>7009478</v>
      </c>
      <c r="Q73">
        <v>24</v>
      </c>
      <c r="R73">
        <v>7.6</v>
      </c>
      <c r="S73" t="s">
        <v>706</v>
      </c>
      <c r="T73" t="s">
        <v>989</v>
      </c>
      <c r="U73">
        <v>2024</v>
      </c>
      <c r="V73" t="s">
        <v>995</v>
      </c>
      <c r="W73" t="s">
        <v>998</v>
      </c>
      <c r="X73" t="s">
        <v>1001</v>
      </c>
      <c r="Y73">
        <v>3</v>
      </c>
      <c r="Z73">
        <v>18</v>
      </c>
    </row>
    <row r="74" spans="1:26" x14ac:dyDescent="0.3">
      <c r="A74" t="s">
        <v>98</v>
      </c>
      <c r="B74" t="s">
        <v>569</v>
      </c>
      <c r="C74" t="s">
        <v>626</v>
      </c>
      <c r="D74">
        <v>49</v>
      </c>
      <c r="E74" t="s">
        <v>629</v>
      </c>
      <c r="F74">
        <v>719</v>
      </c>
      <c r="G74">
        <v>6862</v>
      </c>
      <c r="H74">
        <v>4933778</v>
      </c>
      <c r="I74" t="s">
        <v>638</v>
      </c>
      <c r="J74" t="s">
        <v>672</v>
      </c>
      <c r="K74" t="s">
        <v>651</v>
      </c>
      <c r="L74" t="s">
        <v>682</v>
      </c>
      <c r="M74" t="s">
        <v>685</v>
      </c>
      <c r="N74" t="s">
        <v>691</v>
      </c>
      <c r="O74" t="s">
        <v>694</v>
      </c>
      <c r="P74">
        <v>1655648</v>
      </c>
      <c r="Q74">
        <v>24</v>
      </c>
      <c r="R74">
        <v>0.56999999999999995</v>
      </c>
      <c r="S74" t="s">
        <v>720</v>
      </c>
      <c r="T74" t="s">
        <v>992</v>
      </c>
      <c r="U74">
        <v>2024</v>
      </c>
      <c r="V74" t="s">
        <v>996</v>
      </c>
      <c r="W74" t="s">
        <v>998</v>
      </c>
      <c r="X74" t="s">
        <v>1001</v>
      </c>
      <c r="Y74">
        <v>4</v>
      </c>
      <c r="Z74">
        <v>33</v>
      </c>
    </row>
    <row r="75" spans="1:26" x14ac:dyDescent="0.3">
      <c r="A75" t="s">
        <v>99</v>
      </c>
      <c r="B75" t="s">
        <v>574</v>
      </c>
      <c r="C75" t="s">
        <v>626</v>
      </c>
      <c r="D75">
        <v>48</v>
      </c>
      <c r="E75" t="s">
        <v>629</v>
      </c>
      <c r="F75">
        <v>305</v>
      </c>
      <c r="G75">
        <v>24507</v>
      </c>
      <c r="H75">
        <v>7474635</v>
      </c>
      <c r="I75" t="s">
        <v>649</v>
      </c>
      <c r="J75" t="s">
        <v>669</v>
      </c>
      <c r="K75" t="s">
        <v>678</v>
      </c>
      <c r="L75" t="s">
        <v>682</v>
      </c>
      <c r="M75" t="s">
        <v>686</v>
      </c>
      <c r="N75" t="s">
        <v>688</v>
      </c>
      <c r="O75" t="s">
        <v>693</v>
      </c>
      <c r="P75">
        <v>7474635</v>
      </c>
      <c r="Q75">
        <v>0</v>
      </c>
      <c r="R75">
        <v>5.05</v>
      </c>
      <c r="S75" t="s">
        <v>760</v>
      </c>
      <c r="T75" t="s">
        <v>987</v>
      </c>
      <c r="U75">
        <v>2024</v>
      </c>
      <c r="V75" t="s">
        <v>994</v>
      </c>
      <c r="W75" t="s">
        <v>998</v>
      </c>
      <c r="X75" t="s">
        <v>1002</v>
      </c>
      <c r="Y75">
        <v>4</v>
      </c>
      <c r="Z75">
        <v>27</v>
      </c>
    </row>
    <row r="76" spans="1:26" x14ac:dyDescent="0.3">
      <c r="A76" t="s">
        <v>100</v>
      </c>
      <c r="B76" t="s">
        <v>575</v>
      </c>
      <c r="C76" t="s">
        <v>627</v>
      </c>
      <c r="D76">
        <v>41</v>
      </c>
      <c r="E76" t="s">
        <v>628</v>
      </c>
      <c r="F76">
        <v>253</v>
      </c>
      <c r="G76">
        <v>43345</v>
      </c>
      <c r="H76">
        <v>10966285</v>
      </c>
      <c r="I76" t="s">
        <v>636</v>
      </c>
      <c r="J76" t="s">
        <v>671</v>
      </c>
      <c r="K76" t="s">
        <v>674</v>
      </c>
      <c r="L76" t="s">
        <v>682</v>
      </c>
      <c r="M76" t="s">
        <v>683</v>
      </c>
      <c r="N76" t="s">
        <v>690</v>
      </c>
      <c r="O76" t="s">
        <v>694</v>
      </c>
      <c r="P76">
        <v>3277902</v>
      </c>
      <c r="Q76">
        <v>3</v>
      </c>
      <c r="R76">
        <v>5.58</v>
      </c>
      <c r="S76" t="s">
        <v>761</v>
      </c>
      <c r="T76" t="s">
        <v>991</v>
      </c>
      <c r="U76">
        <v>2024</v>
      </c>
      <c r="V76" t="s">
        <v>994</v>
      </c>
      <c r="W76" t="s">
        <v>997</v>
      </c>
      <c r="X76" t="s">
        <v>1001</v>
      </c>
      <c r="Y76">
        <v>4</v>
      </c>
      <c r="Z76">
        <v>9</v>
      </c>
    </row>
    <row r="77" spans="1:26" x14ac:dyDescent="0.3">
      <c r="A77" t="s">
        <v>101</v>
      </c>
      <c r="B77" t="s">
        <v>526</v>
      </c>
      <c r="C77" t="s">
        <v>626</v>
      </c>
      <c r="D77">
        <v>52</v>
      </c>
      <c r="E77" t="s">
        <v>630</v>
      </c>
      <c r="F77">
        <v>517</v>
      </c>
      <c r="G77">
        <v>38629</v>
      </c>
      <c r="H77">
        <v>19971193</v>
      </c>
      <c r="I77" t="s">
        <v>655</v>
      </c>
      <c r="J77" t="s">
        <v>672</v>
      </c>
      <c r="K77" t="s">
        <v>676</v>
      </c>
      <c r="L77" t="s">
        <v>680</v>
      </c>
      <c r="M77" t="s">
        <v>687</v>
      </c>
      <c r="N77" t="s">
        <v>690</v>
      </c>
      <c r="O77" t="s">
        <v>694</v>
      </c>
      <c r="P77">
        <v>8866320</v>
      </c>
      <c r="Q77">
        <v>12</v>
      </c>
      <c r="R77">
        <v>6.7</v>
      </c>
      <c r="S77" t="s">
        <v>762</v>
      </c>
      <c r="T77" t="s">
        <v>984</v>
      </c>
      <c r="U77">
        <v>2024</v>
      </c>
      <c r="V77" t="s">
        <v>996</v>
      </c>
      <c r="W77" t="s">
        <v>999</v>
      </c>
      <c r="X77" t="s">
        <v>1002</v>
      </c>
      <c r="Y77">
        <v>4</v>
      </c>
      <c r="Z77">
        <v>13</v>
      </c>
    </row>
    <row r="78" spans="1:26" x14ac:dyDescent="0.3">
      <c r="A78" t="s">
        <v>102</v>
      </c>
      <c r="B78" t="s">
        <v>563</v>
      </c>
      <c r="C78" t="s">
        <v>626</v>
      </c>
      <c r="D78">
        <v>59</v>
      </c>
      <c r="E78" t="s">
        <v>628</v>
      </c>
      <c r="F78">
        <v>279</v>
      </c>
      <c r="G78">
        <v>21385</v>
      </c>
      <c r="H78">
        <v>5966415</v>
      </c>
      <c r="I78" t="s">
        <v>654</v>
      </c>
      <c r="J78" t="s">
        <v>669</v>
      </c>
      <c r="K78" t="s">
        <v>638</v>
      </c>
      <c r="L78" t="s">
        <v>682</v>
      </c>
      <c r="M78" t="s">
        <v>684</v>
      </c>
      <c r="N78" t="s">
        <v>688</v>
      </c>
      <c r="O78" t="s">
        <v>693</v>
      </c>
      <c r="P78">
        <v>5966415</v>
      </c>
      <c r="Q78">
        <v>0</v>
      </c>
      <c r="R78">
        <v>5.08</v>
      </c>
      <c r="S78" t="s">
        <v>744</v>
      </c>
      <c r="T78" t="s">
        <v>985</v>
      </c>
      <c r="U78">
        <v>2024</v>
      </c>
      <c r="V78" t="s">
        <v>996</v>
      </c>
      <c r="W78" t="s">
        <v>999</v>
      </c>
      <c r="X78" t="s">
        <v>1001</v>
      </c>
      <c r="Y78">
        <v>5</v>
      </c>
      <c r="Z78">
        <v>11</v>
      </c>
    </row>
    <row r="79" spans="1:26" x14ac:dyDescent="0.3">
      <c r="A79" t="s">
        <v>103</v>
      </c>
      <c r="B79" t="s">
        <v>551</v>
      </c>
      <c r="C79" t="s">
        <v>627</v>
      </c>
      <c r="D79">
        <v>54</v>
      </c>
      <c r="E79" t="s">
        <v>628</v>
      </c>
      <c r="F79">
        <v>620</v>
      </c>
      <c r="G79">
        <v>25874</v>
      </c>
      <c r="H79">
        <v>16041880</v>
      </c>
      <c r="I79" t="s">
        <v>633</v>
      </c>
      <c r="J79" t="s">
        <v>668</v>
      </c>
      <c r="K79" t="s">
        <v>664</v>
      </c>
      <c r="L79" t="s">
        <v>681</v>
      </c>
      <c r="M79" t="s">
        <v>684</v>
      </c>
      <c r="N79" t="s">
        <v>688</v>
      </c>
      <c r="O79" t="s">
        <v>693</v>
      </c>
      <c r="P79">
        <v>16041880</v>
      </c>
      <c r="Q79">
        <v>0</v>
      </c>
      <c r="R79">
        <v>9.6999999999999993</v>
      </c>
      <c r="S79" t="s">
        <v>763</v>
      </c>
      <c r="T79" t="s">
        <v>983</v>
      </c>
      <c r="U79">
        <v>2024</v>
      </c>
      <c r="V79" t="s">
        <v>994</v>
      </c>
      <c r="W79" t="s">
        <v>997</v>
      </c>
      <c r="X79" t="s">
        <v>1001</v>
      </c>
      <c r="Y79">
        <v>4</v>
      </c>
      <c r="Z79">
        <v>30</v>
      </c>
    </row>
    <row r="80" spans="1:26" x14ac:dyDescent="0.3">
      <c r="A80" t="s">
        <v>104</v>
      </c>
      <c r="B80" t="s">
        <v>560</v>
      </c>
      <c r="C80" t="s">
        <v>627</v>
      </c>
      <c r="D80">
        <v>61</v>
      </c>
      <c r="E80" t="s">
        <v>630</v>
      </c>
      <c r="F80">
        <v>740</v>
      </c>
      <c r="G80">
        <v>29437</v>
      </c>
      <c r="H80">
        <v>21783380</v>
      </c>
      <c r="I80" t="s">
        <v>639</v>
      </c>
      <c r="J80" t="s">
        <v>671</v>
      </c>
      <c r="K80" t="s">
        <v>675</v>
      </c>
      <c r="L80" t="s">
        <v>681</v>
      </c>
      <c r="M80" t="s">
        <v>686</v>
      </c>
      <c r="N80" t="s">
        <v>689</v>
      </c>
      <c r="O80" t="s">
        <v>693</v>
      </c>
      <c r="P80">
        <v>21783380</v>
      </c>
      <c r="Q80">
        <v>0</v>
      </c>
      <c r="R80">
        <v>8.17</v>
      </c>
      <c r="S80" t="s">
        <v>764</v>
      </c>
      <c r="T80" t="s">
        <v>983</v>
      </c>
      <c r="U80">
        <v>2024</v>
      </c>
      <c r="V80" t="s">
        <v>993</v>
      </c>
      <c r="W80" t="s">
        <v>998</v>
      </c>
      <c r="X80" t="s">
        <v>1000</v>
      </c>
      <c r="Y80">
        <v>2</v>
      </c>
      <c r="Z80">
        <v>18</v>
      </c>
    </row>
    <row r="81" spans="1:26" x14ac:dyDescent="0.3">
      <c r="A81" t="s">
        <v>105</v>
      </c>
      <c r="B81" t="s">
        <v>576</v>
      </c>
      <c r="C81" t="s">
        <v>627</v>
      </c>
      <c r="D81">
        <v>45</v>
      </c>
      <c r="E81" t="s">
        <v>629</v>
      </c>
      <c r="F81">
        <v>647</v>
      </c>
      <c r="G81">
        <v>8010</v>
      </c>
      <c r="H81">
        <v>5182470</v>
      </c>
      <c r="I81" t="s">
        <v>647</v>
      </c>
      <c r="J81" t="s">
        <v>670</v>
      </c>
      <c r="K81" t="s">
        <v>638</v>
      </c>
      <c r="L81" t="s">
        <v>681</v>
      </c>
      <c r="M81" t="s">
        <v>683</v>
      </c>
      <c r="N81" t="s">
        <v>691</v>
      </c>
      <c r="O81" t="s">
        <v>693</v>
      </c>
      <c r="P81">
        <v>5182470</v>
      </c>
      <c r="Q81">
        <v>0</v>
      </c>
      <c r="R81">
        <v>8.17</v>
      </c>
      <c r="S81" t="s">
        <v>765</v>
      </c>
      <c r="T81" t="s">
        <v>982</v>
      </c>
      <c r="U81">
        <v>2024</v>
      </c>
      <c r="V81" t="s">
        <v>993</v>
      </c>
      <c r="W81" t="s">
        <v>998</v>
      </c>
      <c r="X81" t="s">
        <v>1000</v>
      </c>
      <c r="Y81">
        <v>1</v>
      </c>
      <c r="Z81">
        <v>21</v>
      </c>
    </row>
    <row r="82" spans="1:26" x14ac:dyDescent="0.3">
      <c r="A82" t="s">
        <v>106</v>
      </c>
      <c r="B82" t="s">
        <v>548</v>
      </c>
      <c r="C82" t="s">
        <v>626</v>
      </c>
      <c r="D82">
        <v>59</v>
      </c>
      <c r="E82" t="s">
        <v>628</v>
      </c>
      <c r="F82">
        <v>349</v>
      </c>
      <c r="G82">
        <v>11017</v>
      </c>
      <c r="H82">
        <v>3844933</v>
      </c>
      <c r="I82" t="s">
        <v>662</v>
      </c>
      <c r="J82" t="s">
        <v>673</v>
      </c>
      <c r="K82" t="s">
        <v>651</v>
      </c>
      <c r="L82" t="s">
        <v>680</v>
      </c>
      <c r="M82" t="s">
        <v>685</v>
      </c>
      <c r="N82" t="s">
        <v>690</v>
      </c>
      <c r="O82" t="s">
        <v>693</v>
      </c>
      <c r="P82">
        <v>3844933</v>
      </c>
      <c r="Q82">
        <v>0</v>
      </c>
      <c r="R82">
        <v>2.87</v>
      </c>
      <c r="S82" t="s">
        <v>766</v>
      </c>
      <c r="T82" t="s">
        <v>989</v>
      </c>
      <c r="U82">
        <v>2024</v>
      </c>
      <c r="V82" t="s">
        <v>996</v>
      </c>
      <c r="W82" t="s">
        <v>999</v>
      </c>
      <c r="X82" t="s">
        <v>1001</v>
      </c>
      <c r="Y82">
        <v>5</v>
      </c>
      <c r="Z82">
        <v>34</v>
      </c>
    </row>
    <row r="83" spans="1:26" x14ac:dyDescent="0.3">
      <c r="A83" t="s">
        <v>107</v>
      </c>
      <c r="B83" t="s">
        <v>536</v>
      </c>
      <c r="C83" t="s">
        <v>627</v>
      </c>
      <c r="D83">
        <v>27</v>
      </c>
      <c r="E83" t="s">
        <v>630</v>
      </c>
      <c r="F83">
        <v>443</v>
      </c>
      <c r="G83">
        <v>21736</v>
      </c>
      <c r="H83">
        <v>9629048</v>
      </c>
      <c r="I83" t="s">
        <v>663</v>
      </c>
      <c r="J83" t="s">
        <v>670</v>
      </c>
      <c r="K83" t="s">
        <v>677</v>
      </c>
      <c r="L83" t="s">
        <v>682</v>
      </c>
      <c r="M83" t="s">
        <v>686</v>
      </c>
      <c r="N83" t="s">
        <v>689</v>
      </c>
      <c r="O83" t="s">
        <v>693</v>
      </c>
      <c r="P83">
        <v>9629048</v>
      </c>
      <c r="Q83">
        <v>0</v>
      </c>
      <c r="R83">
        <v>0.48</v>
      </c>
      <c r="S83" t="s">
        <v>767</v>
      </c>
      <c r="T83" t="s">
        <v>989</v>
      </c>
      <c r="U83">
        <v>2024</v>
      </c>
      <c r="V83" t="s">
        <v>996</v>
      </c>
      <c r="W83" t="s">
        <v>997</v>
      </c>
      <c r="X83" t="s">
        <v>1000</v>
      </c>
      <c r="Y83">
        <v>3</v>
      </c>
      <c r="Z83">
        <v>28</v>
      </c>
    </row>
    <row r="84" spans="1:26" x14ac:dyDescent="0.3">
      <c r="A84" t="s">
        <v>108</v>
      </c>
      <c r="B84" t="s">
        <v>540</v>
      </c>
      <c r="C84" t="s">
        <v>627</v>
      </c>
      <c r="D84">
        <v>44</v>
      </c>
      <c r="E84" t="s">
        <v>630</v>
      </c>
      <c r="F84">
        <v>446</v>
      </c>
      <c r="G84">
        <v>39399</v>
      </c>
      <c r="H84">
        <v>17571954</v>
      </c>
      <c r="I84" t="s">
        <v>642</v>
      </c>
      <c r="J84" t="s">
        <v>673</v>
      </c>
      <c r="K84" t="s">
        <v>651</v>
      </c>
      <c r="L84" t="s">
        <v>680</v>
      </c>
      <c r="M84" t="s">
        <v>684</v>
      </c>
      <c r="N84" t="s">
        <v>690</v>
      </c>
      <c r="O84" t="s">
        <v>694</v>
      </c>
      <c r="P84">
        <v>7016681</v>
      </c>
      <c r="Q84">
        <v>6</v>
      </c>
      <c r="R84">
        <v>0.86</v>
      </c>
      <c r="S84" t="s">
        <v>768</v>
      </c>
      <c r="T84" t="s">
        <v>991</v>
      </c>
      <c r="U84">
        <v>2024</v>
      </c>
      <c r="V84" t="s">
        <v>994</v>
      </c>
      <c r="W84" t="s">
        <v>997</v>
      </c>
      <c r="X84" t="s">
        <v>1000</v>
      </c>
      <c r="Y84">
        <v>3</v>
      </c>
      <c r="Z84">
        <v>5</v>
      </c>
    </row>
    <row r="85" spans="1:26" x14ac:dyDescent="0.3">
      <c r="A85" t="s">
        <v>109</v>
      </c>
      <c r="B85" t="s">
        <v>548</v>
      </c>
      <c r="C85" t="s">
        <v>626</v>
      </c>
      <c r="D85">
        <v>60</v>
      </c>
      <c r="E85" t="s">
        <v>628</v>
      </c>
      <c r="F85">
        <v>990</v>
      </c>
      <c r="G85">
        <v>40135</v>
      </c>
      <c r="H85">
        <v>39733650</v>
      </c>
      <c r="I85" t="s">
        <v>648</v>
      </c>
      <c r="J85" t="s">
        <v>671</v>
      </c>
      <c r="K85" t="s">
        <v>676</v>
      </c>
      <c r="L85" t="s">
        <v>680</v>
      </c>
      <c r="M85" t="s">
        <v>685</v>
      </c>
      <c r="N85" t="s">
        <v>691</v>
      </c>
      <c r="O85" t="s">
        <v>694</v>
      </c>
      <c r="P85">
        <v>8475216</v>
      </c>
      <c r="Q85">
        <v>6</v>
      </c>
      <c r="R85">
        <v>5.46</v>
      </c>
      <c r="S85" t="s">
        <v>769</v>
      </c>
      <c r="T85" t="s">
        <v>983</v>
      </c>
      <c r="U85">
        <v>2024</v>
      </c>
      <c r="V85" t="s">
        <v>993</v>
      </c>
      <c r="W85" t="s">
        <v>998</v>
      </c>
      <c r="X85" t="s">
        <v>1000</v>
      </c>
      <c r="Y85">
        <v>1</v>
      </c>
      <c r="Z85">
        <v>13</v>
      </c>
    </row>
    <row r="86" spans="1:26" x14ac:dyDescent="0.3">
      <c r="A86" t="s">
        <v>110</v>
      </c>
      <c r="B86" t="s">
        <v>542</v>
      </c>
      <c r="C86" t="s">
        <v>626</v>
      </c>
      <c r="D86">
        <v>37</v>
      </c>
      <c r="E86" t="s">
        <v>628</v>
      </c>
      <c r="F86">
        <v>727</v>
      </c>
      <c r="G86">
        <v>28098</v>
      </c>
      <c r="H86">
        <v>20427246</v>
      </c>
      <c r="I86" t="s">
        <v>646</v>
      </c>
      <c r="J86" t="s">
        <v>673</v>
      </c>
      <c r="K86" t="s">
        <v>677</v>
      </c>
      <c r="L86" t="s">
        <v>681</v>
      </c>
      <c r="M86" t="s">
        <v>684</v>
      </c>
      <c r="N86" t="s">
        <v>691</v>
      </c>
      <c r="O86" t="s">
        <v>694</v>
      </c>
      <c r="P86">
        <v>4309868</v>
      </c>
      <c r="Q86">
        <v>12</v>
      </c>
      <c r="R86">
        <v>6.47</v>
      </c>
      <c r="S86" t="s">
        <v>720</v>
      </c>
      <c r="T86" t="s">
        <v>992</v>
      </c>
      <c r="U86">
        <v>2024</v>
      </c>
      <c r="V86" t="s">
        <v>995</v>
      </c>
      <c r="W86" t="s">
        <v>998</v>
      </c>
      <c r="X86" t="s">
        <v>1002</v>
      </c>
      <c r="Y86">
        <v>2</v>
      </c>
      <c r="Z86">
        <v>32</v>
      </c>
    </row>
    <row r="87" spans="1:26" x14ac:dyDescent="0.3">
      <c r="A87" t="s">
        <v>111</v>
      </c>
      <c r="B87" t="s">
        <v>577</v>
      </c>
      <c r="C87" t="s">
        <v>627</v>
      </c>
      <c r="D87">
        <v>54</v>
      </c>
      <c r="E87" t="s">
        <v>630</v>
      </c>
      <c r="F87">
        <v>731</v>
      </c>
      <c r="G87">
        <v>19479</v>
      </c>
      <c r="H87">
        <v>14239149</v>
      </c>
      <c r="I87" t="s">
        <v>633</v>
      </c>
      <c r="J87" t="s">
        <v>668</v>
      </c>
      <c r="K87" t="s">
        <v>651</v>
      </c>
      <c r="L87" t="s">
        <v>681</v>
      </c>
      <c r="M87" t="s">
        <v>685</v>
      </c>
      <c r="N87" t="s">
        <v>689</v>
      </c>
      <c r="O87" t="s">
        <v>693</v>
      </c>
      <c r="P87">
        <v>14239149</v>
      </c>
      <c r="Q87">
        <v>0</v>
      </c>
      <c r="R87">
        <v>7.27</v>
      </c>
      <c r="S87" t="s">
        <v>770</v>
      </c>
      <c r="T87" t="s">
        <v>981</v>
      </c>
      <c r="U87">
        <v>2024</v>
      </c>
      <c r="V87" t="s">
        <v>994</v>
      </c>
      <c r="W87" t="s">
        <v>997</v>
      </c>
      <c r="X87" t="s">
        <v>1002</v>
      </c>
      <c r="Y87">
        <v>3</v>
      </c>
      <c r="Z87">
        <v>29</v>
      </c>
    </row>
    <row r="88" spans="1:26" x14ac:dyDescent="0.3">
      <c r="A88" t="s">
        <v>112</v>
      </c>
      <c r="B88" t="s">
        <v>578</v>
      </c>
      <c r="C88" t="s">
        <v>626</v>
      </c>
      <c r="D88">
        <v>60</v>
      </c>
      <c r="E88" t="s">
        <v>628</v>
      </c>
      <c r="F88">
        <v>370</v>
      </c>
      <c r="G88">
        <v>47204</v>
      </c>
      <c r="H88">
        <v>17465480</v>
      </c>
      <c r="I88" t="s">
        <v>655</v>
      </c>
      <c r="J88" t="s">
        <v>672</v>
      </c>
      <c r="K88" t="s">
        <v>640</v>
      </c>
      <c r="L88" t="s">
        <v>680</v>
      </c>
      <c r="M88" t="s">
        <v>684</v>
      </c>
      <c r="N88" t="s">
        <v>690</v>
      </c>
      <c r="O88" t="s">
        <v>694</v>
      </c>
      <c r="P88">
        <v>5835896</v>
      </c>
      <c r="Q88">
        <v>12</v>
      </c>
      <c r="R88">
        <v>7.27</v>
      </c>
      <c r="S88" t="s">
        <v>771</v>
      </c>
      <c r="T88" t="s">
        <v>982</v>
      </c>
      <c r="U88">
        <v>2024</v>
      </c>
      <c r="V88" t="s">
        <v>996</v>
      </c>
      <c r="W88" t="s">
        <v>999</v>
      </c>
      <c r="X88" t="s">
        <v>1000</v>
      </c>
      <c r="Y88">
        <v>5</v>
      </c>
      <c r="Z88">
        <v>44</v>
      </c>
    </row>
    <row r="89" spans="1:26" x14ac:dyDescent="0.3">
      <c r="A89" t="s">
        <v>113</v>
      </c>
      <c r="B89" t="s">
        <v>548</v>
      </c>
      <c r="C89" t="s">
        <v>626</v>
      </c>
      <c r="D89">
        <v>43</v>
      </c>
      <c r="E89" t="s">
        <v>630</v>
      </c>
      <c r="F89">
        <v>268</v>
      </c>
      <c r="G89">
        <v>17466</v>
      </c>
      <c r="H89">
        <v>4680888</v>
      </c>
      <c r="I89" t="s">
        <v>663</v>
      </c>
      <c r="J89" t="s">
        <v>670</v>
      </c>
      <c r="K89" t="s">
        <v>638</v>
      </c>
      <c r="L89" t="s">
        <v>680</v>
      </c>
      <c r="M89" t="s">
        <v>686</v>
      </c>
      <c r="N89" t="s">
        <v>688</v>
      </c>
      <c r="O89" t="s">
        <v>694</v>
      </c>
      <c r="P89">
        <v>1473807</v>
      </c>
      <c r="Q89">
        <v>12</v>
      </c>
      <c r="R89">
        <v>5.67</v>
      </c>
      <c r="S89" t="s">
        <v>764</v>
      </c>
      <c r="T89" t="s">
        <v>983</v>
      </c>
      <c r="U89">
        <v>2024</v>
      </c>
      <c r="V89" t="s">
        <v>994</v>
      </c>
      <c r="W89" t="s">
        <v>998</v>
      </c>
      <c r="X89" t="s">
        <v>1002</v>
      </c>
      <c r="Y89">
        <v>3</v>
      </c>
      <c r="Z89">
        <v>16</v>
      </c>
    </row>
    <row r="90" spans="1:26" x14ac:dyDescent="0.3">
      <c r="A90" t="s">
        <v>114</v>
      </c>
      <c r="B90" t="s">
        <v>562</v>
      </c>
      <c r="C90" t="s">
        <v>626</v>
      </c>
      <c r="D90">
        <v>64</v>
      </c>
      <c r="E90" t="s">
        <v>630</v>
      </c>
      <c r="F90">
        <v>711</v>
      </c>
      <c r="G90">
        <v>35930</v>
      </c>
      <c r="H90">
        <v>25546230</v>
      </c>
      <c r="I90" t="s">
        <v>664</v>
      </c>
      <c r="J90" t="s">
        <v>673</v>
      </c>
      <c r="K90" t="s">
        <v>638</v>
      </c>
      <c r="L90" t="s">
        <v>680</v>
      </c>
      <c r="M90" t="s">
        <v>685</v>
      </c>
      <c r="N90" t="s">
        <v>688</v>
      </c>
      <c r="O90" t="s">
        <v>694</v>
      </c>
      <c r="P90">
        <v>7115468</v>
      </c>
      <c r="Q90">
        <v>3</v>
      </c>
      <c r="R90">
        <v>2.6</v>
      </c>
      <c r="S90" t="s">
        <v>772</v>
      </c>
      <c r="T90" t="s">
        <v>989</v>
      </c>
      <c r="U90">
        <v>2024</v>
      </c>
      <c r="V90" t="s">
        <v>993</v>
      </c>
      <c r="W90" t="s">
        <v>998</v>
      </c>
      <c r="X90" t="s">
        <v>1000</v>
      </c>
      <c r="Y90">
        <v>4</v>
      </c>
      <c r="Z90">
        <v>6</v>
      </c>
    </row>
    <row r="91" spans="1:26" x14ac:dyDescent="0.3">
      <c r="A91" t="s">
        <v>115</v>
      </c>
      <c r="B91" t="s">
        <v>579</v>
      </c>
      <c r="C91" t="s">
        <v>627</v>
      </c>
      <c r="D91">
        <v>27</v>
      </c>
      <c r="E91" t="s">
        <v>628</v>
      </c>
      <c r="F91">
        <v>926</v>
      </c>
      <c r="G91">
        <v>6255</v>
      </c>
      <c r="H91">
        <v>5792130</v>
      </c>
      <c r="I91" t="s">
        <v>635</v>
      </c>
      <c r="J91" t="s">
        <v>668</v>
      </c>
      <c r="K91" t="s">
        <v>651</v>
      </c>
      <c r="L91" t="s">
        <v>680</v>
      </c>
      <c r="M91" t="s">
        <v>683</v>
      </c>
      <c r="N91" t="s">
        <v>691</v>
      </c>
      <c r="O91" t="s">
        <v>694</v>
      </c>
      <c r="P91">
        <v>2637786</v>
      </c>
      <c r="Q91">
        <v>12</v>
      </c>
      <c r="R91">
        <v>7.12</v>
      </c>
      <c r="S91" t="s">
        <v>773</v>
      </c>
      <c r="T91" t="s">
        <v>984</v>
      </c>
      <c r="U91">
        <v>2024</v>
      </c>
      <c r="V91" t="s">
        <v>993</v>
      </c>
      <c r="W91" t="s">
        <v>998</v>
      </c>
      <c r="X91" t="s">
        <v>1001</v>
      </c>
      <c r="Y91">
        <v>5</v>
      </c>
      <c r="Z91">
        <v>24</v>
      </c>
    </row>
    <row r="92" spans="1:26" x14ac:dyDescent="0.3">
      <c r="A92" t="s">
        <v>116</v>
      </c>
      <c r="B92" t="s">
        <v>580</v>
      </c>
      <c r="C92" t="s">
        <v>626</v>
      </c>
      <c r="D92">
        <v>46</v>
      </c>
      <c r="E92" t="s">
        <v>629</v>
      </c>
      <c r="F92">
        <v>332</v>
      </c>
      <c r="G92">
        <v>42104</v>
      </c>
      <c r="H92">
        <v>13978528</v>
      </c>
      <c r="I92" t="s">
        <v>658</v>
      </c>
      <c r="J92" t="s">
        <v>670</v>
      </c>
      <c r="K92" t="s">
        <v>675</v>
      </c>
      <c r="L92" t="s">
        <v>680</v>
      </c>
      <c r="M92" t="s">
        <v>683</v>
      </c>
      <c r="N92" t="s">
        <v>690</v>
      </c>
      <c r="O92" t="s">
        <v>693</v>
      </c>
      <c r="P92">
        <v>13978528</v>
      </c>
      <c r="Q92">
        <v>0</v>
      </c>
      <c r="R92">
        <v>0.66</v>
      </c>
      <c r="S92" t="s">
        <v>774</v>
      </c>
      <c r="T92" t="s">
        <v>991</v>
      </c>
      <c r="U92">
        <v>2024</v>
      </c>
      <c r="V92" t="s">
        <v>993</v>
      </c>
      <c r="W92" t="s">
        <v>998</v>
      </c>
      <c r="X92" t="s">
        <v>1002</v>
      </c>
      <c r="Y92">
        <v>5</v>
      </c>
      <c r="Z92">
        <v>23</v>
      </c>
    </row>
    <row r="93" spans="1:26" x14ac:dyDescent="0.3">
      <c r="A93" t="s">
        <v>117</v>
      </c>
      <c r="B93" t="s">
        <v>534</v>
      </c>
      <c r="C93" t="s">
        <v>626</v>
      </c>
      <c r="D93">
        <v>65</v>
      </c>
      <c r="E93" t="s">
        <v>628</v>
      </c>
      <c r="F93">
        <v>386</v>
      </c>
      <c r="G93">
        <v>10456</v>
      </c>
      <c r="H93">
        <v>4036016</v>
      </c>
      <c r="I93" t="s">
        <v>656</v>
      </c>
      <c r="J93" t="s">
        <v>669</v>
      </c>
      <c r="K93" t="s">
        <v>674</v>
      </c>
      <c r="L93" t="s">
        <v>681</v>
      </c>
      <c r="M93" t="s">
        <v>686</v>
      </c>
      <c r="N93" t="s">
        <v>690</v>
      </c>
      <c r="O93" t="s">
        <v>694</v>
      </c>
      <c r="P93">
        <v>1813855</v>
      </c>
      <c r="Q93">
        <v>3</v>
      </c>
      <c r="R93">
        <v>5.18</v>
      </c>
      <c r="S93" t="s">
        <v>733</v>
      </c>
      <c r="T93" t="s">
        <v>982</v>
      </c>
      <c r="U93">
        <v>2024</v>
      </c>
      <c r="V93" t="s">
        <v>993</v>
      </c>
      <c r="W93" t="s">
        <v>998</v>
      </c>
      <c r="X93" t="s">
        <v>1000</v>
      </c>
      <c r="Y93">
        <v>5</v>
      </c>
      <c r="Z93">
        <v>18</v>
      </c>
    </row>
    <row r="94" spans="1:26" x14ac:dyDescent="0.3">
      <c r="A94" t="s">
        <v>118</v>
      </c>
      <c r="B94" t="s">
        <v>534</v>
      </c>
      <c r="C94" t="s">
        <v>626</v>
      </c>
      <c r="D94">
        <v>56</v>
      </c>
      <c r="E94" t="s">
        <v>628</v>
      </c>
      <c r="F94">
        <v>746</v>
      </c>
      <c r="G94">
        <v>8122</v>
      </c>
      <c r="H94">
        <v>6059012</v>
      </c>
      <c r="I94" t="s">
        <v>651</v>
      </c>
      <c r="J94" t="s">
        <v>669</v>
      </c>
      <c r="K94" t="s">
        <v>674</v>
      </c>
      <c r="L94" t="s">
        <v>680</v>
      </c>
      <c r="M94" t="s">
        <v>685</v>
      </c>
      <c r="N94" t="s">
        <v>689</v>
      </c>
      <c r="O94" t="s">
        <v>693</v>
      </c>
      <c r="P94">
        <v>6059012</v>
      </c>
      <c r="Q94">
        <v>0</v>
      </c>
      <c r="R94">
        <v>5.92</v>
      </c>
      <c r="S94" t="s">
        <v>775</v>
      </c>
      <c r="T94" t="s">
        <v>985</v>
      </c>
      <c r="U94">
        <v>2024</v>
      </c>
      <c r="V94" t="s">
        <v>994</v>
      </c>
      <c r="W94" t="s">
        <v>997</v>
      </c>
      <c r="X94" t="s">
        <v>1000</v>
      </c>
      <c r="Y94">
        <v>5</v>
      </c>
      <c r="Z94">
        <v>27</v>
      </c>
    </row>
    <row r="95" spans="1:26" x14ac:dyDescent="0.3">
      <c r="A95" t="s">
        <v>119</v>
      </c>
      <c r="B95" t="s">
        <v>557</v>
      </c>
      <c r="C95" t="s">
        <v>626</v>
      </c>
      <c r="D95">
        <v>24</v>
      </c>
      <c r="E95" t="s">
        <v>629</v>
      </c>
      <c r="F95">
        <v>709</v>
      </c>
      <c r="G95">
        <v>43101</v>
      </c>
      <c r="H95">
        <v>30558609</v>
      </c>
      <c r="I95" t="s">
        <v>655</v>
      </c>
      <c r="J95" t="s">
        <v>672</v>
      </c>
      <c r="K95" t="s">
        <v>664</v>
      </c>
      <c r="L95" t="s">
        <v>680</v>
      </c>
      <c r="M95" t="s">
        <v>683</v>
      </c>
      <c r="N95" t="s">
        <v>691</v>
      </c>
      <c r="O95" t="s">
        <v>694</v>
      </c>
      <c r="P95">
        <v>10539158</v>
      </c>
      <c r="Q95">
        <v>12</v>
      </c>
      <c r="R95">
        <v>8.0500000000000007</v>
      </c>
      <c r="S95" t="s">
        <v>762</v>
      </c>
      <c r="T95" t="s">
        <v>984</v>
      </c>
      <c r="U95">
        <v>2024</v>
      </c>
      <c r="V95" t="s">
        <v>995</v>
      </c>
      <c r="W95" t="s">
        <v>998</v>
      </c>
      <c r="X95" t="s">
        <v>1002</v>
      </c>
      <c r="Y95">
        <v>2</v>
      </c>
      <c r="Z95">
        <v>22</v>
      </c>
    </row>
    <row r="96" spans="1:26" x14ac:dyDescent="0.3">
      <c r="A96" t="s">
        <v>120</v>
      </c>
      <c r="B96" t="s">
        <v>571</v>
      </c>
      <c r="C96" t="s">
        <v>627</v>
      </c>
      <c r="D96">
        <v>49</v>
      </c>
      <c r="E96" t="s">
        <v>628</v>
      </c>
      <c r="F96">
        <v>935</v>
      </c>
      <c r="G96">
        <v>22926</v>
      </c>
      <c r="H96">
        <v>21435810</v>
      </c>
      <c r="I96" t="s">
        <v>640</v>
      </c>
      <c r="J96" t="s">
        <v>672</v>
      </c>
      <c r="K96" t="s">
        <v>651</v>
      </c>
      <c r="L96" t="s">
        <v>681</v>
      </c>
      <c r="M96" t="s">
        <v>684</v>
      </c>
      <c r="N96" t="s">
        <v>688</v>
      </c>
      <c r="O96" t="s">
        <v>694</v>
      </c>
      <c r="P96">
        <v>5128086</v>
      </c>
      <c r="Q96">
        <v>24</v>
      </c>
      <c r="R96">
        <v>3.71</v>
      </c>
      <c r="S96" t="s">
        <v>776</v>
      </c>
      <c r="T96" t="s">
        <v>985</v>
      </c>
      <c r="U96">
        <v>2024</v>
      </c>
      <c r="V96" t="s">
        <v>996</v>
      </c>
      <c r="W96" t="s">
        <v>999</v>
      </c>
      <c r="X96" t="s">
        <v>1000</v>
      </c>
      <c r="Y96">
        <v>3</v>
      </c>
      <c r="Z96">
        <v>25</v>
      </c>
    </row>
    <row r="97" spans="1:26" x14ac:dyDescent="0.3">
      <c r="A97" t="s">
        <v>121</v>
      </c>
      <c r="B97" t="s">
        <v>555</v>
      </c>
      <c r="C97" t="s">
        <v>626</v>
      </c>
      <c r="D97">
        <v>51</v>
      </c>
      <c r="E97" t="s">
        <v>628</v>
      </c>
      <c r="F97">
        <v>363</v>
      </c>
      <c r="G97">
        <v>23458</v>
      </c>
      <c r="H97">
        <v>8515254</v>
      </c>
      <c r="I97" t="s">
        <v>660</v>
      </c>
      <c r="J97" t="s">
        <v>672</v>
      </c>
      <c r="K97" t="s">
        <v>679</v>
      </c>
      <c r="L97" t="s">
        <v>680</v>
      </c>
      <c r="M97" t="s">
        <v>684</v>
      </c>
      <c r="N97" t="s">
        <v>692</v>
      </c>
      <c r="O97" t="s">
        <v>694</v>
      </c>
      <c r="P97">
        <v>3652503</v>
      </c>
      <c r="Q97">
        <v>6</v>
      </c>
      <c r="R97">
        <v>4.9800000000000004</v>
      </c>
      <c r="S97" t="s">
        <v>777</v>
      </c>
      <c r="T97" t="s">
        <v>986</v>
      </c>
      <c r="U97">
        <v>2024</v>
      </c>
      <c r="V97" t="s">
        <v>995</v>
      </c>
      <c r="W97" t="s">
        <v>999</v>
      </c>
      <c r="X97" t="s">
        <v>1000</v>
      </c>
      <c r="Y97">
        <v>5</v>
      </c>
      <c r="Z97">
        <v>23</v>
      </c>
    </row>
    <row r="98" spans="1:26" x14ac:dyDescent="0.3">
      <c r="A98" t="s">
        <v>122</v>
      </c>
      <c r="B98" t="s">
        <v>560</v>
      </c>
      <c r="C98" t="s">
        <v>626</v>
      </c>
      <c r="D98">
        <v>45</v>
      </c>
      <c r="E98" t="s">
        <v>630</v>
      </c>
      <c r="F98">
        <v>706</v>
      </c>
      <c r="G98">
        <v>41158</v>
      </c>
      <c r="H98">
        <v>29057548</v>
      </c>
      <c r="I98" t="s">
        <v>664</v>
      </c>
      <c r="J98" t="s">
        <v>673</v>
      </c>
      <c r="K98" t="s">
        <v>677</v>
      </c>
      <c r="L98" t="s">
        <v>680</v>
      </c>
      <c r="M98" t="s">
        <v>684</v>
      </c>
      <c r="N98" t="s">
        <v>689</v>
      </c>
      <c r="O98" t="s">
        <v>694</v>
      </c>
      <c r="P98">
        <v>10489985</v>
      </c>
      <c r="Q98">
        <v>12</v>
      </c>
      <c r="R98">
        <v>8.4700000000000006</v>
      </c>
      <c r="S98" t="s">
        <v>757</v>
      </c>
      <c r="T98" t="s">
        <v>989</v>
      </c>
      <c r="U98">
        <v>2024</v>
      </c>
      <c r="V98" t="s">
        <v>996</v>
      </c>
      <c r="W98" t="s">
        <v>998</v>
      </c>
      <c r="X98" t="s">
        <v>1001</v>
      </c>
      <c r="Y98">
        <v>3</v>
      </c>
      <c r="Z98">
        <v>5</v>
      </c>
    </row>
    <row r="99" spans="1:26" x14ac:dyDescent="0.3">
      <c r="A99" t="s">
        <v>123</v>
      </c>
      <c r="B99" t="s">
        <v>561</v>
      </c>
      <c r="C99" t="s">
        <v>626</v>
      </c>
      <c r="D99">
        <v>29</v>
      </c>
      <c r="E99" t="s">
        <v>628</v>
      </c>
      <c r="F99">
        <v>982</v>
      </c>
      <c r="G99">
        <v>38035</v>
      </c>
      <c r="H99">
        <v>37350370</v>
      </c>
      <c r="I99" t="s">
        <v>647</v>
      </c>
      <c r="J99" t="s">
        <v>670</v>
      </c>
      <c r="K99" t="s">
        <v>678</v>
      </c>
      <c r="L99" t="s">
        <v>682</v>
      </c>
      <c r="M99" t="s">
        <v>686</v>
      </c>
      <c r="N99" t="s">
        <v>691</v>
      </c>
      <c r="O99" t="s">
        <v>694</v>
      </c>
      <c r="P99">
        <v>8911762</v>
      </c>
      <c r="Q99">
        <v>3</v>
      </c>
      <c r="R99">
        <v>0.97</v>
      </c>
      <c r="S99" t="s">
        <v>740</v>
      </c>
      <c r="T99" t="s">
        <v>991</v>
      </c>
      <c r="U99">
        <v>2024</v>
      </c>
      <c r="V99" t="s">
        <v>993</v>
      </c>
      <c r="W99" t="s">
        <v>999</v>
      </c>
      <c r="X99" t="s">
        <v>1000</v>
      </c>
      <c r="Y99">
        <v>2</v>
      </c>
      <c r="Z99">
        <v>46</v>
      </c>
    </row>
    <row r="100" spans="1:26" x14ac:dyDescent="0.3">
      <c r="A100" t="s">
        <v>124</v>
      </c>
      <c r="B100" t="s">
        <v>581</v>
      </c>
      <c r="C100" t="s">
        <v>626</v>
      </c>
      <c r="D100">
        <v>59</v>
      </c>
      <c r="E100" t="s">
        <v>629</v>
      </c>
      <c r="F100">
        <v>667</v>
      </c>
      <c r="G100">
        <v>11760</v>
      </c>
      <c r="H100">
        <v>7843920</v>
      </c>
      <c r="I100" t="s">
        <v>639</v>
      </c>
      <c r="J100" t="s">
        <v>671</v>
      </c>
      <c r="K100" t="s">
        <v>675</v>
      </c>
      <c r="L100" t="s">
        <v>681</v>
      </c>
      <c r="M100" t="s">
        <v>686</v>
      </c>
      <c r="N100" t="s">
        <v>690</v>
      </c>
      <c r="O100" t="s">
        <v>693</v>
      </c>
      <c r="P100">
        <v>7843920</v>
      </c>
      <c r="Q100">
        <v>0</v>
      </c>
      <c r="R100">
        <v>3.28</v>
      </c>
      <c r="S100" t="s">
        <v>778</v>
      </c>
      <c r="T100" t="s">
        <v>983</v>
      </c>
      <c r="U100">
        <v>2024</v>
      </c>
      <c r="V100" t="s">
        <v>995</v>
      </c>
      <c r="W100" t="s">
        <v>997</v>
      </c>
      <c r="X100" t="s">
        <v>1001</v>
      </c>
      <c r="Y100">
        <v>3</v>
      </c>
      <c r="Z100">
        <v>31</v>
      </c>
    </row>
    <row r="101" spans="1:26" x14ac:dyDescent="0.3">
      <c r="A101" t="s">
        <v>125</v>
      </c>
      <c r="B101" t="s">
        <v>582</v>
      </c>
      <c r="C101" t="s">
        <v>626</v>
      </c>
      <c r="D101">
        <v>36</v>
      </c>
      <c r="E101" t="s">
        <v>629</v>
      </c>
      <c r="F101">
        <v>889</v>
      </c>
      <c r="G101">
        <v>9183</v>
      </c>
      <c r="H101">
        <v>8163687</v>
      </c>
      <c r="I101" t="s">
        <v>646</v>
      </c>
      <c r="J101" t="s">
        <v>673</v>
      </c>
      <c r="K101" t="s">
        <v>651</v>
      </c>
      <c r="L101" t="s">
        <v>682</v>
      </c>
      <c r="M101" t="s">
        <v>686</v>
      </c>
      <c r="N101" t="s">
        <v>688</v>
      </c>
      <c r="O101" t="s">
        <v>694</v>
      </c>
      <c r="P101">
        <v>3584074</v>
      </c>
      <c r="Q101">
        <v>12</v>
      </c>
      <c r="R101">
        <v>7.25</v>
      </c>
      <c r="S101" t="s">
        <v>779</v>
      </c>
      <c r="T101" t="s">
        <v>984</v>
      </c>
      <c r="U101">
        <v>2024</v>
      </c>
      <c r="V101" t="s">
        <v>993</v>
      </c>
      <c r="W101" t="s">
        <v>997</v>
      </c>
      <c r="X101" t="s">
        <v>1002</v>
      </c>
      <c r="Y101">
        <v>2</v>
      </c>
      <c r="Z101">
        <v>34</v>
      </c>
    </row>
    <row r="102" spans="1:26" x14ac:dyDescent="0.3">
      <c r="A102" t="s">
        <v>126</v>
      </c>
      <c r="B102" t="s">
        <v>582</v>
      </c>
      <c r="C102" t="s">
        <v>627</v>
      </c>
      <c r="D102">
        <v>32</v>
      </c>
      <c r="E102" t="s">
        <v>628</v>
      </c>
      <c r="F102">
        <v>993</v>
      </c>
      <c r="G102">
        <v>26916</v>
      </c>
      <c r="H102">
        <v>26727588</v>
      </c>
      <c r="I102" t="s">
        <v>659</v>
      </c>
      <c r="J102" t="s">
        <v>668</v>
      </c>
      <c r="K102" t="s">
        <v>674</v>
      </c>
      <c r="L102" t="s">
        <v>681</v>
      </c>
      <c r="M102" t="s">
        <v>687</v>
      </c>
      <c r="N102" t="s">
        <v>691</v>
      </c>
      <c r="O102" t="s">
        <v>693</v>
      </c>
      <c r="P102">
        <v>26727588</v>
      </c>
      <c r="Q102">
        <v>0</v>
      </c>
      <c r="R102">
        <v>8.2200000000000006</v>
      </c>
      <c r="S102" t="s">
        <v>780</v>
      </c>
      <c r="T102" t="s">
        <v>992</v>
      </c>
      <c r="U102">
        <v>2024</v>
      </c>
      <c r="V102" t="s">
        <v>996</v>
      </c>
      <c r="W102" t="s">
        <v>998</v>
      </c>
      <c r="X102" t="s">
        <v>1001</v>
      </c>
      <c r="Y102">
        <v>2</v>
      </c>
      <c r="Z102">
        <v>27</v>
      </c>
    </row>
    <row r="103" spans="1:26" x14ac:dyDescent="0.3">
      <c r="A103" t="s">
        <v>127</v>
      </c>
      <c r="B103" t="s">
        <v>583</v>
      </c>
      <c r="C103" t="s">
        <v>626</v>
      </c>
      <c r="D103">
        <v>62</v>
      </c>
      <c r="E103" t="s">
        <v>630</v>
      </c>
      <c r="F103">
        <v>682</v>
      </c>
      <c r="G103">
        <v>49671</v>
      </c>
      <c r="H103">
        <v>33875622</v>
      </c>
      <c r="I103" t="s">
        <v>652</v>
      </c>
      <c r="J103" t="s">
        <v>672</v>
      </c>
      <c r="K103" t="s">
        <v>674</v>
      </c>
      <c r="L103" t="s">
        <v>682</v>
      </c>
      <c r="M103" t="s">
        <v>684</v>
      </c>
      <c r="N103" t="s">
        <v>690</v>
      </c>
      <c r="O103" t="s">
        <v>693</v>
      </c>
      <c r="P103">
        <v>33875622</v>
      </c>
      <c r="Q103">
        <v>0</v>
      </c>
      <c r="R103">
        <v>7.06</v>
      </c>
      <c r="S103" t="s">
        <v>734</v>
      </c>
      <c r="T103" t="s">
        <v>986</v>
      </c>
      <c r="U103">
        <v>2024</v>
      </c>
      <c r="V103" t="s">
        <v>996</v>
      </c>
      <c r="W103" t="s">
        <v>998</v>
      </c>
      <c r="X103" t="s">
        <v>1001</v>
      </c>
      <c r="Y103">
        <v>3</v>
      </c>
      <c r="Z103">
        <v>35</v>
      </c>
    </row>
    <row r="104" spans="1:26" x14ac:dyDescent="0.3">
      <c r="A104" t="s">
        <v>128</v>
      </c>
      <c r="B104" t="s">
        <v>539</v>
      </c>
      <c r="C104" t="s">
        <v>627</v>
      </c>
      <c r="D104">
        <v>39</v>
      </c>
      <c r="E104" t="s">
        <v>630</v>
      </c>
      <c r="F104">
        <v>824</v>
      </c>
      <c r="G104">
        <v>33731</v>
      </c>
      <c r="H104">
        <v>27794344</v>
      </c>
      <c r="I104" t="s">
        <v>636</v>
      </c>
      <c r="J104" t="s">
        <v>671</v>
      </c>
      <c r="K104" t="s">
        <v>677</v>
      </c>
      <c r="L104" t="s">
        <v>682</v>
      </c>
      <c r="M104" t="s">
        <v>683</v>
      </c>
      <c r="N104" t="s">
        <v>691</v>
      </c>
      <c r="O104" t="s">
        <v>693</v>
      </c>
      <c r="P104">
        <v>27794344</v>
      </c>
      <c r="Q104">
        <v>0</v>
      </c>
      <c r="R104">
        <v>9.57</v>
      </c>
      <c r="S104" t="s">
        <v>781</v>
      </c>
      <c r="T104" t="s">
        <v>992</v>
      </c>
      <c r="U104">
        <v>2024</v>
      </c>
      <c r="V104" t="s">
        <v>994</v>
      </c>
      <c r="W104" t="s">
        <v>998</v>
      </c>
      <c r="X104" t="s">
        <v>1002</v>
      </c>
      <c r="Y104">
        <v>5</v>
      </c>
      <c r="Z104">
        <v>47</v>
      </c>
    </row>
    <row r="105" spans="1:26" x14ac:dyDescent="0.3">
      <c r="A105" t="s">
        <v>129</v>
      </c>
      <c r="B105" t="s">
        <v>584</v>
      </c>
      <c r="C105" t="s">
        <v>626</v>
      </c>
      <c r="D105">
        <v>65</v>
      </c>
      <c r="E105" t="s">
        <v>628</v>
      </c>
      <c r="F105">
        <v>787</v>
      </c>
      <c r="G105">
        <v>46343</v>
      </c>
      <c r="H105">
        <v>36471941</v>
      </c>
      <c r="I105" t="s">
        <v>657</v>
      </c>
      <c r="J105" t="s">
        <v>671</v>
      </c>
      <c r="K105" t="s">
        <v>676</v>
      </c>
      <c r="L105" t="s">
        <v>681</v>
      </c>
      <c r="M105" t="s">
        <v>684</v>
      </c>
      <c r="N105" t="s">
        <v>690</v>
      </c>
      <c r="O105" t="s">
        <v>694</v>
      </c>
      <c r="P105">
        <v>16248733</v>
      </c>
      <c r="Q105">
        <v>24</v>
      </c>
      <c r="R105">
        <v>9.5500000000000007</v>
      </c>
      <c r="S105" t="s">
        <v>748</v>
      </c>
      <c r="T105" t="s">
        <v>987</v>
      </c>
      <c r="U105">
        <v>2024</v>
      </c>
      <c r="V105" t="s">
        <v>995</v>
      </c>
      <c r="W105" t="s">
        <v>999</v>
      </c>
      <c r="X105" t="s">
        <v>1000</v>
      </c>
      <c r="Y105">
        <v>5</v>
      </c>
      <c r="Z105">
        <v>18</v>
      </c>
    </row>
    <row r="106" spans="1:26" x14ac:dyDescent="0.3">
      <c r="A106" t="s">
        <v>130</v>
      </c>
      <c r="B106" t="s">
        <v>570</v>
      </c>
      <c r="C106" t="s">
        <v>627</v>
      </c>
      <c r="D106">
        <v>23</v>
      </c>
      <c r="E106" t="s">
        <v>628</v>
      </c>
      <c r="F106">
        <v>340</v>
      </c>
      <c r="G106">
        <v>9158</v>
      </c>
      <c r="H106">
        <v>3113720</v>
      </c>
      <c r="I106" t="s">
        <v>655</v>
      </c>
      <c r="J106" t="s">
        <v>672</v>
      </c>
      <c r="K106" t="s">
        <v>677</v>
      </c>
      <c r="L106" t="s">
        <v>681</v>
      </c>
      <c r="M106" t="s">
        <v>687</v>
      </c>
      <c r="N106" t="s">
        <v>691</v>
      </c>
      <c r="O106" t="s">
        <v>693</v>
      </c>
      <c r="P106">
        <v>3113720</v>
      </c>
      <c r="Q106">
        <v>0</v>
      </c>
      <c r="R106">
        <v>2.42</v>
      </c>
      <c r="S106" t="s">
        <v>782</v>
      </c>
      <c r="T106" t="s">
        <v>984</v>
      </c>
      <c r="U106">
        <v>2024</v>
      </c>
      <c r="V106" t="s">
        <v>993</v>
      </c>
      <c r="W106" t="s">
        <v>997</v>
      </c>
      <c r="X106" t="s">
        <v>1000</v>
      </c>
      <c r="Y106">
        <v>1</v>
      </c>
      <c r="Z106">
        <v>36</v>
      </c>
    </row>
    <row r="107" spans="1:26" x14ac:dyDescent="0.3">
      <c r="A107" t="s">
        <v>131</v>
      </c>
      <c r="B107" t="s">
        <v>585</v>
      </c>
      <c r="C107" t="s">
        <v>627</v>
      </c>
      <c r="D107">
        <v>25</v>
      </c>
      <c r="E107" t="s">
        <v>629</v>
      </c>
      <c r="F107">
        <v>688</v>
      </c>
      <c r="G107">
        <v>44633</v>
      </c>
      <c r="H107">
        <v>30707504</v>
      </c>
      <c r="I107" t="s">
        <v>632</v>
      </c>
      <c r="J107" t="s">
        <v>669</v>
      </c>
      <c r="K107" t="s">
        <v>678</v>
      </c>
      <c r="L107" t="s">
        <v>682</v>
      </c>
      <c r="M107" t="s">
        <v>683</v>
      </c>
      <c r="N107" t="s">
        <v>692</v>
      </c>
      <c r="O107" t="s">
        <v>693</v>
      </c>
      <c r="P107">
        <v>30707504</v>
      </c>
      <c r="Q107">
        <v>0</v>
      </c>
      <c r="R107">
        <v>7.56</v>
      </c>
      <c r="S107" t="s">
        <v>783</v>
      </c>
      <c r="T107" t="s">
        <v>992</v>
      </c>
      <c r="U107">
        <v>2024</v>
      </c>
      <c r="V107" t="s">
        <v>993</v>
      </c>
      <c r="W107" t="s">
        <v>999</v>
      </c>
      <c r="X107" t="s">
        <v>1002</v>
      </c>
      <c r="Y107">
        <v>2</v>
      </c>
      <c r="Z107">
        <v>3</v>
      </c>
    </row>
    <row r="108" spans="1:26" x14ac:dyDescent="0.3">
      <c r="A108" t="s">
        <v>132</v>
      </c>
      <c r="B108" t="s">
        <v>586</v>
      </c>
      <c r="C108" t="s">
        <v>626</v>
      </c>
      <c r="D108">
        <v>38</v>
      </c>
      <c r="E108" t="s">
        <v>630</v>
      </c>
      <c r="F108">
        <v>390</v>
      </c>
      <c r="G108">
        <v>20970</v>
      </c>
      <c r="H108">
        <v>8178300</v>
      </c>
      <c r="I108" t="s">
        <v>658</v>
      </c>
      <c r="J108" t="s">
        <v>670</v>
      </c>
      <c r="K108" t="s">
        <v>678</v>
      </c>
      <c r="L108" t="s">
        <v>682</v>
      </c>
      <c r="M108" t="s">
        <v>686</v>
      </c>
      <c r="N108" t="s">
        <v>692</v>
      </c>
      <c r="O108" t="s">
        <v>693</v>
      </c>
      <c r="P108">
        <v>8178300</v>
      </c>
      <c r="Q108">
        <v>0</v>
      </c>
      <c r="R108">
        <v>0.09</v>
      </c>
      <c r="S108" t="s">
        <v>699</v>
      </c>
      <c r="T108" t="s">
        <v>985</v>
      </c>
      <c r="U108">
        <v>2024</v>
      </c>
      <c r="V108" t="s">
        <v>995</v>
      </c>
      <c r="W108" t="s">
        <v>999</v>
      </c>
      <c r="X108" t="s">
        <v>1001</v>
      </c>
      <c r="Y108">
        <v>4</v>
      </c>
      <c r="Z108">
        <v>18</v>
      </c>
    </row>
    <row r="109" spans="1:26" x14ac:dyDescent="0.3">
      <c r="A109" t="s">
        <v>133</v>
      </c>
      <c r="B109" t="s">
        <v>566</v>
      </c>
      <c r="C109" t="s">
        <v>627</v>
      </c>
      <c r="D109">
        <v>31</v>
      </c>
      <c r="E109" t="s">
        <v>629</v>
      </c>
      <c r="F109">
        <v>366</v>
      </c>
      <c r="G109">
        <v>49914</v>
      </c>
      <c r="H109">
        <v>18268524</v>
      </c>
      <c r="I109" t="s">
        <v>649</v>
      </c>
      <c r="J109" t="s">
        <v>669</v>
      </c>
      <c r="K109" t="s">
        <v>651</v>
      </c>
      <c r="L109" t="s">
        <v>682</v>
      </c>
      <c r="M109" t="s">
        <v>684</v>
      </c>
      <c r="N109" t="s">
        <v>691</v>
      </c>
      <c r="O109" t="s">
        <v>694</v>
      </c>
      <c r="P109">
        <v>7592023</v>
      </c>
      <c r="Q109">
        <v>12</v>
      </c>
      <c r="R109">
        <v>0.14000000000000001</v>
      </c>
      <c r="S109" t="s">
        <v>784</v>
      </c>
      <c r="T109" t="s">
        <v>982</v>
      </c>
      <c r="U109">
        <v>2024</v>
      </c>
      <c r="V109" t="s">
        <v>994</v>
      </c>
      <c r="W109" t="s">
        <v>999</v>
      </c>
      <c r="X109" t="s">
        <v>1002</v>
      </c>
      <c r="Y109">
        <v>1</v>
      </c>
      <c r="Z109">
        <v>12</v>
      </c>
    </row>
    <row r="110" spans="1:26" x14ac:dyDescent="0.3">
      <c r="A110" t="s">
        <v>134</v>
      </c>
      <c r="B110" t="s">
        <v>566</v>
      </c>
      <c r="C110" t="s">
        <v>627</v>
      </c>
      <c r="D110">
        <v>36</v>
      </c>
      <c r="E110" t="s">
        <v>629</v>
      </c>
      <c r="F110">
        <v>454</v>
      </c>
      <c r="G110">
        <v>2447</v>
      </c>
      <c r="H110">
        <v>1110938</v>
      </c>
      <c r="I110" t="s">
        <v>632</v>
      </c>
      <c r="J110" t="s">
        <v>669</v>
      </c>
      <c r="K110" t="s">
        <v>651</v>
      </c>
      <c r="L110" t="s">
        <v>681</v>
      </c>
      <c r="M110" t="s">
        <v>683</v>
      </c>
      <c r="N110" t="s">
        <v>689</v>
      </c>
      <c r="O110" t="s">
        <v>694</v>
      </c>
      <c r="P110">
        <v>300682</v>
      </c>
      <c r="Q110">
        <v>24</v>
      </c>
      <c r="R110">
        <v>7.54</v>
      </c>
      <c r="S110" t="s">
        <v>785</v>
      </c>
      <c r="T110" t="s">
        <v>982</v>
      </c>
      <c r="U110">
        <v>2024</v>
      </c>
      <c r="V110" t="s">
        <v>993</v>
      </c>
      <c r="W110" t="s">
        <v>998</v>
      </c>
      <c r="X110" t="s">
        <v>1002</v>
      </c>
      <c r="Y110">
        <v>2</v>
      </c>
      <c r="Z110">
        <v>26</v>
      </c>
    </row>
    <row r="111" spans="1:26" x14ac:dyDescent="0.3">
      <c r="A111" t="s">
        <v>135</v>
      </c>
      <c r="B111" t="s">
        <v>587</v>
      </c>
      <c r="C111" t="s">
        <v>626</v>
      </c>
      <c r="D111">
        <v>58</v>
      </c>
      <c r="E111" t="s">
        <v>630</v>
      </c>
      <c r="F111">
        <v>906</v>
      </c>
      <c r="G111">
        <v>9694</v>
      </c>
      <c r="H111">
        <v>8782764</v>
      </c>
      <c r="I111" t="s">
        <v>644</v>
      </c>
      <c r="J111" t="s">
        <v>668</v>
      </c>
      <c r="K111" t="s">
        <v>677</v>
      </c>
      <c r="L111" t="s">
        <v>681</v>
      </c>
      <c r="M111" t="s">
        <v>686</v>
      </c>
      <c r="N111" t="s">
        <v>691</v>
      </c>
      <c r="O111" t="s">
        <v>694</v>
      </c>
      <c r="P111">
        <v>3375986</v>
      </c>
      <c r="Q111">
        <v>12</v>
      </c>
      <c r="R111">
        <v>2.19</v>
      </c>
      <c r="S111" t="s">
        <v>786</v>
      </c>
      <c r="T111" t="s">
        <v>987</v>
      </c>
      <c r="U111">
        <v>2024</v>
      </c>
      <c r="V111" t="s">
        <v>996</v>
      </c>
      <c r="W111" t="s">
        <v>999</v>
      </c>
      <c r="X111" t="s">
        <v>1001</v>
      </c>
      <c r="Y111">
        <v>5</v>
      </c>
      <c r="Z111">
        <v>6</v>
      </c>
    </row>
    <row r="112" spans="1:26" x14ac:dyDescent="0.3">
      <c r="A112" t="s">
        <v>136</v>
      </c>
      <c r="B112" t="s">
        <v>588</v>
      </c>
      <c r="C112" t="s">
        <v>627</v>
      </c>
      <c r="D112">
        <v>56</v>
      </c>
      <c r="E112" t="s">
        <v>629</v>
      </c>
      <c r="F112">
        <v>920</v>
      </c>
      <c r="G112">
        <v>25709</v>
      </c>
      <c r="H112">
        <v>23652280</v>
      </c>
      <c r="I112" t="s">
        <v>660</v>
      </c>
      <c r="J112" t="s">
        <v>672</v>
      </c>
      <c r="K112" t="s">
        <v>675</v>
      </c>
      <c r="L112" t="s">
        <v>680</v>
      </c>
      <c r="M112" t="s">
        <v>683</v>
      </c>
      <c r="N112" t="s">
        <v>690</v>
      </c>
      <c r="O112" t="s">
        <v>693</v>
      </c>
      <c r="P112">
        <v>23652280</v>
      </c>
      <c r="Q112">
        <v>0</v>
      </c>
      <c r="R112">
        <v>9.17</v>
      </c>
      <c r="S112" t="s">
        <v>787</v>
      </c>
      <c r="T112" t="s">
        <v>981</v>
      </c>
      <c r="U112">
        <v>2024</v>
      </c>
      <c r="V112" t="s">
        <v>995</v>
      </c>
      <c r="W112" t="s">
        <v>999</v>
      </c>
      <c r="X112" t="s">
        <v>1001</v>
      </c>
      <c r="Y112">
        <v>2</v>
      </c>
      <c r="Z112">
        <v>46</v>
      </c>
    </row>
    <row r="113" spans="1:26" x14ac:dyDescent="0.3">
      <c r="A113" t="s">
        <v>137</v>
      </c>
      <c r="B113" t="s">
        <v>552</v>
      </c>
      <c r="C113" t="s">
        <v>627</v>
      </c>
      <c r="D113">
        <v>55</v>
      </c>
      <c r="E113" t="s">
        <v>630</v>
      </c>
      <c r="F113">
        <v>722</v>
      </c>
      <c r="G113">
        <v>31195</v>
      </c>
      <c r="H113">
        <v>22522790</v>
      </c>
      <c r="I113" t="s">
        <v>660</v>
      </c>
      <c r="J113" t="s">
        <v>672</v>
      </c>
      <c r="K113" t="s">
        <v>676</v>
      </c>
      <c r="L113" t="s">
        <v>682</v>
      </c>
      <c r="M113" t="s">
        <v>687</v>
      </c>
      <c r="N113" t="s">
        <v>689</v>
      </c>
      <c r="O113" t="s">
        <v>693</v>
      </c>
      <c r="P113">
        <v>22522790</v>
      </c>
      <c r="Q113">
        <v>0</v>
      </c>
      <c r="R113">
        <v>4.53</v>
      </c>
      <c r="S113" t="s">
        <v>788</v>
      </c>
      <c r="T113" t="s">
        <v>986</v>
      </c>
      <c r="U113">
        <v>2024</v>
      </c>
      <c r="V113" t="s">
        <v>995</v>
      </c>
      <c r="W113" t="s">
        <v>998</v>
      </c>
      <c r="X113" t="s">
        <v>1000</v>
      </c>
      <c r="Y113">
        <v>2</v>
      </c>
      <c r="Z113">
        <v>38</v>
      </c>
    </row>
    <row r="114" spans="1:26" x14ac:dyDescent="0.3">
      <c r="A114" t="s">
        <v>138</v>
      </c>
      <c r="B114" t="s">
        <v>589</v>
      </c>
      <c r="C114" t="s">
        <v>627</v>
      </c>
      <c r="D114">
        <v>38</v>
      </c>
      <c r="E114" t="s">
        <v>630</v>
      </c>
      <c r="F114">
        <v>552</v>
      </c>
      <c r="G114">
        <v>47900</v>
      </c>
      <c r="H114">
        <v>26440800</v>
      </c>
      <c r="I114" t="s">
        <v>664</v>
      </c>
      <c r="J114" t="s">
        <v>673</v>
      </c>
      <c r="K114" t="s">
        <v>640</v>
      </c>
      <c r="L114" t="s">
        <v>680</v>
      </c>
      <c r="M114" t="s">
        <v>683</v>
      </c>
      <c r="N114" t="s">
        <v>691</v>
      </c>
      <c r="O114" t="s">
        <v>693</v>
      </c>
      <c r="P114">
        <v>26440800</v>
      </c>
      <c r="Q114">
        <v>0</v>
      </c>
      <c r="R114">
        <v>5.41</v>
      </c>
      <c r="S114" t="s">
        <v>789</v>
      </c>
      <c r="T114" t="s">
        <v>988</v>
      </c>
      <c r="U114">
        <v>2024</v>
      </c>
      <c r="V114" t="s">
        <v>994</v>
      </c>
      <c r="W114" t="s">
        <v>998</v>
      </c>
      <c r="X114" t="s">
        <v>1002</v>
      </c>
      <c r="Y114">
        <v>4</v>
      </c>
      <c r="Z114">
        <v>25</v>
      </c>
    </row>
    <row r="115" spans="1:26" x14ac:dyDescent="0.3">
      <c r="A115" t="s">
        <v>139</v>
      </c>
      <c r="B115" t="s">
        <v>590</v>
      </c>
      <c r="C115" t="s">
        <v>627</v>
      </c>
      <c r="D115">
        <v>21</v>
      </c>
      <c r="E115" t="s">
        <v>630</v>
      </c>
      <c r="F115">
        <v>336</v>
      </c>
      <c r="G115">
        <v>44830</v>
      </c>
      <c r="H115">
        <v>15062880</v>
      </c>
      <c r="I115" t="s">
        <v>662</v>
      </c>
      <c r="J115" t="s">
        <v>673</v>
      </c>
      <c r="K115" t="s">
        <v>675</v>
      </c>
      <c r="L115" t="s">
        <v>681</v>
      </c>
      <c r="M115" t="s">
        <v>686</v>
      </c>
      <c r="N115" t="s">
        <v>691</v>
      </c>
      <c r="O115" t="s">
        <v>694</v>
      </c>
      <c r="P115">
        <v>3819074</v>
      </c>
      <c r="Q115">
        <v>3</v>
      </c>
      <c r="R115">
        <v>5.37</v>
      </c>
      <c r="S115" t="s">
        <v>790</v>
      </c>
      <c r="T115" t="s">
        <v>986</v>
      </c>
      <c r="U115">
        <v>2024</v>
      </c>
      <c r="V115" t="s">
        <v>995</v>
      </c>
      <c r="W115" t="s">
        <v>999</v>
      </c>
      <c r="X115" t="s">
        <v>1000</v>
      </c>
      <c r="Y115">
        <v>4</v>
      </c>
      <c r="Z115">
        <v>23</v>
      </c>
    </row>
    <row r="116" spans="1:26" x14ac:dyDescent="0.3">
      <c r="A116" t="s">
        <v>140</v>
      </c>
      <c r="B116" t="s">
        <v>547</v>
      </c>
      <c r="C116" t="s">
        <v>627</v>
      </c>
      <c r="D116">
        <v>33</v>
      </c>
      <c r="E116" t="s">
        <v>628</v>
      </c>
      <c r="F116">
        <v>942</v>
      </c>
      <c r="G116">
        <v>9395</v>
      </c>
      <c r="H116">
        <v>8850090</v>
      </c>
      <c r="I116" t="s">
        <v>651</v>
      </c>
      <c r="J116" t="s">
        <v>669</v>
      </c>
      <c r="K116" t="s">
        <v>679</v>
      </c>
      <c r="L116" t="s">
        <v>680</v>
      </c>
      <c r="M116" t="s">
        <v>686</v>
      </c>
      <c r="N116" t="s">
        <v>689</v>
      </c>
      <c r="O116" t="s">
        <v>693</v>
      </c>
      <c r="P116">
        <v>8850090</v>
      </c>
      <c r="Q116">
        <v>0</v>
      </c>
      <c r="R116">
        <v>8.09</v>
      </c>
      <c r="S116" t="s">
        <v>767</v>
      </c>
      <c r="T116" t="s">
        <v>989</v>
      </c>
      <c r="U116">
        <v>2024</v>
      </c>
      <c r="V116" t="s">
        <v>995</v>
      </c>
      <c r="W116" t="s">
        <v>997</v>
      </c>
      <c r="X116" t="s">
        <v>1001</v>
      </c>
      <c r="Y116">
        <v>1</v>
      </c>
      <c r="Z116">
        <v>16</v>
      </c>
    </row>
    <row r="117" spans="1:26" x14ac:dyDescent="0.3">
      <c r="A117" t="s">
        <v>141</v>
      </c>
      <c r="B117" t="s">
        <v>567</v>
      </c>
      <c r="C117" t="s">
        <v>626</v>
      </c>
      <c r="D117">
        <v>34</v>
      </c>
      <c r="E117" t="s">
        <v>629</v>
      </c>
      <c r="F117">
        <v>649</v>
      </c>
      <c r="G117">
        <v>17357</v>
      </c>
      <c r="H117">
        <v>11264693</v>
      </c>
      <c r="I117" t="s">
        <v>631</v>
      </c>
      <c r="J117" t="s">
        <v>668</v>
      </c>
      <c r="K117" t="s">
        <v>640</v>
      </c>
      <c r="L117" t="s">
        <v>682</v>
      </c>
      <c r="M117" t="s">
        <v>687</v>
      </c>
      <c r="N117" t="s">
        <v>692</v>
      </c>
      <c r="O117" t="s">
        <v>693</v>
      </c>
      <c r="P117">
        <v>11264693</v>
      </c>
      <c r="Q117">
        <v>0</v>
      </c>
      <c r="R117">
        <v>7.54</v>
      </c>
      <c r="S117" t="s">
        <v>791</v>
      </c>
      <c r="T117" t="s">
        <v>988</v>
      </c>
      <c r="U117">
        <v>2024</v>
      </c>
      <c r="V117" t="s">
        <v>994</v>
      </c>
      <c r="W117" t="s">
        <v>999</v>
      </c>
      <c r="X117" t="s">
        <v>1002</v>
      </c>
      <c r="Y117">
        <v>2</v>
      </c>
      <c r="Z117">
        <v>43</v>
      </c>
    </row>
    <row r="118" spans="1:26" x14ac:dyDescent="0.3">
      <c r="A118" t="s">
        <v>142</v>
      </c>
      <c r="B118" t="s">
        <v>537</v>
      </c>
      <c r="C118" t="s">
        <v>626</v>
      </c>
      <c r="D118">
        <v>23</v>
      </c>
      <c r="E118" t="s">
        <v>630</v>
      </c>
      <c r="F118">
        <v>507</v>
      </c>
      <c r="G118">
        <v>20032</v>
      </c>
      <c r="H118">
        <v>10156224</v>
      </c>
      <c r="I118" t="s">
        <v>640</v>
      </c>
      <c r="J118" t="s">
        <v>672</v>
      </c>
      <c r="K118" t="s">
        <v>640</v>
      </c>
      <c r="L118" t="s">
        <v>682</v>
      </c>
      <c r="M118" t="s">
        <v>684</v>
      </c>
      <c r="N118" t="s">
        <v>692</v>
      </c>
      <c r="O118" t="s">
        <v>693</v>
      </c>
      <c r="P118">
        <v>10156224</v>
      </c>
      <c r="Q118">
        <v>0</v>
      </c>
      <c r="R118">
        <v>5.57</v>
      </c>
      <c r="S118" t="s">
        <v>792</v>
      </c>
      <c r="T118" t="s">
        <v>985</v>
      </c>
      <c r="U118">
        <v>2024</v>
      </c>
      <c r="V118" t="s">
        <v>994</v>
      </c>
      <c r="W118" t="s">
        <v>997</v>
      </c>
      <c r="X118" t="s">
        <v>1002</v>
      </c>
      <c r="Y118">
        <v>4</v>
      </c>
      <c r="Z118">
        <v>10</v>
      </c>
    </row>
    <row r="119" spans="1:26" x14ac:dyDescent="0.3">
      <c r="A119" t="s">
        <v>143</v>
      </c>
      <c r="B119" t="s">
        <v>548</v>
      </c>
      <c r="C119" t="s">
        <v>627</v>
      </c>
      <c r="D119">
        <v>55</v>
      </c>
      <c r="E119" t="s">
        <v>630</v>
      </c>
      <c r="F119">
        <v>972</v>
      </c>
      <c r="G119">
        <v>37253</v>
      </c>
      <c r="H119">
        <v>36209916</v>
      </c>
      <c r="I119" t="s">
        <v>639</v>
      </c>
      <c r="J119" t="s">
        <v>671</v>
      </c>
      <c r="K119" t="s">
        <v>638</v>
      </c>
      <c r="L119" t="s">
        <v>681</v>
      </c>
      <c r="M119" t="s">
        <v>686</v>
      </c>
      <c r="N119" t="s">
        <v>692</v>
      </c>
      <c r="O119" t="s">
        <v>694</v>
      </c>
      <c r="P119">
        <v>16468352</v>
      </c>
      <c r="Q119">
        <v>6</v>
      </c>
      <c r="R119">
        <v>3.01</v>
      </c>
      <c r="S119" t="s">
        <v>793</v>
      </c>
      <c r="T119" t="s">
        <v>984</v>
      </c>
      <c r="U119">
        <v>2024</v>
      </c>
      <c r="V119" t="s">
        <v>996</v>
      </c>
      <c r="W119" t="s">
        <v>998</v>
      </c>
      <c r="X119" t="s">
        <v>1000</v>
      </c>
      <c r="Y119">
        <v>3</v>
      </c>
      <c r="Z119">
        <v>14</v>
      </c>
    </row>
    <row r="120" spans="1:26" x14ac:dyDescent="0.3">
      <c r="A120" t="s">
        <v>144</v>
      </c>
      <c r="B120" t="s">
        <v>591</v>
      </c>
      <c r="C120" t="s">
        <v>626</v>
      </c>
      <c r="D120">
        <v>63</v>
      </c>
      <c r="E120" t="s">
        <v>629</v>
      </c>
      <c r="F120">
        <v>660</v>
      </c>
      <c r="G120">
        <v>26318</v>
      </c>
      <c r="H120">
        <v>17369880</v>
      </c>
      <c r="I120" t="s">
        <v>636</v>
      </c>
      <c r="J120" t="s">
        <v>671</v>
      </c>
      <c r="K120" t="s">
        <v>676</v>
      </c>
      <c r="L120" t="s">
        <v>682</v>
      </c>
      <c r="M120" t="s">
        <v>685</v>
      </c>
      <c r="N120" t="s">
        <v>689</v>
      </c>
      <c r="O120" t="s">
        <v>693</v>
      </c>
      <c r="P120">
        <v>17369880</v>
      </c>
      <c r="Q120">
        <v>0</v>
      </c>
      <c r="R120">
        <v>5.36</v>
      </c>
      <c r="S120" t="s">
        <v>794</v>
      </c>
      <c r="T120" t="s">
        <v>990</v>
      </c>
      <c r="U120">
        <v>2024</v>
      </c>
      <c r="V120" t="s">
        <v>996</v>
      </c>
      <c r="W120" t="s">
        <v>997</v>
      </c>
      <c r="X120" t="s">
        <v>1001</v>
      </c>
      <c r="Y120">
        <v>5</v>
      </c>
      <c r="Z120">
        <v>14</v>
      </c>
    </row>
    <row r="121" spans="1:26" x14ac:dyDescent="0.3">
      <c r="A121" t="s">
        <v>145</v>
      </c>
      <c r="B121" t="s">
        <v>572</v>
      </c>
      <c r="C121" t="s">
        <v>627</v>
      </c>
      <c r="D121">
        <v>45</v>
      </c>
      <c r="E121" t="s">
        <v>628</v>
      </c>
      <c r="F121">
        <v>510</v>
      </c>
      <c r="G121">
        <v>3004</v>
      </c>
      <c r="H121">
        <v>1532040</v>
      </c>
      <c r="I121" t="s">
        <v>650</v>
      </c>
      <c r="J121" t="s">
        <v>670</v>
      </c>
      <c r="K121" t="s">
        <v>651</v>
      </c>
      <c r="L121" t="s">
        <v>682</v>
      </c>
      <c r="M121" t="s">
        <v>687</v>
      </c>
      <c r="N121" t="s">
        <v>690</v>
      </c>
      <c r="O121" t="s">
        <v>693</v>
      </c>
      <c r="P121">
        <v>1532040</v>
      </c>
      <c r="Q121">
        <v>0</v>
      </c>
      <c r="R121">
        <v>9.3699999999999992</v>
      </c>
      <c r="S121" t="s">
        <v>735</v>
      </c>
      <c r="T121" t="s">
        <v>987</v>
      </c>
      <c r="U121">
        <v>2024</v>
      </c>
      <c r="V121" t="s">
        <v>995</v>
      </c>
      <c r="W121" t="s">
        <v>998</v>
      </c>
      <c r="X121" t="s">
        <v>1001</v>
      </c>
      <c r="Y121">
        <v>3</v>
      </c>
      <c r="Z121">
        <v>20</v>
      </c>
    </row>
    <row r="122" spans="1:26" x14ac:dyDescent="0.3">
      <c r="A122" t="s">
        <v>146</v>
      </c>
      <c r="B122" t="s">
        <v>530</v>
      </c>
      <c r="C122" t="s">
        <v>626</v>
      </c>
      <c r="D122">
        <v>40</v>
      </c>
      <c r="E122" t="s">
        <v>630</v>
      </c>
      <c r="F122">
        <v>709</v>
      </c>
      <c r="G122">
        <v>32540</v>
      </c>
      <c r="H122">
        <v>23070860</v>
      </c>
      <c r="I122" t="s">
        <v>657</v>
      </c>
      <c r="J122" t="s">
        <v>671</v>
      </c>
      <c r="K122" t="s">
        <v>675</v>
      </c>
      <c r="L122" t="s">
        <v>680</v>
      </c>
      <c r="M122" t="s">
        <v>686</v>
      </c>
      <c r="N122" t="s">
        <v>688</v>
      </c>
      <c r="O122" t="s">
        <v>693</v>
      </c>
      <c r="P122">
        <v>23070860</v>
      </c>
      <c r="Q122">
        <v>0</v>
      </c>
      <c r="R122">
        <v>8.0299999999999994</v>
      </c>
      <c r="S122" t="s">
        <v>795</v>
      </c>
      <c r="T122" t="s">
        <v>989</v>
      </c>
      <c r="U122">
        <v>2024</v>
      </c>
      <c r="V122" t="s">
        <v>996</v>
      </c>
      <c r="W122" t="s">
        <v>999</v>
      </c>
      <c r="X122" t="s">
        <v>1002</v>
      </c>
      <c r="Y122">
        <v>5</v>
      </c>
      <c r="Z122">
        <v>38</v>
      </c>
    </row>
    <row r="123" spans="1:26" x14ac:dyDescent="0.3">
      <c r="A123" t="s">
        <v>147</v>
      </c>
      <c r="B123" t="s">
        <v>550</v>
      </c>
      <c r="C123" t="s">
        <v>626</v>
      </c>
      <c r="D123">
        <v>55</v>
      </c>
      <c r="E123" t="s">
        <v>629</v>
      </c>
      <c r="F123">
        <v>502</v>
      </c>
      <c r="G123">
        <v>11988</v>
      </c>
      <c r="H123">
        <v>6017976</v>
      </c>
      <c r="I123" t="s">
        <v>655</v>
      </c>
      <c r="J123" t="s">
        <v>672</v>
      </c>
      <c r="K123" t="s">
        <v>640</v>
      </c>
      <c r="L123" t="s">
        <v>682</v>
      </c>
      <c r="M123" t="s">
        <v>687</v>
      </c>
      <c r="N123" t="s">
        <v>690</v>
      </c>
      <c r="O123" t="s">
        <v>693</v>
      </c>
      <c r="P123">
        <v>6017976</v>
      </c>
      <c r="Q123">
        <v>0</v>
      </c>
      <c r="R123">
        <v>3.3</v>
      </c>
      <c r="S123" t="s">
        <v>716</v>
      </c>
      <c r="T123" t="s">
        <v>991</v>
      </c>
      <c r="U123">
        <v>2024</v>
      </c>
      <c r="V123" t="s">
        <v>995</v>
      </c>
      <c r="W123" t="s">
        <v>997</v>
      </c>
      <c r="X123" t="s">
        <v>1001</v>
      </c>
      <c r="Y123">
        <v>4</v>
      </c>
      <c r="Z123">
        <v>30</v>
      </c>
    </row>
    <row r="124" spans="1:26" x14ac:dyDescent="0.3">
      <c r="A124" t="s">
        <v>148</v>
      </c>
      <c r="B124" t="s">
        <v>588</v>
      </c>
      <c r="C124" t="s">
        <v>627</v>
      </c>
      <c r="D124">
        <v>24</v>
      </c>
      <c r="E124" t="s">
        <v>629</v>
      </c>
      <c r="F124">
        <v>343</v>
      </c>
      <c r="G124">
        <v>49206</v>
      </c>
      <c r="H124">
        <v>16877658</v>
      </c>
      <c r="I124" t="s">
        <v>651</v>
      </c>
      <c r="J124" t="s">
        <v>669</v>
      </c>
      <c r="K124" t="s">
        <v>638</v>
      </c>
      <c r="L124" t="s">
        <v>680</v>
      </c>
      <c r="M124" t="s">
        <v>685</v>
      </c>
      <c r="N124" t="s">
        <v>691</v>
      </c>
      <c r="O124" t="s">
        <v>694</v>
      </c>
      <c r="P124">
        <v>8018066</v>
      </c>
      <c r="Q124">
        <v>6</v>
      </c>
      <c r="R124">
        <v>5.42</v>
      </c>
      <c r="S124" t="s">
        <v>796</v>
      </c>
      <c r="T124" t="s">
        <v>983</v>
      </c>
      <c r="U124">
        <v>2024</v>
      </c>
      <c r="V124" t="s">
        <v>996</v>
      </c>
      <c r="W124" t="s">
        <v>997</v>
      </c>
      <c r="X124" t="s">
        <v>1000</v>
      </c>
      <c r="Y124">
        <v>1</v>
      </c>
      <c r="Z124">
        <v>46</v>
      </c>
    </row>
    <row r="125" spans="1:26" x14ac:dyDescent="0.3">
      <c r="A125" t="s">
        <v>149</v>
      </c>
      <c r="B125" t="s">
        <v>555</v>
      </c>
      <c r="C125" t="s">
        <v>627</v>
      </c>
      <c r="D125">
        <v>20</v>
      </c>
      <c r="E125" t="s">
        <v>629</v>
      </c>
      <c r="F125">
        <v>717</v>
      </c>
      <c r="G125">
        <v>31885</v>
      </c>
      <c r="H125">
        <v>22861545</v>
      </c>
      <c r="I125" t="s">
        <v>649</v>
      </c>
      <c r="J125" t="s">
        <v>669</v>
      </c>
      <c r="K125" t="s">
        <v>679</v>
      </c>
      <c r="L125" t="s">
        <v>682</v>
      </c>
      <c r="M125" t="s">
        <v>684</v>
      </c>
      <c r="N125" t="s">
        <v>689</v>
      </c>
      <c r="O125" t="s">
        <v>694</v>
      </c>
      <c r="P125">
        <v>8809709</v>
      </c>
      <c r="Q125">
        <v>3</v>
      </c>
      <c r="R125">
        <v>6.67</v>
      </c>
      <c r="S125" t="s">
        <v>746</v>
      </c>
      <c r="T125" t="s">
        <v>983</v>
      </c>
      <c r="U125">
        <v>2024</v>
      </c>
      <c r="V125" t="s">
        <v>993</v>
      </c>
      <c r="W125" t="s">
        <v>997</v>
      </c>
      <c r="X125" t="s">
        <v>1001</v>
      </c>
      <c r="Y125">
        <v>3</v>
      </c>
      <c r="Z125">
        <v>35</v>
      </c>
    </row>
    <row r="126" spans="1:26" x14ac:dyDescent="0.3">
      <c r="A126" t="s">
        <v>150</v>
      </c>
      <c r="B126" t="s">
        <v>592</v>
      </c>
      <c r="C126" t="s">
        <v>626</v>
      </c>
      <c r="D126">
        <v>42</v>
      </c>
      <c r="E126" t="s">
        <v>630</v>
      </c>
      <c r="F126">
        <v>914</v>
      </c>
      <c r="G126">
        <v>46173</v>
      </c>
      <c r="H126">
        <v>42202122</v>
      </c>
      <c r="I126" t="s">
        <v>643</v>
      </c>
      <c r="J126" t="s">
        <v>671</v>
      </c>
      <c r="K126" t="s">
        <v>675</v>
      </c>
      <c r="L126" t="s">
        <v>681</v>
      </c>
      <c r="M126" t="s">
        <v>685</v>
      </c>
      <c r="N126" t="s">
        <v>690</v>
      </c>
      <c r="O126" t="s">
        <v>694</v>
      </c>
      <c r="P126">
        <v>9795321</v>
      </c>
      <c r="Q126">
        <v>6</v>
      </c>
      <c r="R126">
        <v>0.96</v>
      </c>
      <c r="S126" t="s">
        <v>797</v>
      </c>
      <c r="T126" t="s">
        <v>987</v>
      </c>
      <c r="U126">
        <v>2024</v>
      </c>
      <c r="V126" t="s">
        <v>995</v>
      </c>
      <c r="W126" t="s">
        <v>998</v>
      </c>
      <c r="X126" t="s">
        <v>1001</v>
      </c>
      <c r="Y126">
        <v>2</v>
      </c>
      <c r="Z126">
        <v>45</v>
      </c>
    </row>
    <row r="127" spans="1:26" x14ac:dyDescent="0.3">
      <c r="A127" t="s">
        <v>151</v>
      </c>
      <c r="B127" t="s">
        <v>593</v>
      </c>
      <c r="C127" t="s">
        <v>626</v>
      </c>
      <c r="D127">
        <v>23</v>
      </c>
      <c r="E127" t="s">
        <v>629</v>
      </c>
      <c r="F127">
        <v>869</v>
      </c>
      <c r="G127">
        <v>44591</v>
      </c>
      <c r="H127">
        <v>38749579</v>
      </c>
      <c r="I127" t="s">
        <v>651</v>
      </c>
      <c r="J127" t="s">
        <v>669</v>
      </c>
      <c r="K127" t="s">
        <v>676</v>
      </c>
      <c r="L127" t="s">
        <v>680</v>
      </c>
      <c r="M127" t="s">
        <v>683</v>
      </c>
      <c r="N127" t="s">
        <v>689</v>
      </c>
      <c r="O127" t="s">
        <v>693</v>
      </c>
      <c r="P127">
        <v>38749579</v>
      </c>
      <c r="Q127">
        <v>0</v>
      </c>
      <c r="R127">
        <v>0.94</v>
      </c>
      <c r="S127" t="s">
        <v>716</v>
      </c>
      <c r="T127" t="s">
        <v>991</v>
      </c>
      <c r="U127">
        <v>2024</v>
      </c>
      <c r="V127" t="s">
        <v>995</v>
      </c>
      <c r="W127" t="s">
        <v>998</v>
      </c>
      <c r="X127" t="s">
        <v>1001</v>
      </c>
      <c r="Y127">
        <v>3</v>
      </c>
      <c r="Z127">
        <v>37</v>
      </c>
    </row>
    <row r="128" spans="1:26" x14ac:dyDescent="0.3">
      <c r="A128" t="s">
        <v>152</v>
      </c>
      <c r="B128" t="s">
        <v>568</v>
      </c>
      <c r="C128" t="s">
        <v>627</v>
      </c>
      <c r="D128">
        <v>31</v>
      </c>
      <c r="E128" t="s">
        <v>630</v>
      </c>
      <c r="F128">
        <v>435</v>
      </c>
      <c r="G128">
        <v>15855</v>
      </c>
      <c r="H128">
        <v>6896925</v>
      </c>
      <c r="I128" t="s">
        <v>642</v>
      </c>
      <c r="J128" t="s">
        <v>673</v>
      </c>
      <c r="K128" t="s">
        <v>664</v>
      </c>
      <c r="L128" t="s">
        <v>680</v>
      </c>
      <c r="M128" t="s">
        <v>683</v>
      </c>
      <c r="N128" t="s">
        <v>692</v>
      </c>
      <c r="O128" t="s">
        <v>694</v>
      </c>
      <c r="P128">
        <v>1475725</v>
      </c>
      <c r="Q128">
        <v>12</v>
      </c>
      <c r="R128">
        <v>0.74</v>
      </c>
      <c r="S128" t="s">
        <v>798</v>
      </c>
      <c r="T128" t="s">
        <v>992</v>
      </c>
      <c r="U128">
        <v>2024</v>
      </c>
      <c r="V128" t="s">
        <v>996</v>
      </c>
      <c r="W128" t="s">
        <v>997</v>
      </c>
      <c r="X128" t="s">
        <v>1002</v>
      </c>
      <c r="Y128">
        <v>1</v>
      </c>
      <c r="Z128">
        <v>20</v>
      </c>
    </row>
    <row r="129" spans="1:26" x14ac:dyDescent="0.3">
      <c r="A129" t="s">
        <v>153</v>
      </c>
      <c r="B129" t="s">
        <v>540</v>
      </c>
      <c r="C129" t="s">
        <v>626</v>
      </c>
      <c r="D129">
        <v>23</v>
      </c>
      <c r="E129" t="s">
        <v>628</v>
      </c>
      <c r="F129">
        <v>780</v>
      </c>
      <c r="G129">
        <v>27503</v>
      </c>
      <c r="H129">
        <v>21452340</v>
      </c>
      <c r="I129" t="s">
        <v>656</v>
      </c>
      <c r="J129" t="s">
        <v>669</v>
      </c>
      <c r="K129" t="s">
        <v>679</v>
      </c>
      <c r="L129" t="s">
        <v>681</v>
      </c>
      <c r="M129" t="s">
        <v>683</v>
      </c>
      <c r="N129" t="s">
        <v>689</v>
      </c>
      <c r="O129" t="s">
        <v>694</v>
      </c>
      <c r="P129">
        <v>9153344</v>
      </c>
      <c r="Q129">
        <v>24</v>
      </c>
      <c r="R129">
        <v>1.4</v>
      </c>
      <c r="S129" t="s">
        <v>779</v>
      </c>
      <c r="T129" t="s">
        <v>984</v>
      </c>
      <c r="U129">
        <v>2024</v>
      </c>
      <c r="V129" t="s">
        <v>994</v>
      </c>
      <c r="W129" t="s">
        <v>997</v>
      </c>
      <c r="X129" t="s">
        <v>1001</v>
      </c>
      <c r="Y129">
        <v>5</v>
      </c>
      <c r="Z129">
        <v>26</v>
      </c>
    </row>
    <row r="130" spans="1:26" x14ac:dyDescent="0.3">
      <c r="A130" t="s">
        <v>154</v>
      </c>
      <c r="B130" t="s">
        <v>564</v>
      </c>
      <c r="C130" t="s">
        <v>626</v>
      </c>
      <c r="D130">
        <v>25</v>
      </c>
      <c r="E130" t="s">
        <v>629</v>
      </c>
      <c r="F130">
        <v>661</v>
      </c>
      <c r="G130">
        <v>34152</v>
      </c>
      <c r="H130">
        <v>22574472</v>
      </c>
      <c r="I130" t="s">
        <v>643</v>
      </c>
      <c r="J130" t="s">
        <v>671</v>
      </c>
      <c r="K130" t="s">
        <v>677</v>
      </c>
      <c r="L130" t="s">
        <v>681</v>
      </c>
      <c r="M130" t="s">
        <v>683</v>
      </c>
      <c r="N130" t="s">
        <v>689</v>
      </c>
      <c r="O130" t="s">
        <v>693</v>
      </c>
      <c r="P130">
        <v>22574472</v>
      </c>
      <c r="Q130">
        <v>0</v>
      </c>
      <c r="R130">
        <v>3.56</v>
      </c>
      <c r="S130" t="s">
        <v>799</v>
      </c>
      <c r="T130" t="s">
        <v>991</v>
      </c>
      <c r="U130">
        <v>2024</v>
      </c>
      <c r="V130" t="s">
        <v>993</v>
      </c>
      <c r="W130" t="s">
        <v>998</v>
      </c>
      <c r="X130" t="s">
        <v>1000</v>
      </c>
      <c r="Y130">
        <v>4</v>
      </c>
      <c r="Z130">
        <v>46</v>
      </c>
    </row>
    <row r="131" spans="1:26" x14ac:dyDescent="0.3">
      <c r="A131" t="s">
        <v>155</v>
      </c>
      <c r="B131" t="s">
        <v>594</v>
      </c>
      <c r="C131" t="s">
        <v>626</v>
      </c>
      <c r="D131">
        <v>26</v>
      </c>
      <c r="E131" t="s">
        <v>628</v>
      </c>
      <c r="F131">
        <v>524</v>
      </c>
      <c r="G131">
        <v>25638</v>
      </c>
      <c r="H131">
        <v>13434312</v>
      </c>
      <c r="I131" t="s">
        <v>653</v>
      </c>
      <c r="J131" t="s">
        <v>668</v>
      </c>
      <c r="K131" t="s">
        <v>640</v>
      </c>
      <c r="L131" t="s">
        <v>680</v>
      </c>
      <c r="M131" t="s">
        <v>683</v>
      </c>
      <c r="N131" t="s">
        <v>691</v>
      </c>
      <c r="O131" t="s">
        <v>693</v>
      </c>
      <c r="P131">
        <v>13434312</v>
      </c>
      <c r="Q131">
        <v>0</v>
      </c>
      <c r="R131">
        <v>0.92</v>
      </c>
      <c r="S131" t="s">
        <v>800</v>
      </c>
      <c r="T131" t="s">
        <v>982</v>
      </c>
      <c r="U131">
        <v>2024</v>
      </c>
      <c r="V131" t="s">
        <v>995</v>
      </c>
      <c r="W131" t="s">
        <v>997</v>
      </c>
      <c r="X131" t="s">
        <v>1001</v>
      </c>
      <c r="Y131">
        <v>5</v>
      </c>
      <c r="Z131">
        <v>27</v>
      </c>
    </row>
    <row r="132" spans="1:26" x14ac:dyDescent="0.3">
      <c r="A132" t="s">
        <v>156</v>
      </c>
      <c r="B132" t="s">
        <v>538</v>
      </c>
      <c r="C132" t="s">
        <v>626</v>
      </c>
      <c r="D132">
        <v>46</v>
      </c>
      <c r="E132" t="s">
        <v>630</v>
      </c>
      <c r="F132">
        <v>562</v>
      </c>
      <c r="G132">
        <v>38321</v>
      </c>
      <c r="H132">
        <v>21536402</v>
      </c>
      <c r="I132" t="s">
        <v>664</v>
      </c>
      <c r="J132" t="s">
        <v>673</v>
      </c>
      <c r="K132" t="s">
        <v>676</v>
      </c>
      <c r="L132" t="s">
        <v>680</v>
      </c>
      <c r="M132" t="s">
        <v>686</v>
      </c>
      <c r="N132" t="s">
        <v>688</v>
      </c>
      <c r="O132" t="s">
        <v>693</v>
      </c>
      <c r="P132">
        <v>21536402</v>
      </c>
      <c r="Q132">
        <v>0</v>
      </c>
      <c r="R132">
        <v>5.97</v>
      </c>
      <c r="S132" t="s">
        <v>755</v>
      </c>
      <c r="T132" t="s">
        <v>982</v>
      </c>
      <c r="U132">
        <v>2024</v>
      </c>
      <c r="V132" t="s">
        <v>996</v>
      </c>
      <c r="W132" t="s">
        <v>997</v>
      </c>
      <c r="X132" t="s">
        <v>1002</v>
      </c>
      <c r="Y132">
        <v>2</v>
      </c>
      <c r="Z132">
        <v>9</v>
      </c>
    </row>
    <row r="133" spans="1:26" x14ac:dyDescent="0.3">
      <c r="A133" t="s">
        <v>157</v>
      </c>
      <c r="B133" t="s">
        <v>557</v>
      </c>
      <c r="C133" t="s">
        <v>626</v>
      </c>
      <c r="D133">
        <v>24</v>
      </c>
      <c r="E133" t="s">
        <v>630</v>
      </c>
      <c r="F133">
        <v>704</v>
      </c>
      <c r="G133">
        <v>11563</v>
      </c>
      <c r="H133">
        <v>8140352</v>
      </c>
      <c r="I133" t="s">
        <v>657</v>
      </c>
      <c r="J133" t="s">
        <v>671</v>
      </c>
      <c r="K133" t="s">
        <v>677</v>
      </c>
      <c r="L133" t="s">
        <v>681</v>
      </c>
      <c r="M133" t="s">
        <v>683</v>
      </c>
      <c r="N133" t="s">
        <v>691</v>
      </c>
      <c r="O133" t="s">
        <v>693</v>
      </c>
      <c r="P133">
        <v>8140352</v>
      </c>
      <c r="Q133">
        <v>0</v>
      </c>
      <c r="R133">
        <v>1.67</v>
      </c>
      <c r="S133" t="s">
        <v>801</v>
      </c>
      <c r="T133" t="s">
        <v>992</v>
      </c>
      <c r="U133">
        <v>2024</v>
      </c>
      <c r="V133" t="s">
        <v>996</v>
      </c>
      <c r="W133" t="s">
        <v>998</v>
      </c>
      <c r="X133" t="s">
        <v>1000</v>
      </c>
      <c r="Y133">
        <v>2</v>
      </c>
      <c r="Z133">
        <v>20</v>
      </c>
    </row>
    <row r="134" spans="1:26" x14ac:dyDescent="0.3">
      <c r="A134" t="s">
        <v>158</v>
      </c>
      <c r="B134" t="s">
        <v>595</v>
      </c>
      <c r="C134" t="s">
        <v>626</v>
      </c>
      <c r="D134">
        <v>40</v>
      </c>
      <c r="E134" t="s">
        <v>629</v>
      </c>
      <c r="F134">
        <v>835</v>
      </c>
      <c r="G134">
        <v>26896</v>
      </c>
      <c r="H134">
        <v>22458160</v>
      </c>
      <c r="I134" t="s">
        <v>661</v>
      </c>
      <c r="J134" t="s">
        <v>673</v>
      </c>
      <c r="K134" t="s">
        <v>651</v>
      </c>
      <c r="L134" t="s">
        <v>682</v>
      </c>
      <c r="M134" t="s">
        <v>683</v>
      </c>
      <c r="N134" t="s">
        <v>691</v>
      </c>
      <c r="O134" t="s">
        <v>694</v>
      </c>
      <c r="P134">
        <v>6746900</v>
      </c>
      <c r="Q134">
        <v>24</v>
      </c>
      <c r="R134">
        <v>8.15</v>
      </c>
      <c r="S134" t="s">
        <v>751</v>
      </c>
      <c r="T134" t="s">
        <v>983</v>
      </c>
      <c r="U134">
        <v>2024</v>
      </c>
      <c r="V134" t="s">
        <v>994</v>
      </c>
      <c r="W134" t="s">
        <v>999</v>
      </c>
      <c r="X134" t="s">
        <v>1002</v>
      </c>
      <c r="Y134">
        <v>3</v>
      </c>
      <c r="Z134">
        <v>19</v>
      </c>
    </row>
    <row r="135" spans="1:26" x14ac:dyDescent="0.3">
      <c r="A135" t="s">
        <v>159</v>
      </c>
      <c r="B135" t="s">
        <v>529</v>
      </c>
      <c r="C135" t="s">
        <v>627</v>
      </c>
      <c r="D135">
        <v>57</v>
      </c>
      <c r="E135" t="s">
        <v>629</v>
      </c>
      <c r="F135">
        <v>789</v>
      </c>
      <c r="G135">
        <v>17887</v>
      </c>
      <c r="H135">
        <v>14112843</v>
      </c>
      <c r="I135" t="s">
        <v>659</v>
      </c>
      <c r="J135" t="s">
        <v>668</v>
      </c>
      <c r="K135" t="s">
        <v>678</v>
      </c>
      <c r="L135" t="s">
        <v>680</v>
      </c>
      <c r="M135" t="s">
        <v>686</v>
      </c>
      <c r="N135" t="s">
        <v>689</v>
      </c>
      <c r="O135" t="s">
        <v>694</v>
      </c>
      <c r="P135">
        <v>4009318</v>
      </c>
      <c r="Q135">
        <v>24</v>
      </c>
      <c r="R135">
        <v>7.86</v>
      </c>
      <c r="S135" t="s">
        <v>802</v>
      </c>
      <c r="T135" t="s">
        <v>991</v>
      </c>
      <c r="U135">
        <v>2024</v>
      </c>
      <c r="V135" t="s">
        <v>995</v>
      </c>
      <c r="W135" t="s">
        <v>997</v>
      </c>
      <c r="X135" t="s">
        <v>1000</v>
      </c>
      <c r="Y135">
        <v>4</v>
      </c>
      <c r="Z135">
        <v>19</v>
      </c>
    </row>
    <row r="136" spans="1:26" x14ac:dyDescent="0.3">
      <c r="A136" t="s">
        <v>160</v>
      </c>
      <c r="B136" t="s">
        <v>527</v>
      </c>
      <c r="C136" t="s">
        <v>626</v>
      </c>
      <c r="D136">
        <v>44</v>
      </c>
      <c r="E136" t="s">
        <v>628</v>
      </c>
      <c r="F136">
        <v>889</v>
      </c>
      <c r="G136">
        <v>34722</v>
      </c>
      <c r="H136">
        <v>30867858</v>
      </c>
      <c r="I136" t="s">
        <v>631</v>
      </c>
      <c r="J136" t="s">
        <v>668</v>
      </c>
      <c r="K136" t="s">
        <v>640</v>
      </c>
      <c r="L136" t="s">
        <v>681</v>
      </c>
      <c r="M136" t="s">
        <v>686</v>
      </c>
      <c r="N136" t="s">
        <v>691</v>
      </c>
      <c r="O136" t="s">
        <v>693</v>
      </c>
      <c r="P136">
        <v>30867858</v>
      </c>
      <c r="Q136">
        <v>0</v>
      </c>
      <c r="R136">
        <v>6.33</v>
      </c>
      <c r="S136" t="s">
        <v>727</v>
      </c>
      <c r="T136" t="s">
        <v>992</v>
      </c>
      <c r="U136">
        <v>2024</v>
      </c>
      <c r="V136" t="s">
        <v>995</v>
      </c>
      <c r="W136" t="s">
        <v>997</v>
      </c>
      <c r="X136" t="s">
        <v>1001</v>
      </c>
      <c r="Y136">
        <v>4</v>
      </c>
      <c r="Z136">
        <v>35</v>
      </c>
    </row>
    <row r="137" spans="1:26" x14ac:dyDescent="0.3">
      <c r="A137" t="s">
        <v>161</v>
      </c>
      <c r="B137" t="s">
        <v>581</v>
      </c>
      <c r="C137" t="s">
        <v>627</v>
      </c>
      <c r="D137">
        <v>56</v>
      </c>
      <c r="E137" t="s">
        <v>629</v>
      </c>
      <c r="F137">
        <v>808</v>
      </c>
      <c r="G137">
        <v>43823</v>
      </c>
      <c r="H137">
        <v>35408984</v>
      </c>
      <c r="I137" t="s">
        <v>646</v>
      </c>
      <c r="J137" t="s">
        <v>673</v>
      </c>
      <c r="K137" t="s">
        <v>675</v>
      </c>
      <c r="L137" t="s">
        <v>682</v>
      </c>
      <c r="M137" t="s">
        <v>684</v>
      </c>
      <c r="N137" t="s">
        <v>690</v>
      </c>
      <c r="O137" t="s">
        <v>693</v>
      </c>
      <c r="P137">
        <v>35408984</v>
      </c>
      <c r="Q137">
        <v>0</v>
      </c>
      <c r="R137">
        <v>1.0900000000000001</v>
      </c>
      <c r="S137" t="s">
        <v>803</v>
      </c>
      <c r="T137" t="s">
        <v>992</v>
      </c>
      <c r="U137">
        <v>2024</v>
      </c>
      <c r="V137" t="s">
        <v>995</v>
      </c>
      <c r="W137" t="s">
        <v>999</v>
      </c>
      <c r="X137" t="s">
        <v>1000</v>
      </c>
      <c r="Y137">
        <v>1</v>
      </c>
      <c r="Z137">
        <v>17</v>
      </c>
    </row>
    <row r="138" spans="1:26" x14ac:dyDescent="0.3">
      <c r="A138" t="s">
        <v>162</v>
      </c>
      <c r="B138" t="s">
        <v>596</v>
      </c>
      <c r="C138" t="s">
        <v>627</v>
      </c>
      <c r="D138">
        <v>42</v>
      </c>
      <c r="E138" t="s">
        <v>628</v>
      </c>
      <c r="F138">
        <v>771</v>
      </c>
      <c r="G138">
        <v>40044</v>
      </c>
      <c r="H138">
        <v>30873924</v>
      </c>
      <c r="I138" t="s">
        <v>656</v>
      </c>
      <c r="J138" t="s">
        <v>669</v>
      </c>
      <c r="K138" t="s">
        <v>675</v>
      </c>
      <c r="L138" t="s">
        <v>681</v>
      </c>
      <c r="M138" t="s">
        <v>685</v>
      </c>
      <c r="N138" t="s">
        <v>690</v>
      </c>
      <c r="O138" t="s">
        <v>693</v>
      </c>
      <c r="P138">
        <v>30873924</v>
      </c>
      <c r="Q138">
        <v>0</v>
      </c>
      <c r="R138">
        <v>4.46</v>
      </c>
      <c r="S138" t="s">
        <v>804</v>
      </c>
      <c r="T138" t="s">
        <v>991</v>
      </c>
      <c r="U138">
        <v>2024</v>
      </c>
      <c r="V138" t="s">
        <v>995</v>
      </c>
      <c r="W138" t="s">
        <v>999</v>
      </c>
      <c r="X138" t="s">
        <v>1000</v>
      </c>
      <c r="Y138">
        <v>2</v>
      </c>
      <c r="Z138">
        <v>23</v>
      </c>
    </row>
    <row r="139" spans="1:26" x14ac:dyDescent="0.3">
      <c r="A139" t="s">
        <v>163</v>
      </c>
      <c r="B139" t="s">
        <v>594</v>
      </c>
      <c r="C139" t="s">
        <v>627</v>
      </c>
      <c r="D139">
        <v>39</v>
      </c>
      <c r="E139" t="s">
        <v>628</v>
      </c>
      <c r="F139">
        <v>411</v>
      </c>
      <c r="G139">
        <v>36151</v>
      </c>
      <c r="H139">
        <v>14858061</v>
      </c>
      <c r="I139" t="s">
        <v>657</v>
      </c>
      <c r="J139" t="s">
        <v>671</v>
      </c>
      <c r="K139" t="s">
        <v>678</v>
      </c>
      <c r="L139" t="s">
        <v>682</v>
      </c>
      <c r="M139" t="s">
        <v>685</v>
      </c>
      <c r="N139" t="s">
        <v>689</v>
      </c>
      <c r="O139" t="s">
        <v>694</v>
      </c>
      <c r="P139">
        <v>5094068</v>
      </c>
      <c r="Q139">
        <v>12</v>
      </c>
      <c r="R139">
        <v>4.38</v>
      </c>
      <c r="S139" t="s">
        <v>805</v>
      </c>
      <c r="T139" t="s">
        <v>984</v>
      </c>
      <c r="U139">
        <v>2024</v>
      </c>
      <c r="V139" t="s">
        <v>994</v>
      </c>
      <c r="W139" t="s">
        <v>997</v>
      </c>
      <c r="X139" t="s">
        <v>1000</v>
      </c>
      <c r="Y139">
        <v>2</v>
      </c>
      <c r="Z139">
        <v>48</v>
      </c>
    </row>
    <row r="140" spans="1:26" x14ac:dyDescent="0.3">
      <c r="A140" t="s">
        <v>164</v>
      </c>
      <c r="B140" t="s">
        <v>534</v>
      </c>
      <c r="C140" t="s">
        <v>626</v>
      </c>
      <c r="D140">
        <v>45</v>
      </c>
      <c r="E140" t="s">
        <v>628</v>
      </c>
      <c r="F140">
        <v>765</v>
      </c>
      <c r="G140">
        <v>12494</v>
      </c>
      <c r="H140">
        <v>9557910</v>
      </c>
      <c r="I140" t="s">
        <v>656</v>
      </c>
      <c r="J140" t="s">
        <v>669</v>
      </c>
      <c r="K140" t="s">
        <v>638</v>
      </c>
      <c r="L140" t="s">
        <v>682</v>
      </c>
      <c r="M140" t="s">
        <v>686</v>
      </c>
      <c r="N140" t="s">
        <v>688</v>
      </c>
      <c r="O140" t="s">
        <v>694</v>
      </c>
      <c r="P140">
        <v>4659852</v>
      </c>
      <c r="Q140">
        <v>24</v>
      </c>
      <c r="R140">
        <v>2.3199999999999998</v>
      </c>
      <c r="S140" t="s">
        <v>722</v>
      </c>
      <c r="T140" t="s">
        <v>991</v>
      </c>
      <c r="U140">
        <v>2024</v>
      </c>
      <c r="V140" t="s">
        <v>995</v>
      </c>
      <c r="W140" t="s">
        <v>997</v>
      </c>
      <c r="X140" t="s">
        <v>1002</v>
      </c>
      <c r="Y140">
        <v>4</v>
      </c>
      <c r="Z140">
        <v>1</v>
      </c>
    </row>
    <row r="141" spans="1:26" x14ac:dyDescent="0.3">
      <c r="A141" t="s">
        <v>165</v>
      </c>
      <c r="B141" t="s">
        <v>579</v>
      </c>
      <c r="C141" t="s">
        <v>626</v>
      </c>
      <c r="D141">
        <v>32</v>
      </c>
      <c r="E141" t="s">
        <v>630</v>
      </c>
      <c r="F141">
        <v>485</v>
      </c>
      <c r="G141">
        <v>48121</v>
      </c>
      <c r="H141">
        <v>23338685</v>
      </c>
      <c r="I141" t="s">
        <v>653</v>
      </c>
      <c r="J141" t="s">
        <v>668</v>
      </c>
      <c r="K141" t="s">
        <v>679</v>
      </c>
      <c r="L141" t="s">
        <v>680</v>
      </c>
      <c r="M141" t="s">
        <v>687</v>
      </c>
      <c r="N141" t="s">
        <v>691</v>
      </c>
      <c r="O141" t="s">
        <v>693</v>
      </c>
      <c r="P141">
        <v>23338685</v>
      </c>
      <c r="Q141">
        <v>0</v>
      </c>
      <c r="R141">
        <v>5.77</v>
      </c>
      <c r="S141" t="s">
        <v>701</v>
      </c>
      <c r="T141" t="s">
        <v>985</v>
      </c>
      <c r="U141">
        <v>2024</v>
      </c>
      <c r="V141" t="s">
        <v>994</v>
      </c>
      <c r="W141" t="s">
        <v>997</v>
      </c>
      <c r="X141" t="s">
        <v>1002</v>
      </c>
      <c r="Y141">
        <v>5</v>
      </c>
      <c r="Z141">
        <v>26</v>
      </c>
    </row>
    <row r="142" spans="1:26" x14ac:dyDescent="0.3">
      <c r="A142" t="s">
        <v>166</v>
      </c>
      <c r="B142" t="s">
        <v>566</v>
      </c>
      <c r="C142" t="s">
        <v>627</v>
      </c>
      <c r="D142">
        <v>63</v>
      </c>
      <c r="E142" t="s">
        <v>628</v>
      </c>
      <c r="F142">
        <v>560</v>
      </c>
      <c r="G142">
        <v>32006</v>
      </c>
      <c r="H142">
        <v>17923360</v>
      </c>
      <c r="I142" t="s">
        <v>638</v>
      </c>
      <c r="J142" t="s">
        <v>672</v>
      </c>
      <c r="K142" t="s">
        <v>651</v>
      </c>
      <c r="L142" t="s">
        <v>681</v>
      </c>
      <c r="M142" t="s">
        <v>685</v>
      </c>
      <c r="N142" t="s">
        <v>688</v>
      </c>
      <c r="O142" t="s">
        <v>693</v>
      </c>
      <c r="P142">
        <v>17923360</v>
      </c>
      <c r="Q142">
        <v>0</v>
      </c>
      <c r="R142">
        <v>8.14</v>
      </c>
      <c r="S142" t="s">
        <v>806</v>
      </c>
      <c r="T142" t="s">
        <v>984</v>
      </c>
      <c r="U142">
        <v>2024</v>
      </c>
      <c r="V142" t="s">
        <v>994</v>
      </c>
      <c r="W142" t="s">
        <v>999</v>
      </c>
      <c r="X142" t="s">
        <v>1000</v>
      </c>
      <c r="Y142">
        <v>3</v>
      </c>
      <c r="Z142">
        <v>45</v>
      </c>
    </row>
    <row r="143" spans="1:26" x14ac:dyDescent="0.3">
      <c r="A143" t="s">
        <v>167</v>
      </c>
      <c r="B143" t="s">
        <v>548</v>
      </c>
      <c r="C143" t="s">
        <v>627</v>
      </c>
      <c r="D143">
        <v>55</v>
      </c>
      <c r="E143" t="s">
        <v>628</v>
      </c>
      <c r="F143">
        <v>628</v>
      </c>
      <c r="G143">
        <v>41087</v>
      </c>
      <c r="H143">
        <v>25802636</v>
      </c>
      <c r="I143" t="s">
        <v>656</v>
      </c>
      <c r="J143" t="s">
        <v>669</v>
      </c>
      <c r="K143" t="s">
        <v>640</v>
      </c>
      <c r="L143" t="s">
        <v>681</v>
      </c>
      <c r="M143" t="s">
        <v>687</v>
      </c>
      <c r="N143" t="s">
        <v>688</v>
      </c>
      <c r="O143" t="s">
        <v>693</v>
      </c>
      <c r="P143">
        <v>25802636</v>
      </c>
      <c r="Q143">
        <v>0</v>
      </c>
      <c r="R143">
        <v>5.75</v>
      </c>
      <c r="S143" t="s">
        <v>807</v>
      </c>
      <c r="T143" t="s">
        <v>989</v>
      </c>
      <c r="U143">
        <v>2024</v>
      </c>
      <c r="V143" t="s">
        <v>996</v>
      </c>
      <c r="W143" t="s">
        <v>998</v>
      </c>
      <c r="X143" t="s">
        <v>1002</v>
      </c>
      <c r="Y143">
        <v>5</v>
      </c>
      <c r="Z143">
        <v>4</v>
      </c>
    </row>
    <row r="144" spans="1:26" x14ac:dyDescent="0.3">
      <c r="A144" t="s">
        <v>168</v>
      </c>
      <c r="B144" t="s">
        <v>555</v>
      </c>
      <c r="C144" t="s">
        <v>627</v>
      </c>
      <c r="D144">
        <v>25</v>
      </c>
      <c r="E144" t="s">
        <v>629</v>
      </c>
      <c r="F144">
        <v>339</v>
      </c>
      <c r="G144">
        <v>14787</v>
      </c>
      <c r="H144">
        <v>5012793</v>
      </c>
      <c r="I144" t="s">
        <v>643</v>
      </c>
      <c r="J144" t="s">
        <v>671</v>
      </c>
      <c r="K144" t="s">
        <v>678</v>
      </c>
      <c r="L144" t="s">
        <v>680</v>
      </c>
      <c r="M144" t="s">
        <v>683</v>
      </c>
      <c r="N144" t="s">
        <v>690</v>
      </c>
      <c r="O144" t="s">
        <v>694</v>
      </c>
      <c r="P144">
        <v>1617830</v>
      </c>
      <c r="Q144">
        <v>24</v>
      </c>
      <c r="R144">
        <v>4.92</v>
      </c>
      <c r="S144" t="s">
        <v>808</v>
      </c>
      <c r="T144" t="s">
        <v>984</v>
      </c>
      <c r="U144">
        <v>2024</v>
      </c>
      <c r="V144" t="s">
        <v>993</v>
      </c>
      <c r="W144" t="s">
        <v>998</v>
      </c>
      <c r="X144" t="s">
        <v>1000</v>
      </c>
      <c r="Y144">
        <v>5</v>
      </c>
      <c r="Z144">
        <v>19</v>
      </c>
    </row>
    <row r="145" spans="1:26" x14ac:dyDescent="0.3">
      <c r="A145" t="s">
        <v>169</v>
      </c>
      <c r="B145" t="s">
        <v>597</v>
      </c>
      <c r="C145" t="s">
        <v>627</v>
      </c>
      <c r="D145">
        <v>48</v>
      </c>
      <c r="E145" t="s">
        <v>629</v>
      </c>
      <c r="F145">
        <v>960</v>
      </c>
      <c r="G145">
        <v>34460</v>
      </c>
      <c r="H145">
        <v>33081600</v>
      </c>
      <c r="I145" t="s">
        <v>632</v>
      </c>
      <c r="J145" t="s">
        <v>669</v>
      </c>
      <c r="K145" t="s">
        <v>674</v>
      </c>
      <c r="L145" t="s">
        <v>680</v>
      </c>
      <c r="M145" t="s">
        <v>684</v>
      </c>
      <c r="N145" t="s">
        <v>689</v>
      </c>
      <c r="O145" t="s">
        <v>693</v>
      </c>
      <c r="P145">
        <v>33081600</v>
      </c>
      <c r="Q145">
        <v>0</v>
      </c>
      <c r="R145">
        <v>5.73</v>
      </c>
      <c r="S145" t="s">
        <v>809</v>
      </c>
      <c r="T145" t="s">
        <v>992</v>
      </c>
      <c r="U145">
        <v>2024</v>
      </c>
      <c r="V145" t="s">
        <v>996</v>
      </c>
      <c r="W145" t="s">
        <v>998</v>
      </c>
      <c r="X145" t="s">
        <v>1000</v>
      </c>
      <c r="Y145">
        <v>4</v>
      </c>
      <c r="Z145">
        <v>17</v>
      </c>
    </row>
    <row r="146" spans="1:26" x14ac:dyDescent="0.3">
      <c r="A146" t="s">
        <v>170</v>
      </c>
      <c r="B146" t="s">
        <v>598</v>
      </c>
      <c r="C146" t="s">
        <v>626</v>
      </c>
      <c r="D146">
        <v>30</v>
      </c>
      <c r="E146" t="s">
        <v>629</v>
      </c>
      <c r="F146">
        <v>320</v>
      </c>
      <c r="G146">
        <v>17528</v>
      </c>
      <c r="H146">
        <v>5608960</v>
      </c>
      <c r="I146" t="s">
        <v>643</v>
      </c>
      <c r="J146" t="s">
        <v>671</v>
      </c>
      <c r="K146" t="s">
        <v>678</v>
      </c>
      <c r="L146" t="s">
        <v>680</v>
      </c>
      <c r="M146" t="s">
        <v>683</v>
      </c>
      <c r="N146" t="s">
        <v>688</v>
      </c>
      <c r="O146" t="s">
        <v>693</v>
      </c>
      <c r="P146">
        <v>5608960</v>
      </c>
      <c r="Q146">
        <v>0</v>
      </c>
      <c r="R146">
        <v>8.11</v>
      </c>
      <c r="S146" t="s">
        <v>810</v>
      </c>
      <c r="T146" t="s">
        <v>985</v>
      </c>
      <c r="U146">
        <v>2024</v>
      </c>
      <c r="V146" t="s">
        <v>993</v>
      </c>
      <c r="W146" t="s">
        <v>997</v>
      </c>
      <c r="X146" t="s">
        <v>1002</v>
      </c>
      <c r="Y146">
        <v>5</v>
      </c>
      <c r="Z146">
        <v>18</v>
      </c>
    </row>
    <row r="147" spans="1:26" x14ac:dyDescent="0.3">
      <c r="A147" t="s">
        <v>171</v>
      </c>
      <c r="B147" t="s">
        <v>556</v>
      </c>
      <c r="C147" t="s">
        <v>626</v>
      </c>
      <c r="D147">
        <v>23</v>
      </c>
      <c r="E147" t="s">
        <v>630</v>
      </c>
      <c r="F147">
        <v>531</v>
      </c>
      <c r="G147">
        <v>48140</v>
      </c>
      <c r="H147">
        <v>25562340</v>
      </c>
      <c r="I147" t="s">
        <v>665</v>
      </c>
      <c r="J147" t="s">
        <v>672</v>
      </c>
      <c r="K147" t="s">
        <v>638</v>
      </c>
      <c r="L147" t="s">
        <v>682</v>
      </c>
      <c r="M147" t="s">
        <v>683</v>
      </c>
      <c r="N147" t="s">
        <v>688</v>
      </c>
      <c r="O147" t="s">
        <v>694</v>
      </c>
      <c r="P147">
        <v>9504606</v>
      </c>
      <c r="Q147">
        <v>12</v>
      </c>
      <c r="R147">
        <v>9.52</v>
      </c>
      <c r="S147" t="s">
        <v>777</v>
      </c>
      <c r="T147" t="s">
        <v>986</v>
      </c>
      <c r="U147">
        <v>2024</v>
      </c>
      <c r="V147" t="s">
        <v>996</v>
      </c>
      <c r="W147" t="s">
        <v>999</v>
      </c>
      <c r="X147" t="s">
        <v>1001</v>
      </c>
      <c r="Y147">
        <v>3</v>
      </c>
      <c r="Z147">
        <v>16</v>
      </c>
    </row>
    <row r="148" spans="1:26" x14ac:dyDescent="0.3">
      <c r="A148" t="s">
        <v>172</v>
      </c>
      <c r="B148" t="s">
        <v>593</v>
      </c>
      <c r="C148" t="s">
        <v>626</v>
      </c>
      <c r="D148">
        <v>64</v>
      </c>
      <c r="E148" t="s">
        <v>630</v>
      </c>
      <c r="F148">
        <v>345</v>
      </c>
      <c r="G148">
        <v>39842</v>
      </c>
      <c r="H148">
        <v>13745490</v>
      </c>
      <c r="I148" t="s">
        <v>633</v>
      </c>
      <c r="J148" t="s">
        <v>668</v>
      </c>
      <c r="K148" t="s">
        <v>678</v>
      </c>
      <c r="L148" t="s">
        <v>681</v>
      </c>
      <c r="M148" t="s">
        <v>684</v>
      </c>
      <c r="N148" t="s">
        <v>690</v>
      </c>
      <c r="O148" t="s">
        <v>694</v>
      </c>
      <c r="P148">
        <v>4296176</v>
      </c>
      <c r="Q148">
        <v>24</v>
      </c>
      <c r="R148">
        <v>0.76</v>
      </c>
      <c r="S148" t="s">
        <v>811</v>
      </c>
      <c r="T148" t="s">
        <v>981</v>
      </c>
      <c r="U148">
        <v>2024</v>
      </c>
      <c r="V148" t="s">
        <v>993</v>
      </c>
      <c r="W148" t="s">
        <v>997</v>
      </c>
      <c r="X148" t="s">
        <v>1000</v>
      </c>
      <c r="Y148">
        <v>4</v>
      </c>
      <c r="Z148">
        <v>41</v>
      </c>
    </row>
    <row r="149" spans="1:26" x14ac:dyDescent="0.3">
      <c r="A149" t="s">
        <v>173</v>
      </c>
      <c r="B149" t="s">
        <v>532</v>
      </c>
      <c r="C149" t="s">
        <v>626</v>
      </c>
      <c r="D149">
        <v>41</v>
      </c>
      <c r="E149" t="s">
        <v>629</v>
      </c>
      <c r="F149">
        <v>264</v>
      </c>
      <c r="G149">
        <v>37024</v>
      </c>
      <c r="H149">
        <v>9774336</v>
      </c>
      <c r="I149" t="s">
        <v>659</v>
      </c>
      <c r="J149" t="s">
        <v>668</v>
      </c>
      <c r="K149" t="s">
        <v>651</v>
      </c>
      <c r="L149" t="s">
        <v>682</v>
      </c>
      <c r="M149" t="s">
        <v>683</v>
      </c>
      <c r="N149" t="s">
        <v>692</v>
      </c>
      <c r="O149" t="s">
        <v>694</v>
      </c>
      <c r="P149">
        <v>4793711</v>
      </c>
      <c r="Q149">
        <v>6</v>
      </c>
      <c r="R149">
        <v>8.25</v>
      </c>
      <c r="S149" t="s">
        <v>812</v>
      </c>
      <c r="T149" t="s">
        <v>986</v>
      </c>
      <c r="U149">
        <v>2024</v>
      </c>
      <c r="V149" t="s">
        <v>995</v>
      </c>
      <c r="W149" t="s">
        <v>998</v>
      </c>
      <c r="X149" t="s">
        <v>1001</v>
      </c>
      <c r="Y149">
        <v>1</v>
      </c>
      <c r="Z149">
        <v>3</v>
      </c>
    </row>
    <row r="150" spans="1:26" x14ac:dyDescent="0.3">
      <c r="A150" t="s">
        <v>174</v>
      </c>
      <c r="B150" t="s">
        <v>599</v>
      </c>
      <c r="C150" t="s">
        <v>627</v>
      </c>
      <c r="D150">
        <v>61</v>
      </c>
      <c r="E150" t="s">
        <v>630</v>
      </c>
      <c r="F150">
        <v>216</v>
      </c>
      <c r="G150">
        <v>10142</v>
      </c>
      <c r="H150">
        <v>2190672</v>
      </c>
      <c r="I150" t="s">
        <v>662</v>
      </c>
      <c r="J150" t="s">
        <v>673</v>
      </c>
      <c r="K150" t="s">
        <v>678</v>
      </c>
      <c r="L150" t="s">
        <v>680</v>
      </c>
      <c r="M150" t="s">
        <v>687</v>
      </c>
      <c r="N150" t="s">
        <v>689</v>
      </c>
      <c r="O150" t="s">
        <v>693</v>
      </c>
      <c r="P150">
        <v>2190672</v>
      </c>
      <c r="Q150">
        <v>0</v>
      </c>
      <c r="R150">
        <v>4.41</v>
      </c>
      <c r="S150" t="s">
        <v>715</v>
      </c>
      <c r="T150" t="s">
        <v>988</v>
      </c>
      <c r="U150">
        <v>2024</v>
      </c>
      <c r="V150" t="s">
        <v>994</v>
      </c>
      <c r="W150" t="s">
        <v>998</v>
      </c>
      <c r="X150" t="s">
        <v>1000</v>
      </c>
      <c r="Y150">
        <v>3</v>
      </c>
      <c r="Z150">
        <v>43</v>
      </c>
    </row>
    <row r="151" spans="1:26" x14ac:dyDescent="0.3">
      <c r="A151" t="s">
        <v>175</v>
      </c>
      <c r="B151" t="s">
        <v>574</v>
      </c>
      <c r="C151" t="s">
        <v>626</v>
      </c>
      <c r="D151">
        <v>24</v>
      </c>
      <c r="E151" t="s">
        <v>628</v>
      </c>
      <c r="F151">
        <v>605</v>
      </c>
      <c r="G151">
        <v>42999</v>
      </c>
      <c r="H151">
        <v>26014395</v>
      </c>
      <c r="I151" t="s">
        <v>653</v>
      </c>
      <c r="J151" t="s">
        <v>668</v>
      </c>
      <c r="K151" t="s">
        <v>664</v>
      </c>
      <c r="L151" t="s">
        <v>682</v>
      </c>
      <c r="M151" t="s">
        <v>683</v>
      </c>
      <c r="N151" t="s">
        <v>692</v>
      </c>
      <c r="O151" t="s">
        <v>694</v>
      </c>
      <c r="P151">
        <v>8552734</v>
      </c>
      <c r="Q151">
        <v>6</v>
      </c>
      <c r="R151">
        <v>0.91</v>
      </c>
      <c r="S151" t="s">
        <v>813</v>
      </c>
      <c r="T151" t="s">
        <v>981</v>
      </c>
      <c r="U151">
        <v>2024</v>
      </c>
      <c r="V151" t="s">
        <v>995</v>
      </c>
      <c r="W151" t="s">
        <v>999</v>
      </c>
      <c r="X151" t="s">
        <v>1000</v>
      </c>
      <c r="Y151">
        <v>3</v>
      </c>
      <c r="Z151">
        <v>8</v>
      </c>
    </row>
    <row r="152" spans="1:26" x14ac:dyDescent="0.3">
      <c r="A152" t="s">
        <v>176</v>
      </c>
      <c r="B152" t="s">
        <v>571</v>
      </c>
      <c r="C152" t="s">
        <v>626</v>
      </c>
      <c r="D152">
        <v>39</v>
      </c>
      <c r="E152" t="s">
        <v>628</v>
      </c>
      <c r="F152">
        <v>689</v>
      </c>
      <c r="G152">
        <v>6641</v>
      </c>
      <c r="H152">
        <v>4575649</v>
      </c>
      <c r="I152" t="s">
        <v>634</v>
      </c>
      <c r="J152" t="s">
        <v>670</v>
      </c>
      <c r="K152" t="s">
        <v>638</v>
      </c>
      <c r="L152" t="s">
        <v>681</v>
      </c>
      <c r="M152" t="s">
        <v>683</v>
      </c>
      <c r="N152" t="s">
        <v>688</v>
      </c>
      <c r="O152" t="s">
        <v>693</v>
      </c>
      <c r="P152">
        <v>4575649</v>
      </c>
      <c r="Q152">
        <v>0</v>
      </c>
      <c r="R152">
        <v>3.83</v>
      </c>
      <c r="S152" t="s">
        <v>695</v>
      </c>
      <c r="T152" t="s">
        <v>981</v>
      </c>
      <c r="U152">
        <v>2024</v>
      </c>
      <c r="V152" t="s">
        <v>993</v>
      </c>
      <c r="W152" t="s">
        <v>997</v>
      </c>
      <c r="X152" t="s">
        <v>1001</v>
      </c>
      <c r="Y152">
        <v>1</v>
      </c>
      <c r="Z152">
        <v>40</v>
      </c>
    </row>
    <row r="153" spans="1:26" x14ac:dyDescent="0.3">
      <c r="A153" t="s">
        <v>177</v>
      </c>
      <c r="B153" t="s">
        <v>577</v>
      </c>
      <c r="C153" t="s">
        <v>626</v>
      </c>
      <c r="D153">
        <v>33</v>
      </c>
      <c r="E153" t="s">
        <v>628</v>
      </c>
      <c r="F153">
        <v>559</v>
      </c>
      <c r="G153">
        <v>49345</v>
      </c>
      <c r="H153">
        <v>27583855</v>
      </c>
      <c r="I153" t="s">
        <v>653</v>
      </c>
      <c r="J153" t="s">
        <v>668</v>
      </c>
      <c r="K153" t="s">
        <v>678</v>
      </c>
      <c r="L153" t="s">
        <v>680</v>
      </c>
      <c r="M153" t="s">
        <v>683</v>
      </c>
      <c r="N153" t="s">
        <v>689</v>
      </c>
      <c r="O153" t="s">
        <v>693</v>
      </c>
      <c r="P153">
        <v>27583855</v>
      </c>
      <c r="Q153">
        <v>0</v>
      </c>
      <c r="R153">
        <v>6.28</v>
      </c>
      <c r="S153" t="s">
        <v>814</v>
      </c>
      <c r="T153" t="s">
        <v>987</v>
      </c>
      <c r="U153">
        <v>2024</v>
      </c>
      <c r="V153" t="s">
        <v>995</v>
      </c>
      <c r="W153" t="s">
        <v>998</v>
      </c>
      <c r="X153" t="s">
        <v>1002</v>
      </c>
      <c r="Y153">
        <v>3</v>
      </c>
      <c r="Z153">
        <v>9</v>
      </c>
    </row>
    <row r="154" spans="1:26" x14ac:dyDescent="0.3">
      <c r="A154" t="s">
        <v>178</v>
      </c>
      <c r="B154" t="s">
        <v>583</v>
      </c>
      <c r="C154" t="s">
        <v>627</v>
      </c>
      <c r="D154">
        <v>45</v>
      </c>
      <c r="E154" t="s">
        <v>630</v>
      </c>
      <c r="F154">
        <v>454</v>
      </c>
      <c r="G154">
        <v>38267</v>
      </c>
      <c r="H154">
        <v>17373218</v>
      </c>
      <c r="I154" t="s">
        <v>651</v>
      </c>
      <c r="J154" t="s">
        <v>669</v>
      </c>
      <c r="K154" t="s">
        <v>676</v>
      </c>
      <c r="L154" t="s">
        <v>682</v>
      </c>
      <c r="M154" t="s">
        <v>685</v>
      </c>
      <c r="N154" t="s">
        <v>688</v>
      </c>
      <c r="O154" t="s">
        <v>694</v>
      </c>
      <c r="P154">
        <v>7893828</v>
      </c>
      <c r="Q154">
        <v>3</v>
      </c>
      <c r="R154">
        <v>6.58</v>
      </c>
      <c r="S154" t="s">
        <v>815</v>
      </c>
      <c r="T154" t="s">
        <v>982</v>
      </c>
      <c r="U154">
        <v>2024</v>
      </c>
      <c r="V154" t="s">
        <v>995</v>
      </c>
      <c r="W154" t="s">
        <v>998</v>
      </c>
      <c r="X154" t="s">
        <v>1000</v>
      </c>
      <c r="Y154">
        <v>2</v>
      </c>
      <c r="Z154">
        <v>32</v>
      </c>
    </row>
    <row r="155" spans="1:26" x14ac:dyDescent="0.3">
      <c r="A155" t="s">
        <v>179</v>
      </c>
      <c r="B155" t="s">
        <v>600</v>
      </c>
      <c r="C155" t="s">
        <v>627</v>
      </c>
      <c r="D155">
        <v>50</v>
      </c>
      <c r="E155" t="s">
        <v>628</v>
      </c>
      <c r="F155">
        <v>740</v>
      </c>
      <c r="G155">
        <v>2790</v>
      </c>
      <c r="H155">
        <v>2064600</v>
      </c>
      <c r="I155" t="s">
        <v>644</v>
      </c>
      <c r="J155" t="s">
        <v>668</v>
      </c>
      <c r="K155" t="s">
        <v>676</v>
      </c>
      <c r="L155" t="s">
        <v>680</v>
      </c>
      <c r="M155" t="s">
        <v>686</v>
      </c>
      <c r="N155" t="s">
        <v>689</v>
      </c>
      <c r="O155" t="s">
        <v>694</v>
      </c>
      <c r="P155">
        <v>494668</v>
      </c>
      <c r="Q155">
        <v>12</v>
      </c>
      <c r="R155">
        <v>8.61</v>
      </c>
      <c r="S155" t="s">
        <v>816</v>
      </c>
      <c r="T155" t="s">
        <v>985</v>
      </c>
      <c r="U155">
        <v>2024</v>
      </c>
      <c r="V155" t="s">
        <v>993</v>
      </c>
      <c r="W155" t="s">
        <v>998</v>
      </c>
      <c r="X155" t="s">
        <v>1000</v>
      </c>
      <c r="Y155">
        <v>1</v>
      </c>
      <c r="Z155">
        <v>4</v>
      </c>
    </row>
    <row r="156" spans="1:26" x14ac:dyDescent="0.3">
      <c r="A156" t="s">
        <v>180</v>
      </c>
      <c r="B156" t="s">
        <v>568</v>
      </c>
      <c r="C156" t="s">
        <v>627</v>
      </c>
      <c r="D156">
        <v>37</v>
      </c>
      <c r="E156" t="s">
        <v>628</v>
      </c>
      <c r="F156">
        <v>843</v>
      </c>
      <c r="G156">
        <v>48702</v>
      </c>
      <c r="H156">
        <v>41055786</v>
      </c>
      <c r="I156" t="s">
        <v>647</v>
      </c>
      <c r="J156" t="s">
        <v>670</v>
      </c>
      <c r="K156" t="s">
        <v>677</v>
      </c>
      <c r="L156" t="s">
        <v>681</v>
      </c>
      <c r="M156" t="s">
        <v>685</v>
      </c>
      <c r="N156" t="s">
        <v>692</v>
      </c>
      <c r="O156" t="s">
        <v>694</v>
      </c>
      <c r="P156">
        <v>16855173</v>
      </c>
      <c r="Q156">
        <v>24</v>
      </c>
      <c r="R156">
        <v>0.82</v>
      </c>
      <c r="S156" t="s">
        <v>701</v>
      </c>
      <c r="T156" t="s">
        <v>985</v>
      </c>
      <c r="U156">
        <v>2024</v>
      </c>
      <c r="V156" t="s">
        <v>996</v>
      </c>
      <c r="W156" t="s">
        <v>999</v>
      </c>
      <c r="X156" t="s">
        <v>1001</v>
      </c>
      <c r="Y156">
        <v>3</v>
      </c>
      <c r="Z156">
        <v>26</v>
      </c>
    </row>
    <row r="157" spans="1:26" x14ac:dyDescent="0.3">
      <c r="A157" t="s">
        <v>181</v>
      </c>
      <c r="B157" t="s">
        <v>589</v>
      </c>
      <c r="C157" t="s">
        <v>627</v>
      </c>
      <c r="D157">
        <v>39</v>
      </c>
      <c r="E157" t="s">
        <v>629</v>
      </c>
      <c r="F157">
        <v>517</v>
      </c>
      <c r="G157">
        <v>47788</v>
      </c>
      <c r="H157">
        <v>24706396</v>
      </c>
      <c r="I157" t="s">
        <v>655</v>
      </c>
      <c r="J157" t="s">
        <v>672</v>
      </c>
      <c r="K157" t="s">
        <v>676</v>
      </c>
      <c r="L157" t="s">
        <v>682</v>
      </c>
      <c r="M157" t="s">
        <v>683</v>
      </c>
      <c r="N157" t="s">
        <v>689</v>
      </c>
      <c r="O157" t="s">
        <v>694</v>
      </c>
      <c r="P157">
        <v>5370473</v>
      </c>
      <c r="Q157">
        <v>6</v>
      </c>
      <c r="R157">
        <v>0.86</v>
      </c>
      <c r="S157" t="s">
        <v>817</v>
      </c>
      <c r="T157" t="s">
        <v>989</v>
      </c>
      <c r="U157">
        <v>2024</v>
      </c>
      <c r="V157" t="s">
        <v>993</v>
      </c>
      <c r="W157" t="s">
        <v>997</v>
      </c>
      <c r="X157" t="s">
        <v>1000</v>
      </c>
      <c r="Y157">
        <v>1</v>
      </c>
      <c r="Z157">
        <v>11</v>
      </c>
    </row>
    <row r="158" spans="1:26" x14ac:dyDescent="0.3">
      <c r="A158" t="s">
        <v>182</v>
      </c>
      <c r="B158" t="s">
        <v>601</v>
      </c>
      <c r="C158" t="s">
        <v>626</v>
      </c>
      <c r="D158">
        <v>47</v>
      </c>
      <c r="E158" t="s">
        <v>630</v>
      </c>
      <c r="F158">
        <v>729</v>
      </c>
      <c r="G158">
        <v>49236</v>
      </c>
      <c r="H158">
        <v>35893044</v>
      </c>
      <c r="I158" t="s">
        <v>645</v>
      </c>
      <c r="J158" t="s">
        <v>670</v>
      </c>
      <c r="K158" t="s">
        <v>675</v>
      </c>
      <c r="L158" t="s">
        <v>682</v>
      </c>
      <c r="M158" t="s">
        <v>685</v>
      </c>
      <c r="N158" t="s">
        <v>690</v>
      </c>
      <c r="O158" t="s">
        <v>694</v>
      </c>
      <c r="P158">
        <v>11182867</v>
      </c>
      <c r="Q158">
        <v>6</v>
      </c>
      <c r="R158">
        <v>7.5</v>
      </c>
      <c r="S158" t="s">
        <v>809</v>
      </c>
      <c r="T158" t="s">
        <v>992</v>
      </c>
      <c r="U158">
        <v>2024</v>
      </c>
      <c r="V158" t="s">
        <v>993</v>
      </c>
      <c r="W158" t="s">
        <v>998</v>
      </c>
      <c r="X158" t="s">
        <v>1002</v>
      </c>
      <c r="Y158">
        <v>5</v>
      </c>
      <c r="Z158">
        <v>24</v>
      </c>
    </row>
    <row r="159" spans="1:26" x14ac:dyDescent="0.3">
      <c r="A159" t="s">
        <v>183</v>
      </c>
      <c r="B159" t="s">
        <v>586</v>
      </c>
      <c r="C159" t="s">
        <v>627</v>
      </c>
      <c r="D159">
        <v>52</v>
      </c>
      <c r="E159" t="s">
        <v>628</v>
      </c>
      <c r="F159">
        <v>370</v>
      </c>
      <c r="G159">
        <v>26096</v>
      </c>
      <c r="H159">
        <v>9655520</v>
      </c>
      <c r="I159" t="s">
        <v>661</v>
      </c>
      <c r="J159" t="s">
        <v>673</v>
      </c>
      <c r="K159" t="s">
        <v>674</v>
      </c>
      <c r="L159" t="s">
        <v>680</v>
      </c>
      <c r="M159" t="s">
        <v>685</v>
      </c>
      <c r="N159" t="s">
        <v>688</v>
      </c>
      <c r="O159" t="s">
        <v>693</v>
      </c>
      <c r="P159">
        <v>9655520</v>
      </c>
      <c r="Q159">
        <v>0</v>
      </c>
      <c r="R159">
        <v>2.5499999999999998</v>
      </c>
      <c r="S159" t="s">
        <v>695</v>
      </c>
      <c r="T159" t="s">
        <v>981</v>
      </c>
      <c r="U159">
        <v>2024</v>
      </c>
      <c r="V159" t="s">
        <v>993</v>
      </c>
      <c r="W159" t="s">
        <v>998</v>
      </c>
      <c r="X159" t="s">
        <v>1002</v>
      </c>
      <c r="Y159">
        <v>4</v>
      </c>
      <c r="Z159">
        <v>10</v>
      </c>
    </row>
    <row r="160" spans="1:26" x14ac:dyDescent="0.3">
      <c r="A160" t="s">
        <v>184</v>
      </c>
      <c r="B160" t="s">
        <v>602</v>
      </c>
      <c r="C160" t="s">
        <v>626</v>
      </c>
      <c r="D160">
        <v>27</v>
      </c>
      <c r="E160" t="s">
        <v>629</v>
      </c>
      <c r="F160">
        <v>931</v>
      </c>
      <c r="G160">
        <v>44972</v>
      </c>
      <c r="H160">
        <v>41868932</v>
      </c>
      <c r="I160" t="s">
        <v>649</v>
      </c>
      <c r="J160" t="s">
        <v>669</v>
      </c>
      <c r="K160" t="s">
        <v>675</v>
      </c>
      <c r="L160" t="s">
        <v>682</v>
      </c>
      <c r="M160" t="s">
        <v>685</v>
      </c>
      <c r="N160" t="s">
        <v>688</v>
      </c>
      <c r="O160" t="s">
        <v>694</v>
      </c>
      <c r="P160">
        <v>12415838</v>
      </c>
      <c r="Q160">
        <v>6</v>
      </c>
      <c r="R160">
        <v>4.16</v>
      </c>
      <c r="S160" t="s">
        <v>818</v>
      </c>
      <c r="T160" t="s">
        <v>982</v>
      </c>
      <c r="U160">
        <v>2024</v>
      </c>
      <c r="V160" t="s">
        <v>996</v>
      </c>
      <c r="W160" t="s">
        <v>997</v>
      </c>
      <c r="X160" t="s">
        <v>1000</v>
      </c>
      <c r="Y160">
        <v>4</v>
      </c>
      <c r="Z160">
        <v>5</v>
      </c>
    </row>
    <row r="161" spans="1:26" x14ac:dyDescent="0.3">
      <c r="A161" t="s">
        <v>185</v>
      </c>
      <c r="B161" t="s">
        <v>566</v>
      </c>
      <c r="C161" t="s">
        <v>626</v>
      </c>
      <c r="D161">
        <v>59</v>
      </c>
      <c r="E161" t="s">
        <v>628</v>
      </c>
      <c r="F161">
        <v>992</v>
      </c>
      <c r="G161">
        <v>22361</v>
      </c>
      <c r="H161">
        <v>22182112</v>
      </c>
      <c r="I161" t="s">
        <v>658</v>
      </c>
      <c r="J161" t="s">
        <v>670</v>
      </c>
      <c r="K161" t="s">
        <v>677</v>
      </c>
      <c r="L161" t="s">
        <v>681</v>
      </c>
      <c r="M161" t="s">
        <v>687</v>
      </c>
      <c r="N161" t="s">
        <v>692</v>
      </c>
      <c r="O161" t="s">
        <v>694</v>
      </c>
      <c r="P161">
        <v>8117043</v>
      </c>
      <c r="Q161">
        <v>3</v>
      </c>
      <c r="R161">
        <v>0.08</v>
      </c>
      <c r="S161" t="s">
        <v>819</v>
      </c>
      <c r="T161" t="s">
        <v>990</v>
      </c>
      <c r="U161">
        <v>2024</v>
      </c>
      <c r="V161" t="s">
        <v>995</v>
      </c>
      <c r="W161" t="s">
        <v>999</v>
      </c>
      <c r="X161" t="s">
        <v>1001</v>
      </c>
      <c r="Y161">
        <v>5</v>
      </c>
      <c r="Z161">
        <v>49</v>
      </c>
    </row>
    <row r="162" spans="1:26" x14ac:dyDescent="0.3">
      <c r="A162" t="s">
        <v>186</v>
      </c>
      <c r="B162" t="s">
        <v>603</v>
      </c>
      <c r="C162" t="s">
        <v>627</v>
      </c>
      <c r="D162">
        <v>62</v>
      </c>
      <c r="E162" t="s">
        <v>630</v>
      </c>
      <c r="F162">
        <v>619</v>
      </c>
      <c r="G162">
        <v>3566</v>
      </c>
      <c r="H162">
        <v>2207354</v>
      </c>
      <c r="I162" t="s">
        <v>654</v>
      </c>
      <c r="J162" t="s">
        <v>669</v>
      </c>
      <c r="K162" t="s">
        <v>664</v>
      </c>
      <c r="L162" t="s">
        <v>682</v>
      </c>
      <c r="M162" t="s">
        <v>687</v>
      </c>
      <c r="N162" t="s">
        <v>689</v>
      </c>
      <c r="O162" t="s">
        <v>693</v>
      </c>
      <c r="P162">
        <v>2207354</v>
      </c>
      <c r="Q162">
        <v>0</v>
      </c>
      <c r="R162">
        <v>5.42</v>
      </c>
      <c r="S162" t="s">
        <v>743</v>
      </c>
      <c r="T162" t="s">
        <v>983</v>
      </c>
      <c r="U162">
        <v>2024</v>
      </c>
      <c r="V162" t="s">
        <v>996</v>
      </c>
      <c r="W162" t="s">
        <v>997</v>
      </c>
      <c r="X162" t="s">
        <v>1000</v>
      </c>
      <c r="Y162">
        <v>4</v>
      </c>
      <c r="Z162">
        <v>32</v>
      </c>
    </row>
    <row r="163" spans="1:26" x14ac:dyDescent="0.3">
      <c r="A163" t="s">
        <v>187</v>
      </c>
      <c r="B163" t="s">
        <v>600</v>
      </c>
      <c r="C163" t="s">
        <v>626</v>
      </c>
      <c r="D163">
        <v>25</v>
      </c>
      <c r="E163" t="s">
        <v>629</v>
      </c>
      <c r="F163">
        <v>295</v>
      </c>
      <c r="G163">
        <v>4877</v>
      </c>
      <c r="H163">
        <v>1438715</v>
      </c>
      <c r="I163" t="s">
        <v>641</v>
      </c>
      <c r="J163" t="s">
        <v>673</v>
      </c>
      <c r="K163" t="s">
        <v>677</v>
      </c>
      <c r="L163" t="s">
        <v>680</v>
      </c>
      <c r="M163" t="s">
        <v>686</v>
      </c>
      <c r="N163" t="s">
        <v>688</v>
      </c>
      <c r="O163" t="s">
        <v>693</v>
      </c>
      <c r="P163">
        <v>1438715</v>
      </c>
      <c r="Q163">
        <v>0</v>
      </c>
      <c r="R163">
        <v>8.9700000000000006</v>
      </c>
      <c r="S163" t="s">
        <v>820</v>
      </c>
      <c r="T163" t="s">
        <v>986</v>
      </c>
      <c r="U163">
        <v>2024</v>
      </c>
      <c r="V163" t="s">
        <v>995</v>
      </c>
      <c r="W163" t="s">
        <v>999</v>
      </c>
      <c r="X163" t="s">
        <v>1001</v>
      </c>
      <c r="Y163">
        <v>5</v>
      </c>
      <c r="Z163">
        <v>4</v>
      </c>
    </row>
    <row r="164" spans="1:26" x14ac:dyDescent="0.3">
      <c r="A164" t="s">
        <v>188</v>
      </c>
      <c r="B164" t="s">
        <v>604</v>
      </c>
      <c r="C164" t="s">
        <v>626</v>
      </c>
      <c r="D164">
        <v>34</v>
      </c>
      <c r="E164" t="s">
        <v>628</v>
      </c>
      <c r="F164">
        <v>442</v>
      </c>
      <c r="G164">
        <v>21115</v>
      </c>
      <c r="H164">
        <v>9332830</v>
      </c>
      <c r="I164" t="s">
        <v>634</v>
      </c>
      <c r="J164" t="s">
        <v>670</v>
      </c>
      <c r="K164" t="s">
        <v>638</v>
      </c>
      <c r="L164" t="s">
        <v>680</v>
      </c>
      <c r="M164" t="s">
        <v>683</v>
      </c>
      <c r="N164" t="s">
        <v>692</v>
      </c>
      <c r="O164" t="s">
        <v>694</v>
      </c>
      <c r="P164">
        <v>4459344</v>
      </c>
      <c r="Q164">
        <v>12</v>
      </c>
      <c r="R164">
        <v>3.93</v>
      </c>
      <c r="S164" t="s">
        <v>821</v>
      </c>
      <c r="T164" t="s">
        <v>982</v>
      </c>
      <c r="U164">
        <v>2024</v>
      </c>
      <c r="V164" t="s">
        <v>993</v>
      </c>
      <c r="W164" t="s">
        <v>999</v>
      </c>
      <c r="X164" t="s">
        <v>1000</v>
      </c>
      <c r="Y164">
        <v>2</v>
      </c>
      <c r="Z164">
        <v>29</v>
      </c>
    </row>
    <row r="165" spans="1:26" x14ac:dyDescent="0.3">
      <c r="A165" t="s">
        <v>189</v>
      </c>
      <c r="B165" t="s">
        <v>556</v>
      </c>
      <c r="C165" t="s">
        <v>626</v>
      </c>
      <c r="D165">
        <v>65</v>
      </c>
      <c r="E165" t="s">
        <v>629</v>
      </c>
      <c r="F165">
        <v>323</v>
      </c>
      <c r="G165">
        <v>37122</v>
      </c>
      <c r="H165">
        <v>11990406</v>
      </c>
      <c r="I165" t="s">
        <v>645</v>
      </c>
      <c r="J165" t="s">
        <v>670</v>
      </c>
      <c r="K165" t="s">
        <v>640</v>
      </c>
      <c r="L165" t="s">
        <v>682</v>
      </c>
      <c r="M165" t="s">
        <v>685</v>
      </c>
      <c r="N165" t="s">
        <v>688</v>
      </c>
      <c r="O165" t="s">
        <v>694</v>
      </c>
      <c r="P165">
        <v>4023682</v>
      </c>
      <c r="Q165">
        <v>6</v>
      </c>
      <c r="R165">
        <v>4.63</v>
      </c>
      <c r="S165" t="s">
        <v>822</v>
      </c>
      <c r="T165" t="s">
        <v>987</v>
      </c>
      <c r="U165">
        <v>2024</v>
      </c>
      <c r="V165" t="s">
        <v>994</v>
      </c>
      <c r="W165" t="s">
        <v>999</v>
      </c>
      <c r="X165" t="s">
        <v>1000</v>
      </c>
      <c r="Y165">
        <v>2</v>
      </c>
      <c r="Z165">
        <v>23</v>
      </c>
    </row>
    <row r="166" spans="1:26" x14ac:dyDescent="0.3">
      <c r="A166" t="s">
        <v>190</v>
      </c>
      <c r="B166" t="s">
        <v>533</v>
      </c>
      <c r="C166" t="s">
        <v>627</v>
      </c>
      <c r="D166">
        <v>26</v>
      </c>
      <c r="E166" t="s">
        <v>630</v>
      </c>
      <c r="F166">
        <v>893</v>
      </c>
      <c r="G166">
        <v>21584</v>
      </c>
      <c r="H166">
        <v>19274512</v>
      </c>
      <c r="I166" t="s">
        <v>647</v>
      </c>
      <c r="J166" t="s">
        <v>670</v>
      </c>
      <c r="K166" t="s">
        <v>664</v>
      </c>
      <c r="L166" t="s">
        <v>680</v>
      </c>
      <c r="M166" t="s">
        <v>683</v>
      </c>
      <c r="N166" t="s">
        <v>689</v>
      </c>
      <c r="O166" t="s">
        <v>694</v>
      </c>
      <c r="P166">
        <v>4034630</v>
      </c>
      <c r="Q166">
        <v>6</v>
      </c>
      <c r="R166">
        <v>4.04</v>
      </c>
      <c r="S166" t="s">
        <v>823</v>
      </c>
      <c r="T166" t="s">
        <v>989</v>
      </c>
      <c r="U166">
        <v>2024</v>
      </c>
      <c r="V166" t="s">
        <v>993</v>
      </c>
      <c r="W166" t="s">
        <v>999</v>
      </c>
      <c r="X166" t="s">
        <v>1000</v>
      </c>
      <c r="Y166">
        <v>2</v>
      </c>
      <c r="Z166">
        <v>13</v>
      </c>
    </row>
    <row r="167" spans="1:26" x14ac:dyDescent="0.3">
      <c r="A167" t="s">
        <v>191</v>
      </c>
      <c r="B167" t="s">
        <v>587</v>
      </c>
      <c r="C167" t="s">
        <v>627</v>
      </c>
      <c r="D167">
        <v>41</v>
      </c>
      <c r="E167" t="s">
        <v>628</v>
      </c>
      <c r="F167">
        <v>796</v>
      </c>
      <c r="G167">
        <v>40411</v>
      </c>
      <c r="H167">
        <v>32167156</v>
      </c>
      <c r="I167" t="s">
        <v>645</v>
      </c>
      <c r="J167" t="s">
        <v>670</v>
      </c>
      <c r="K167" t="s">
        <v>676</v>
      </c>
      <c r="L167" t="s">
        <v>680</v>
      </c>
      <c r="M167" t="s">
        <v>684</v>
      </c>
      <c r="N167" t="s">
        <v>689</v>
      </c>
      <c r="O167" t="s">
        <v>694</v>
      </c>
      <c r="P167">
        <v>6643806</v>
      </c>
      <c r="Q167">
        <v>3</v>
      </c>
      <c r="R167">
        <v>0.64</v>
      </c>
      <c r="S167" t="s">
        <v>824</v>
      </c>
      <c r="T167" t="s">
        <v>983</v>
      </c>
      <c r="U167">
        <v>2024</v>
      </c>
      <c r="V167" t="s">
        <v>996</v>
      </c>
      <c r="W167" t="s">
        <v>997</v>
      </c>
      <c r="X167" t="s">
        <v>1002</v>
      </c>
      <c r="Y167">
        <v>4</v>
      </c>
      <c r="Z167">
        <v>32</v>
      </c>
    </row>
    <row r="168" spans="1:26" x14ac:dyDescent="0.3">
      <c r="A168" t="s">
        <v>192</v>
      </c>
      <c r="B168" t="s">
        <v>551</v>
      </c>
      <c r="C168" t="s">
        <v>627</v>
      </c>
      <c r="D168">
        <v>22</v>
      </c>
      <c r="E168" t="s">
        <v>629</v>
      </c>
      <c r="F168">
        <v>376</v>
      </c>
      <c r="G168">
        <v>25196</v>
      </c>
      <c r="H168">
        <v>9473696</v>
      </c>
      <c r="I168" t="s">
        <v>661</v>
      </c>
      <c r="J168" t="s">
        <v>673</v>
      </c>
      <c r="K168" t="s">
        <v>640</v>
      </c>
      <c r="L168" t="s">
        <v>682</v>
      </c>
      <c r="M168" t="s">
        <v>686</v>
      </c>
      <c r="N168" t="s">
        <v>688</v>
      </c>
      <c r="O168" t="s">
        <v>693</v>
      </c>
      <c r="P168">
        <v>9473696</v>
      </c>
      <c r="Q168">
        <v>0</v>
      </c>
      <c r="R168">
        <v>9.08</v>
      </c>
      <c r="S168" t="s">
        <v>825</v>
      </c>
      <c r="T168" t="s">
        <v>992</v>
      </c>
      <c r="U168">
        <v>2024</v>
      </c>
      <c r="V168" t="s">
        <v>994</v>
      </c>
      <c r="W168" t="s">
        <v>998</v>
      </c>
      <c r="X168" t="s">
        <v>1002</v>
      </c>
      <c r="Y168">
        <v>5</v>
      </c>
      <c r="Z168">
        <v>31</v>
      </c>
    </row>
    <row r="169" spans="1:26" x14ac:dyDescent="0.3">
      <c r="A169" t="s">
        <v>193</v>
      </c>
      <c r="B169" t="s">
        <v>563</v>
      </c>
      <c r="C169" t="s">
        <v>626</v>
      </c>
      <c r="D169">
        <v>65</v>
      </c>
      <c r="E169" t="s">
        <v>630</v>
      </c>
      <c r="F169">
        <v>592</v>
      </c>
      <c r="G169">
        <v>10993</v>
      </c>
      <c r="H169">
        <v>6507856</v>
      </c>
      <c r="I169" t="s">
        <v>664</v>
      </c>
      <c r="J169" t="s">
        <v>673</v>
      </c>
      <c r="K169" t="s">
        <v>677</v>
      </c>
      <c r="L169" t="s">
        <v>681</v>
      </c>
      <c r="M169" t="s">
        <v>686</v>
      </c>
      <c r="N169" t="s">
        <v>691</v>
      </c>
      <c r="O169" t="s">
        <v>694</v>
      </c>
      <c r="P169">
        <v>2556258</v>
      </c>
      <c r="Q169">
        <v>6</v>
      </c>
      <c r="R169">
        <v>7.97</v>
      </c>
      <c r="S169" t="s">
        <v>803</v>
      </c>
      <c r="T169" t="s">
        <v>992</v>
      </c>
      <c r="U169">
        <v>2024</v>
      </c>
      <c r="V169" t="s">
        <v>994</v>
      </c>
      <c r="W169" t="s">
        <v>997</v>
      </c>
      <c r="X169" t="s">
        <v>1001</v>
      </c>
      <c r="Y169">
        <v>3</v>
      </c>
      <c r="Z169">
        <v>25</v>
      </c>
    </row>
    <row r="170" spans="1:26" x14ac:dyDescent="0.3">
      <c r="A170" t="s">
        <v>194</v>
      </c>
      <c r="B170" t="s">
        <v>559</v>
      </c>
      <c r="C170" t="s">
        <v>626</v>
      </c>
      <c r="D170">
        <v>57</v>
      </c>
      <c r="E170" t="s">
        <v>628</v>
      </c>
      <c r="F170">
        <v>526</v>
      </c>
      <c r="G170">
        <v>41132</v>
      </c>
      <c r="H170">
        <v>21635432</v>
      </c>
      <c r="I170" t="s">
        <v>648</v>
      </c>
      <c r="J170" t="s">
        <v>671</v>
      </c>
      <c r="K170" t="s">
        <v>664</v>
      </c>
      <c r="L170" t="s">
        <v>680</v>
      </c>
      <c r="M170" t="s">
        <v>685</v>
      </c>
      <c r="N170" t="s">
        <v>688</v>
      </c>
      <c r="O170" t="s">
        <v>693</v>
      </c>
      <c r="P170">
        <v>21635432</v>
      </c>
      <c r="Q170">
        <v>0</v>
      </c>
      <c r="R170">
        <v>0.28999999999999998</v>
      </c>
      <c r="S170" t="s">
        <v>798</v>
      </c>
      <c r="T170" t="s">
        <v>992</v>
      </c>
      <c r="U170">
        <v>2024</v>
      </c>
      <c r="V170" t="s">
        <v>996</v>
      </c>
      <c r="W170" t="s">
        <v>998</v>
      </c>
      <c r="X170" t="s">
        <v>1001</v>
      </c>
      <c r="Y170">
        <v>1</v>
      </c>
      <c r="Z170">
        <v>49</v>
      </c>
    </row>
    <row r="171" spans="1:26" x14ac:dyDescent="0.3">
      <c r="A171" t="s">
        <v>195</v>
      </c>
      <c r="B171" t="s">
        <v>598</v>
      </c>
      <c r="C171" t="s">
        <v>627</v>
      </c>
      <c r="D171">
        <v>65</v>
      </c>
      <c r="E171" t="s">
        <v>629</v>
      </c>
      <c r="F171">
        <v>563</v>
      </c>
      <c r="G171">
        <v>13384</v>
      </c>
      <c r="H171">
        <v>7535192</v>
      </c>
      <c r="I171" t="s">
        <v>656</v>
      </c>
      <c r="J171" t="s">
        <v>669</v>
      </c>
      <c r="K171" t="s">
        <v>640</v>
      </c>
      <c r="L171" t="s">
        <v>681</v>
      </c>
      <c r="M171" t="s">
        <v>686</v>
      </c>
      <c r="N171" t="s">
        <v>692</v>
      </c>
      <c r="O171" t="s">
        <v>693</v>
      </c>
      <c r="P171">
        <v>7535192</v>
      </c>
      <c r="Q171">
        <v>0</v>
      </c>
      <c r="R171">
        <v>2.37</v>
      </c>
      <c r="S171" t="s">
        <v>826</v>
      </c>
      <c r="T171" t="s">
        <v>982</v>
      </c>
      <c r="U171">
        <v>2024</v>
      </c>
      <c r="V171" t="s">
        <v>996</v>
      </c>
      <c r="W171" t="s">
        <v>997</v>
      </c>
      <c r="X171" t="s">
        <v>1000</v>
      </c>
      <c r="Y171">
        <v>4</v>
      </c>
      <c r="Z171">
        <v>35</v>
      </c>
    </row>
    <row r="172" spans="1:26" x14ac:dyDescent="0.3">
      <c r="A172" t="s">
        <v>196</v>
      </c>
      <c r="B172" t="s">
        <v>588</v>
      </c>
      <c r="C172" t="s">
        <v>626</v>
      </c>
      <c r="D172">
        <v>20</v>
      </c>
      <c r="E172" t="s">
        <v>630</v>
      </c>
      <c r="F172">
        <v>238</v>
      </c>
      <c r="G172">
        <v>7915</v>
      </c>
      <c r="H172">
        <v>1883770</v>
      </c>
      <c r="I172" t="s">
        <v>648</v>
      </c>
      <c r="J172" t="s">
        <v>671</v>
      </c>
      <c r="K172" t="s">
        <v>678</v>
      </c>
      <c r="L172" t="s">
        <v>682</v>
      </c>
      <c r="M172" t="s">
        <v>683</v>
      </c>
      <c r="N172" t="s">
        <v>688</v>
      </c>
      <c r="O172" t="s">
        <v>693</v>
      </c>
      <c r="P172">
        <v>1883770</v>
      </c>
      <c r="Q172">
        <v>0</v>
      </c>
      <c r="R172">
        <v>2.33</v>
      </c>
      <c r="S172" t="s">
        <v>827</v>
      </c>
      <c r="T172" t="s">
        <v>990</v>
      </c>
      <c r="U172">
        <v>2024</v>
      </c>
      <c r="V172" t="s">
        <v>994</v>
      </c>
      <c r="W172" t="s">
        <v>997</v>
      </c>
      <c r="X172" t="s">
        <v>1000</v>
      </c>
      <c r="Y172">
        <v>3</v>
      </c>
      <c r="Z172">
        <v>4</v>
      </c>
    </row>
    <row r="173" spans="1:26" x14ac:dyDescent="0.3">
      <c r="A173" t="s">
        <v>197</v>
      </c>
      <c r="B173" t="s">
        <v>571</v>
      </c>
      <c r="C173" t="s">
        <v>626</v>
      </c>
      <c r="D173">
        <v>57</v>
      </c>
      <c r="E173" t="s">
        <v>628</v>
      </c>
      <c r="F173">
        <v>921</v>
      </c>
      <c r="G173">
        <v>11283</v>
      </c>
      <c r="H173">
        <v>10391643</v>
      </c>
      <c r="I173" t="s">
        <v>641</v>
      </c>
      <c r="J173" t="s">
        <v>673</v>
      </c>
      <c r="K173" t="s">
        <v>674</v>
      </c>
      <c r="L173" t="s">
        <v>681</v>
      </c>
      <c r="M173" t="s">
        <v>687</v>
      </c>
      <c r="N173" t="s">
        <v>690</v>
      </c>
      <c r="O173" t="s">
        <v>693</v>
      </c>
      <c r="P173">
        <v>10391643</v>
      </c>
      <c r="Q173">
        <v>0</v>
      </c>
      <c r="R173">
        <v>8.4600000000000009</v>
      </c>
      <c r="S173" t="s">
        <v>802</v>
      </c>
      <c r="T173" t="s">
        <v>991</v>
      </c>
      <c r="U173">
        <v>2024</v>
      </c>
      <c r="V173" t="s">
        <v>996</v>
      </c>
      <c r="W173" t="s">
        <v>999</v>
      </c>
      <c r="X173" t="s">
        <v>1001</v>
      </c>
      <c r="Y173">
        <v>4</v>
      </c>
      <c r="Z173">
        <v>41</v>
      </c>
    </row>
    <row r="174" spans="1:26" x14ac:dyDescent="0.3">
      <c r="A174" t="s">
        <v>198</v>
      </c>
      <c r="B174" t="s">
        <v>575</v>
      </c>
      <c r="C174" t="s">
        <v>627</v>
      </c>
      <c r="D174">
        <v>31</v>
      </c>
      <c r="E174" t="s">
        <v>629</v>
      </c>
      <c r="F174">
        <v>378</v>
      </c>
      <c r="G174">
        <v>48345</v>
      </c>
      <c r="H174">
        <v>18274410</v>
      </c>
      <c r="I174" t="s">
        <v>634</v>
      </c>
      <c r="J174" t="s">
        <v>670</v>
      </c>
      <c r="K174" t="s">
        <v>651</v>
      </c>
      <c r="L174" t="s">
        <v>680</v>
      </c>
      <c r="M174" t="s">
        <v>686</v>
      </c>
      <c r="N174" t="s">
        <v>691</v>
      </c>
      <c r="O174" t="s">
        <v>694</v>
      </c>
      <c r="P174">
        <v>7303542</v>
      </c>
      <c r="Q174">
        <v>6</v>
      </c>
      <c r="R174">
        <v>8.14</v>
      </c>
      <c r="S174" t="s">
        <v>828</v>
      </c>
      <c r="T174" t="s">
        <v>991</v>
      </c>
      <c r="U174">
        <v>2024</v>
      </c>
      <c r="V174" t="s">
        <v>993</v>
      </c>
      <c r="W174" t="s">
        <v>999</v>
      </c>
      <c r="X174" t="s">
        <v>1001</v>
      </c>
      <c r="Y174">
        <v>3</v>
      </c>
      <c r="Z174">
        <v>40</v>
      </c>
    </row>
    <row r="175" spans="1:26" x14ac:dyDescent="0.3">
      <c r="A175" t="s">
        <v>199</v>
      </c>
      <c r="B175" t="s">
        <v>571</v>
      </c>
      <c r="C175" t="s">
        <v>626</v>
      </c>
      <c r="D175">
        <v>20</v>
      </c>
      <c r="E175" t="s">
        <v>630</v>
      </c>
      <c r="F175">
        <v>708</v>
      </c>
      <c r="G175">
        <v>11217</v>
      </c>
      <c r="H175">
        <v>7941636</v>
      </c>
      <c r="I175" t="s">
        <v>656</v>
      </c>
      <c r="J175" t="s">
        <v>669</v>
      </c>
      <c r="K175" t="s">
        <v>676</v>
      </c>
      <c r="L175" t="s">
        <v>680</v>
      </c>
      <c r="M175" t="s">
        <v>683</v>
      </c>
      <c r="N175" t="s">
        <v>689</v>
      </c>
      <c r="O175" t="s">
        <v>694</v>
      </c>
      <c r="P175">
        <v>2155350</v>
      </c>
      <c r="Q175">
        <v>3</v>
      </c>
      <c r="R175">
        <v>9.82</v>
      </c>
      <c r="S175" t="s">
        <v>829</v>
      </c>
      <c r="T175" t="s">
        <v>987</v>
      </c>
      <c r="U175">
        <v>2024</v>
      </c>
      <c r="V175" t="s">
        <v>994</v>
      </c>
      <c r="W175" t="s">
        <v>998</v>
      </c>
      <c r="X175" t="s">
        <v>1000</v>
      </c>
      <c r="Y175">
        <v>1</v>
      </c>
      <c r="Z175">
        <v>4</v>
      </c>
    </row>
    <row r="176" spans="1:26" x14ac:dyDescent="0.3">
      <c r="A176" t="s">
        <v>200</v>
      </c>
      <c r="B176" t="s">
        <v>550</v>
      </c>
      <c r="C176" t="s">
        <v>627</v>
      </c>
      <c r="D176">
        <v>48</v>
      </c>
      <c r="E176" t="s">
        <v>628</v>
      </c>
      <c r="F176">
        <v>370</v>
      </c>
      <c r="G176">
        <v>29133</v>
      </c>
      <c r="H176">
        <v>10779210</v>
      </c>
      <c r="I176" t="s">
        <v>666</v>
      </c>
      <c r="J176" t="s">
        <v>670</v>
      </c>
      <c r="K176" t="s">
        <v>640</v>
      </c>
      <c r="L176" t="s">
        <v>680</v>
      </c>
      <c r="M176" t="s">
        <v>687</v>
      </c>
      <c r="N176" t="s">
        <v>689</v>
      </c>
      <c r="O176" t="s">
        <v>694</v>
      </c>
      <c r="P176">
        <v>3291640</v>
      </c>
      <c r="Q176">
        <v>24</v>
      </c>
      <c r="R176">
        <v>3.75</v>
      </c>
      <c r="S176" t="s">
        <v>830</v>
      </c>
      <c r="T176" t="s">
        <v>986</v>
      </c>
      <c r="U176">
        <v>2024</v>
      </c>
      <c r="V176" t="s">
        <v>994</v>
      </c>
      <c r="W176" t="s">
        <v>998</v>
      </c>
      <c r="X176" t="s">
        <v>1000</v>
      </c>
      <c r="Y176">
        <v>1</v>
      </c>
      <c r="Z176">
        <v>22</v>
      </c>
    </row>
    <row r="177" spans="1:26" x14ac:dyDescent="0.3">
      <c r="A177" t="s">
        <v>201</v>
      </c>
      <c r="B177" t="s">
        <v>605</v>
      </c>
      <c r="C177" t="s">
        <v>626</v>
      </c>
      <c r="D177">
        <v>61</v>
      </c>
      <c r="E177" t="s">
        <v>628</v>
      </c>
      <c r="F177">
        <v>949</v>
      </c>
      <c r="G177">
        <v>6915</v>
      </c>
      <c r="H177">
        <v>6562335</v>
      </c>
      <c r="I177" t="s">
        <v>632</v>
      </c>
      <c r="J177" t="s">
        <v>669</v>
      </c>
      <c r="K177" t="s">
        <v>638</v>
      </c>
      <c r="L177" t="s">
        <v>682</v>
      </c>
      <c r="M177" t="s">
        <v>684</v>
      </c>
      <c r="N177" t="s">
        <v>688</v>
      </c>
      <c r="O177" t="s">
        <v>693</v>
      </c>
      <c r="P177">
        <v>6562335</v>
      </c>
      <c r="Q177">
        <v>0</v>
      </c>
      <c r="R177">
        <v>3.38</v>
      </c>
      <c r="S177" t="s">
        <v>831</v>
      </c>
      <c r="T177" t="s">
        <v>983</v>
      </c>
      <c r="U177">
        <v>2024</v>
      </c>
      <c r="V177" t="s">
        <v>993</v>
      </c>
      <c r="W177" t="s">
        <v>999</v>
      </c>
      <c r="X177" t="s">
        <v>1002</v>
      </c>
      <c r="Y177">
        <v>2</v>
      </c>
      <c r="Z177">
        <v>13</v>
      </c>
    </row>
    <row r="178" spans="1:26" x14ac:dyDescent="0.3">
      <c r="A178" t="s">
        <v>202</v>
      </c>
      <c r="B178" t="s">
        <v>535</v>
      </c>
      <c r="C178" t="s">
        <v>626</v>
      </c>
      <c r="D178">
        <v>29</v>
      </c>
      <c r="E178" t="s">
        <v>628</v>
      </c>
      <c r="F178">
        <v>939</v>
      </c>
      <c r="G178">
        <v>49839</v>
      </c>
      <c r="H178">
        <v>46798821</v>
      </c>
      <c r="I178" t="s">
        <v>634</v>
      </c>
      <c r="J178" t="s">
        <v>670</v>
      </c>
      <c r="K178" t="s">
        <v>675</v>
      </c>
      <c r="L178" t="s">
        <v>681</v>
      </c>
      <c r="M178" t="s">
        <v>685</v>
      </c>
      <c r="N178" t="s">
        <v>691</v>
      </c>
      <c r="O178" t="s">
        <v>694</v>
      </c>
      <c r="P178">
        <v>13535164</v>
      </c>
      <c r="Q178">
        <v>12</v>
      </c>
      <c r="R178">
        <v>0.96</v>
      </c>
      <c r="S178" t="s">
        <v>832</v>
      </c>
      <c r="T178" t="s">
        <v>991</v>
      </c>
      <c r="U178">
        <v>2024</v>
      </c>
      <c r="V178" t="s">
        <v>993</v>
      </c>
      <c r="W178" t="s">
        <v>998</v>
      </c>
      <c r="X178" t="s">
        <v>1001</v>
      </c>
      <c r="Y178">
        <v>5</v>
      </c>
      <c r="Z178">
        <v>31</v>
      </c>
    </row>
    <row r="179" spans="1:26" x14ac:dyDescent="0.3">
      <c r="A179" t="s">
        <v>203</v>
      </c>
      <c r="B179" t="s">
        <v>555</v>
      </c>
      <c r="C179" t="s">
        <v>626</v>
      </c>
      <c r="D179">
        <v>25</v>
      </c>
      <c r="E179" t="s">
        <v>629</v>
      </c>
      <c r="F179">
        <v>411</v>
      </c>
      <c r="G179">
        <v>13195</v>
      </c>
      <c r="H179">
        <v>5423145</v>
      </c>
      <c r="I179" t="s">
        <v>649</v>
      </c>
      <c r="J179" t="s">
        <v>669</v>
      </c>
      <c r="K179" t="s">
        <v>664</v>
      </c>
      <c r="L179" t="s">
        <v>682</v>
      </c>
      <c r="M179" t="s">
        <v>684</v>
      </c>
      <c r="N179" t="s">
        <v>688</v>
      </c>
      <c r="O179" t="s">
        <v>694</v>
      </c>
      <c r="P179">
        <v>1855102</v>
      </c>
      <c r="Q179">
        <v>3</v>
      </c>
      <c r="R179">
        <v>1.1599999999999999</v>
      </c>
      <c r="S179" t="s">
        <v>774</v>
      </c>
      <c r="T179" t="s">
        <v>991</v>
      </c>
      <c r="U179">
        <v>2024</v>
      </c>
      <c r="V179" t="s">
        <v>994</v>
      </c>
      <c r="W179" t="s">
        <v>998</v>
      </c>
      <c r="X179" t="s">
        <v>1002</v>
      </c>
      <c r="Y179">
        <v>2</v>
      </c>
      <c r="Z179">
        <v>29</v>
      </c>
    </row>
    <row r="180" spans="1:26" x14ac:dyDescent="0.3">
      <c r="A180" t="s">
        <v>204</v>
      </c>
      <c r="B180" t="s">
        <v>606</v>
      </c>
      <c r="C180" t="s">
        <v>627</v>
      </c>
      <c r="D180">
        <v>25</v>
      </c>
      <c r="E180" t="s">
        <v>629</v>
      </c>
      <c r="F180">
        <v>676</v>
      </c>
      <c r="G180">
        <v>19262</v>
      </c>
      <c r="H180">
        <v>13021112</v>
      </c>
      <c r="I180" t="s">
        <v>646</v>
      </c>
      <c r="J180" t="s">
        <v>673</v>
      </c>
      <c r="K180" t="s">
        <v>678</v>
      </c>
      <c r="L180" t="s">
        <v>681</v>
      </c>
      <c r="M180" t="s">
        <v>686</v>
      </c>
      <c r="N180" t="s">
        <v>691</v>
      </c>
      <c r="O180" t="s">
        <v>693</v>
      </c>
      <c r="P180">
        <v>13021112</v>
      </c>
      <c r="Q180">
        <v>0</v>
      </c>
      <c r="R180">
        <v>8.3699999999999992</v>
      </c>
      <c r="S180" t="s">
        <v>833</v>
      </c>
      <c r="T180" t="s">
        <v>985</v>
      </c>
      <c r="U180">
        <v>2024</v>
      </c>
      <c r="V180" t="s">
        <v>996</v>
      </c>
      <c r="W180" t="s">
        <v>997</v>
      </c>
      <c r="X180" t="s">
        <v>1000</v>
      </c>
      <c r="Y180">
        <v>4</v>
      </c>
      <c r="Z180">
        <v>34</v>
      </c>
    </row>
    <row r="181" spans="1:26" x14ac:dyDescent="0.3">
      <c r="A181" t="s">
        <v>205</v>
      </c>
      <c r="B181" t="s">
        <v>588</v>
      </c>
      <c r="C181" t="s">
        <v>627</v>
      </c>
      <c r="D181">
        <v>27</v>
      </c>
      <c r="E181" t="s">
        <v>630</v>
      </c>
      <c r="F181">
        <v>786</v>
      </c>
      <c r="G181">
        <v>17443</v>
      </c>
      <c r="H181">
        <v>13710198</v>
      </c>
      <c r="I181" t="s">
        <v>647</v>
      </c>
      <c r="J181" t="s">
        <v>670</v>
      </c>
      <c r="K181" t="s">
        <v>678</v>
      </c>
      <c r="L181" t="s">
        <v>680</v>
      </c>
      <c r="M181" t="s">
        <v>683</v>
      </c>
      <c r="N181" t="s">
        <v>688</v>
      </c>
      <c r="O181" t="s">
        <v>694</v>
      </c>
      <c r="P181">
        <v>3066786</v>
      </c>
      <c r="Q181">
        <v>12</v>
      </c>
      <c r="R181">
        <v>9.0299999999999994</v>
      </c>
      <c r="S181" t="s">
        <v>834</v>
      </c>
      <c r="T181" t="s">
        <v>984</v>
      </c>
      <c r="U181">
        <v>2024</v>
      </c>
      <c r="V181" t="s">
        <v>996</v>
      </c>
      <c r="W181" t="s">
        <v>999</v>
      </c>
      <c r="X181" t="s">
        <v>1000</v>
      </c>
      <c r="Y181">
        <v>4</v>
      </c>
      <c r="Z181">
        <v>6</v>
      </c>
    </row>
    <row r="182" spans="1:26" x14ac:dyDescent="0.3">
      <c r="A182" t="s">
        <v>206</v>
      </c>
      <c r="B182" t="s">
        <v>541</v>
      </c>
      <c r="C182" t="s">
        <v>626</v>
      </c>
      <c r="D182">
        <v>55</v>
      </c>
      <c r="E182" t="s">
        <v>630</v>
      </c>
      <c r="F182">
        <v>842</v>
      </c>
      <c r="G182">
        <v>11691</v>
      </c>
      <c r="H182">
        <v>9843822</v>
      </c>
      <c r="I182" t="s">
        <v>633</v>
      </c>
      <c r="J182" t="s">
        <v>668</v>
      </c>
      <c r="K182" t="s">
        <v>679</v>
      </c>
      <c r="L182" t="s">
        <v>681</v>
      </c>
      <c r="M182" t="s">
        <v>686</v>
      </c>
      <c r="N182" t="s">
        <v>691</v>
      </c>
      <c r="O182" t="s">
        <v>694</v>
      </c>
      <c r="P182">
        <v>4658504</v>
      </c>
      <c r="Q182">
        <v>12</v>
      </c>
      <c r="R182">
        <v>9.14</v>
      </c>
      <c r="S182" t="s">
        <v>835</v>
      </c>
      <c r="T182" t="s">
        <v>981</v>
      </c>
      <c r="U182">
        <v>2024</v>
      </c>
      <c r="V182" t="s">
        <v>993</v>
      </c>
      <c r="W182" t="s">
        <v>997</v>
      </c>
      <c r="X182" t="s">
        <v>1001</v>
      </c>
      <c r="Y182">
        <v>5</v>
      </c>
      <c r="Z182">
        <v>34</v>
      </c>
    </row>
    <row r="183" spans="1:26" x14ac:dyDescent="0.3">
      <c r="A183" t="s">
        <v>207</v>
      </c>
      <c r="B183" t="s">
        <v>544</v>
      </c>
      <c r="C183" t="s">
        <v>626</v>
      </c>
      <c r="D183">
        <v>46</v>
      </c>
      <c r="E183" t="s">
        <v>630</v>
      </c>
      <c r="F183">
        <v>353</v>
      </c>
      <c r="G183">
        <v>11712</v>
      </c>
      <c r="H183">
        <v>4134336</v>
      </c>
      <c r="I183" t="s">
        <v>663</v>
      </c>
      <c r="J183" t="s">
        <v>670</v>
      </c>
      <c r="K183" t="s">
        <v>640</v>
      </c>
      <c r="L183" t="s">
        <v>681</v>
      </c>
      <c r="M183" t="s">
        <v>684</v>
      </c>
      <c r="N183" t="s">
        <v>692</v>
      </c>
      <c r="O183" t="s">
        <v>693</v>
      </c>
      <c r="P183">
        <v>4134336</v>
      </c>
      <c r="Q183">
        <v>0</v>
      </c>
      <c r="R183">
        <v>9.25</v>
      </c>
      <c r="S183" t="s">
        <v>833</v>
      </c>
      <c r="T183" t="s">
        <v>985</v>
      </c>
      <c r="U183">
        <v>2024</v>
      </c>
      <c r="V183" t="s">
        <v>995</v>
      </c>
      <c r="W183" t="s">
        <v>999</v>
      </c>
      <c r="X183" t="s">
        <v>1000</v>
      </c>
      <c r="Y183">
        <v>3</v>
      </c>
      <c r="Z183">
        <v>26</v>
      </c>
    </row>
    <row r="184" spans="1:26" x14ac:dyDescent="0.3">
      <c r="A184" t="s">
        <v>208</v>
      </c>
      <c r="B184" t="s">
        <v>607</v>
      </c>
      <c r="C184" t="s">
        <v>626</v>
      </c>
      <c r="D184">
        <v>37</v>
      </c>
      <c r="E184" t="s">
        <v>630</v>
      </c>
      <c r="F184">
        <v>897</v>
      </c>
      <c r="G184">
        <v>47459</v>
      </c>
      <c r="H184">
        <v>42570723</v>
      </c>
      <c r="I184" t="s">
        <v>656</v>
      </c>
      <c r="J184" t="s">
        <v>669</v>
      </c>
      <c r="K184" t="s">
        <v>674</v>
      </c>
      <c r="L184" t="s">
        <v>680</v>
      </c>
      <c r="M184" t="s">
        <v>687</v>
      </c>
      <c r="N184" t="s">
        <v>690</v>
      </c>
      <c r="O184" t="s">
        <v>694</v>
      </c>
      <c r="P184">
        <v>13568900</v>
      </c>
      <c r="Q184">
        <v>3</v>
      </c>
      <c r="R184">
        <v>8.7899999999999991</v>
      </c>
      <c r="S184" t="s">
        <v>836</v>
      </c>
      <c r="T184" t="s">
        <v>984</v>
      </c>
      <c r="U184">
        <v>2024</v>
      </c>
      <c r="V184" t="s">
        <v>994</v>
      </c>
      <c r="W184" t="s">
        <v>998</v>
      </c>
      <c r="X184" t="s">
        <v>1002</v>
      </c>
      <c r="Y184">
        <v>1</v>
      </c>
      <c r="Z184">
        <v>15</v>
      </c>
    </row>
    <row r="185" spans="1:26" x14ac:dyDescent="0.3">
      <c r="A185" t="s">
        <v>209</v>
      </c>
      <c r="B185" t="s">
        <v>608</v>
      </c>
      <c r="C185" t="s">
        <v>626</v>
      </c>
      <c r="D185">
        <v>53</v>
      </c>
      <c r="E185" t="s">
        <v>630</v>
      </c>
      <c r="F185">
        <v>992</v>
      </c>
      <c r="G185">
        <v>23028</v>
      </c>
      <c r="H185">
        <v>22843776</v>
      </c>
      <c r="I185" t="s">
        <v>651</v>
      </c>
      <c r="J185" t="s">
        <v>669</v>
      </c>
      <c r="K185" t="s">
        <v>678</v>
      </c>
      <c r="L185" t="s">
        <v>680</v>
      </c>
      <c r="M185" t="s">
        <v>686</v>
      </c>
      <c r="N185" t="s">
        <v>688</v>
      </c>
      <c r="O185" t="s">
        <v>694</v>
      </c>
      <c r="P185">
        <v>8714758</v>
      </c>
      <c r="Q185">
        <v>24</v>
      </c>
      <c r="R185">
        <v>0.89</v>
      </c>
      <c r="S185" t="s">
        <v>837</v>
      </c>
      <c r="T185" t="s">
        <v>989</v>
      </c>
      <c r="U185">
        <v>2024</v>
      </c>
      <c r="V185" t="s">
        <v>993</v>
      </c>
      <c r="W185" t="s">
        <v>998</v>
      </c>
      <c r="X185" t="s">
        <v>1001</v>
      </c>
      <c r="Y185">
        <v>5</v>
      </c>
      <c r="Z185">
        <v>26</v>
      </c>
    </row>
    <row r="186" spans="1:26" x14ac:dyDescent="0.3">
      <c r="A186" t="s">
        <v>210</v>
      </c>
      <c r="B186" t="s">
        <v>574</v>
      </c>
      <c r="C186" t="s">
        <v>627</v>
      </c>
      <c r="D186">
        <v>49</v>
      </c>
      <c r="E186" t="s">
        <v>628</v>
      </c>
      <c r="F186">
        <v>229</v>
      </c>
      <c r="G186">
        <v>13386</v>
      </c>
      <c r="H186">
        <v>3065394</v>
      </c>
      <c r="I186" t="s">
        <v>656</v>
      </c>
      <c r="J186" t="s">
        <v>669</v>
      </c>
      <c r="K186" t="s">
        <v>674</v>
      </c>
      <c r="L186" t="s">
        <v>681</v>
      </c>
      <c r="M186" t="s">
        <v>683</v>
      </c>
      <c r="N186" t="s">
        <v>690</v>
      </c>
      <c r="O186" t="s">
        <v>693</v>
      </c>
      <c r="P186">
        <v>3065394</v>
      </c>
      <c r="Q186">
        <v>0</v>
      </c>
      <c r="R186">
        <v>8.75</v>
      </c>
      <c r="S186" t="s">
        <v>819</v>
      </c>
      <c r="T186" t="s">
        <v>990</v>
      </c>
      <c r="U186">
        <v>2024</v>
      </c>
      <c r="V186" t="s">
        <v>994</v>
      </c>
      <c r="W186" t="s">
        <v>998</v>
      </c>
      <c r="X186" t="s">
        <v>1001</v>
      </c>
      <c r="Y186">
        <v>4</v>
      </c>
      <c r="Z186">
        <v>41</v>
      </c>
    </row>
    <row r="187" spans="1:26" x14ac:dyDescent="0.3">
      <c r="A187" t="s">
        <v>211</v>
      </c>
      <c r="B187" t="s">
        <v>597</v>
      </c>
      <c r="C187" t="s">
        <v>626</v>
      </c>
      <c r="D187">
        <v>30</v>
      </c>
      <c r="E187" t="s">
        <v>630</v>
      </c>
      <c r="F187">
        <v>447</v>
      </c>
      <c r="G187">
        <v>26409</v>
      </c>
      <c r="H187">
        <v>11804823</v>
      </c>
      <c r="I187" t="s">
        <v>662</v>
      </c>
      <c r="J187" t="s">
        <v>673</v>
      </c>
      <c r="K187" t="s">
        <v>664</v>
      </c>
      <c r="L187" t="s">
        <v>682</v>
      </c>
      <c r="M187" t="s">
        <v>685</v>
      </c>
      <c r="N187" t="s">
        <v>690</v>
      </c>
      <c r="O187" t="s">
        <v>694</v>
      </c>
      <c r="P187">
        <v>2989868</v>
      </c>
      <c r="Q187">
        <v>24</v>
      </c>
      <c r="R187">
        <v>8.6999999999999993</v>
      </c>
      <c r="S187" t="s">
        <v>838</v>
      </c>
      <c r="T187" t="s">
        <v>985</v>
      </c>
      <c r="U187">
        <v>2024</v>
      </c>
      <c r="V187" t="s">
        <v>993</v>
      </c>
      <c r="W187" t="s">
        <v>998</v>
      </c>
      <c r="X187" t="s">
        <v>1000</v>
      </c>
      <c r="Y187">
        <v>2</v>
      </c>
      <c r="Z187">
        <v>37</v>
      </c>
    </row>
    <row r="188" spans="1:26" x14ac:dyDescent="0.3">
      <c r="A188" t="s">
        <v>212</v>
      </c>
      <c r="B188" t="s">
        <v>559</v>
      </c>
      <c r="C188" t="s">
        <v>627</v>
      </c>
      <c r="D188">
        <v>61</v>
      </c>
      <c r="E188" t="s">
        <v>628</v>
      </c>
      <c r="F188">
        <v>893</v>
      </c>
      <c r="G188">
        <v>15548</v>
      </c>
      <c r="H188">
        <v>13884364</v>
      </c>
      <c r="I188" t="s">
        <v>654</v>
      </c>
      <c r="J188" t="s">
        <v>669</v>
      </c>
      <c r="K188" t="s">
        <v>679</v>
      </c>
      <c r="L188" t="s">
        <v>682</v>
      </c>
      <c r="M188" t="s">
        <v>685</v>
      </c>
      <c r="N188" t="s">
        <v>688</v>
      </c>
      <c r="O188" t="s">
        <v>694</v>
      </c>
      <c r="P188">
        <v>4914848</v>
      </c>
      <c r="Q188">
        <v>24</v>
      </c>
      <c r="R188">
        <v>8.65</v>
      </c>
      <c r="S188" t="s">
        <v>698</v>
      </c>
      <c r="T188" t="s">
        <v>984</v>
      </c>
      <c r="U188">
        <v>2024</v>
      </c>
      <c r="V188" t="s">
        <v>994</v>
      </c>
      <c r="W188" t="s">
        <v>997</v>
      </c>
      <c r="X188" t="s">
        <v>1002</v>
      </c>
      <c r="Y188">
        <v>3</v>
      </c>
      <c r="Z188">
        <v>28</v>
      </c>
    </row>
    <row r="189" spans="1:26" x14ac:dyDescent="0.3">
      <c r="A189" t="s">
        <v>213</v>
      </c>
      <c r="B189" t="s">
        <v>568</v>
      </c>
      <c r="C189" t="s">
        <v>626</v>
      </c>
      <c r="D189">
        <v>57</v>
      </c>
      <c r="E189" t="s">
        <v>628</v>
      </c>
      <c r="F189">
        <v>670</v>
      </c>
      <c r="G189">
        <v>18514</v>
      </c>
      <c r="H189">
        <v>12404380</v>
      </c>
      <c r="I189" t="s">
        <v>658</v>
      </c>
      <c r="J189" t="s">
        <v>670</v>
      </c>
      <c r="K189" t="s">
        <v>651</v>
      </c>
      <c r="L189" t="s">
        <v>680</v>
      </c>
      <c r="M189" t="s">
        <v>686</v>
      </c>
      <c r="N189" t="s">
        <v>690</v>
      </c>
      <c r="O189" t="s">
        <v>693</v>
      </c>
      <c r="P189">
        <v>12404380</v>
      </c>
      <c r="Q189">
        <v>0</v>
      </c>
      <c r="R189">
        <v>4.67</v>
      </c>
      <c r="S189" t="s">
        <v>839</v>
      </c>
      <c r="T189" t="s">
        <v>984</v>
      </c>
      <c r="U189">
        <v>2024</v>
      </c>
      <c r="V189" t="s">
        <v>994</v>
      </c>
      <c r="W189" t="s">
        <v>998</v>
      </c>
      <c r="X189" t="s">
        <v>1001</v>
      </c>
      <c r="Y189">
        <v>1</v>
      </c>
      <c r="Z189">
        <v>31</v>
      </c>
    </row>
    <row r="190" spans="1:26" x14ac:dyDescent="0.3">
      <c r="A190" t="s">
        <v>214</v>
      </c>
      <c r="B190" t="s">
        <v>609</v>
      </c>
      <c r="C190" t="s">
        <v>627</v>
      </c>
      <c r="D190">
        <v>53</v>
      </c>
      <c r="E190" t="s">
        <v>628</v>
      </c>
      <c r="F190">
        <v>855</v>
      </c>
      <c r="G190">
        <v>23308</v>
      </c>
      <c r="H190">
        <v>19928340</v>
      </c>
      <c r="I190" t="s">
        <v>646</v>
      </c>
      <c r="J190" t="s">
        <v>673</v>
      </c>
      <c r="K190" t="s">
        <v>677</v>
      </c>
      <c r="L190" t="s">
        <v>680</v>
      </c>
      <c r="M190" t="s">
        <v>686</v>
      </c>
      <c r="N190" t="s">
        <v>691</v>
      </c>
      <c r="O190" t="s">
        <v>694</v>
      </c>
      <c r="P190">
        <v>7908280</v>
      </c>
      <c r="Q190">
        <v>12</v>
      </c>
      <c r="R190">
        <v>9.52</v>
      </c>
      <c r="S190" t="s">
        <v>751</v>
      </c>
      <c r="T190" t="s">
        <v>983</v>
      </c>
      <c r="U190">
        <v>2024</v>
      </c>
      <c r="V190" t="s">
        <v>994</v>
      </c>
      <c r="W190" t="s">
        <v>997</v>
      </c>
      <c r="X190" t="s">
        <v>1000</v>
      </c>
      <c r="Y190">
        <v>1</v>
      </c>
      <c r="Z190">
        <v>42</v>
      </c>
    </row>
    <row r="191" spans="1:26" x14ac:dyDescent="0.3">
      <c r="A191" t="s">
        <v>215</v>
      </c>
      <c r="B191" t="s">
        <v>530</v>
      </c>
      <c r="C191" t="s">
        <v>626</v>
      </c>
      <c r="D191">
        <v>62</v>
      </c>
      <c r="E191" t="s">
        <v>630</v>
      </c>
      <c r="F191">
        <v>628</v>
      </c>
      <c r="G191">
        <v>28515</v>
      </c>
      <c r="H191">
        <v>17907420</v>
      </c>
      <c r="I191" t="s">
        <v>645</v>
      </c>
      <c r="J191" t="s">
        <v>670</v>
      </c>
      <c r="K191" t="s">
        <v>677</v>
      </c>
      <c r="L191" t="s">
        <v>682</v>
      </c>
      <c r="M191" t="s">
        <v>687</v>
      </c>
      <c r="N191" t="s">
        <v>688</v>
      </c>
      <c r="O191" t="s">
        <v>694</v>
      </c>
      <c r="P191">
        <v>6713619</v>
      </c>
      <c r="Q191">
        <v>3</v>
      </c>
      <c r="R191">
        <v>9.9499999999999993</v>
      </c>
      <c r="S191" t="s">
        <v>794</v>
      </c>
      <c r="T191" t="s">
        <v>990</v>
      </c>
      <c r="U191">
        <v>2024</v>
      </c>
      <c r="V191" t="s">
        <v>996</v>
      </c>
      <c r="W191" t="s">
        <v>998</v>
      </c>
      <c r="X191" t="s">
        <v>1000</v>
      </c>
      <c r="Y191">
        <v>4</v>
      </c>
      <c r="Z191">
        <v>9</v>
      </c>
    </row>
    <row r="192" spans="1:26" x14ac:dyDescent="0.3">
      <c r="A192" t="s">
        <v>216</v>
      </c>
      <c r="B192" t="s">
        <v>600</v>
      </c>
      <c r="C192" t="s">
        <v>626</v>
      </c>
      <c r="D192">
        <v>36</v>
      </c>
      <c r="E192" t="s">
        <v>629</v>
      </c>
      <c r="F192">
        <v>981</v>
      </c>
      <c r="G192">
        <v>13997</v>
      </c>
      <c r="H192">
        <v>13731057</v>
      </c>
      <c r="I192" t="s">
        <v>635</v>
      </c>
      <c r="J192" t="s">
        <v>668</v>
      </c>
      <c r="K192" t="s">
        <v>675</v>
      </c>
      <c r="L192" t="s">
        <v>681</v>
      </c>
      <c r="M192" t="s">
        <v>684</v>
      </c>
      <c r="N192" t="s">
        <v>689</v>
      </c>
      <c r="O192" t="s">
        <v>694</v>
      </c>
      <c r="P192">
        <v>3661744</v>
      </c>
      <c r="Q192">
        <v>3</v>
      </c>
      <c r="R192">
        <v>2.23</v>
      </c>
      <c r="S192" t="s">
        <v>800</v>
      </c>
      <c r="T192" t="s">
        <v>982</v>
      </c>
      <c r="U192">
        <v>2024</v>
      </c>
      <c r="V192" t="s">
        <v>995</v>
      </c>
      <c r="W192" t="s">
        <v>999</v>
      </c>
      <c r="X192" t="s">
        <v>1001</v>
      </c>
      <c r="Y192">
        <v>5</v>
      </c>
      <c r="Z192">
        <v>38</v>
      </c>
    </row>
    <row r="193" spans="1:26" x14ac:dyDescent="0.3">
      <c r="A193" t="s">
        <v>217</v>
      </c>
      <c r="B193" t="s">
        <v>539</v>
      </c>
      <c r="C193" t="s">
        <v>626</v>
      </c>
      <c r="D193">
        <v>23</v>
      </c>
      <c r="E193" t="s">
        <v>628</v>
      </c>
      <c r="F193">
        <v>399</v>
      </c>
      <c r="G193">
        <v>34799</v>
      </c>
      <c r="H193">
        <v>13884801</v>
      </c>
      <c r="I193" t="s">
        <v>638</v>
      </c>
      <c r="J193" t="s">
        <v>672</v>
      </c>
      <c r="K193" t="s">
        <v>678</v>
      </c>
      <c r="L193" t="s">
        <v>680</v>
      </c>
      <c r="M193" t="s">
        <v>683</v>
      </c>
      <c r="N193" t="s">
        <v>690</v>
      </c>
      <c r="O193" t="s">
        <v>693</v>
      </c>
      <c r="P193">
        <v>13884801</v>
      </c>
      <c r="Q193">
        <v>0</v>
      </c>
      <c r="R193">
        <v>8.67</v>
      </c>
      <c r="S193" t="s">
        <v>840</v>
      </c>
      <c r="T193" t="s">
        <v>991</v>
      </c>
      <c r="U193">
        <v>2024</v>
      </c>
      <c r="V193" t="s">
        <v>995</v>
      </c>
      <c r="W193" t="s">
        <v>997</v>
      </c>
      <c r="X193" t="s">
        <v>1002</v>
      </c>
      <c r="Y193">
        <v>2</v>
      </c>
      <c r="Z193">
        <v>21</v>
      </c>
    </row>
    <row r="194" spans="1:26" x14ac:dyDescent="0.3">
      <c r="A194" t="s">
        <v>218</v>
      </c>
      <c r="B194" t="s">
        <v>559</v>
      </c>
      <c r="C194" t="s">
        <v>626</v>
      </c>
      <c r="D194">
        <v>33</v>
      </c>
      <c r="E194" t="s">
        <v>628</v>
      </c>
      <c r="F194">
        <v>699</v>
      </c>
      <c r="G194">
        <v>23799</v>
      </c>
      <c r="H194">
        <v>16635501</v>
      </c>
      <c r="I194" t="s">
        <v>653</v>
      </c>
      <c r="J194" t="s">
        <v>668</v>
      </c>
      <c r="K194" t="s">
        <v>676</v>
      </c>
      <c r="L194" t="s">
        <v>682</v>
      </c>
      <c r="M194" t="s">
        <v>683</v>
      </c>
      <c r="N194" t="s">
        <v>691</v>
      </c>
      <c r="O194" t="s">
        <v>693</v>
      </c>
      <c r="P194">
        <v>16635501</v>
      </c>
      <c r="Q194">
        <v>0</v>
      </c>
      <c r="R194">
        <v>3.13</v>
      </c>
      <c r="S194" t="s">
        <v>841</v>
      </c>
      <c r="T194" t="s">
        <v>988</v>
      </c>
      <c r="U194">
        <v>2024</v>
      </c>
      <c r="V194" t="s">
        <v>993</v>
      </c>
      <c r="W194" t="s">
        <v>999</v>
      </c>
      <c r="X194" t="s">
        <v>1001</v>
      </c>
      <c r="Y194">
        <v>4</v>
      </c>
      <c r="Z194">
        <v>41</v>
      </c>
    </row>
    <row r="195" spans="1:26" x14ac:dyDescent="0.3">
      <c r="A195" t="s">
        <v>219</v>
      </c>
      <c r="B195" t="s">
        <v>542</v>
      </c>
      <c r="C195" t="s">
        <v>626</v>
      </c>
      <c r="D195">
        <v>53</v>
      </c>
      <c r="E195" t="s">
        <v>628</v>
      </c>
      <c r="F195">
        <v>688</v>
      </c>
      <c r="G195">
        <v>27121</v>
      </c>
      <c r="H195">
        <v>18659248</v>
      </c>
      <c r="I195" t="s">
        <v>666</v>
      </c>
      <c r="J195" t="s">
        <v>670</v>
      </c>
      <c r="K195" t="s">
        <v>640</v>
      </c>
      <c r="L195" t="s">
        <v>680</v>
      </c>
      <c r="M195" t="s">
        <v>685</v>
      </c>
      <c r="N195" t="s">
        <v>688</v>
      </c>
      <c r="O195" t="s">
        <v>693</v>
      </c>
      <c r="P195">
        <v>18659248</v>
      </c>
      <c r="Q195">
        <v>0</v>
      </c>
      <c r="R195">
        <v>0.38</v>
      </c>
      <c r="S195" t="s">
        <v>819</v>
      </c>
      <c r="T195" t="s">
        <v>990</v>
      </c>
      <c r="U195">
        <v>2024</v>
      </c>
      <c r="V195" t="s">
        <v>996</v>
      </c>
      <c r="W195" t="s">
        <v>997</v>
      </c>
      <c r="X195" t="s">
        <v>1002</v>
      </c>
      <c r="Y195">
        <v>3</v>
      </c>
      <c r="Z195">
        <v>9</v>
      </c>
    </row>
    <row r="196" spans="1:26" x14ac:dyDescent="0.3">
      <c r="A196" t="s">
        <v>220</v>
      </c>
      <c r="B196" t="s">
        <v>575</v>
      </c>
      <c r="C196" t="s">
        <v>626</v>
      </c>
      <c r="D196">
        <v>53</v>
      </c>
      <c r="E196" t="s">
        <v>629</v>
      </c>
      <c r="F196">
        <v>802</v>
      </c>
      <c r="G196">
        <v>22061</v>
      </c>
      <c r="H196">
        <v>17692922</v>
      </c>
      <c r="I196" t="s">
        <v>661</v>
      </c>
      <c r="J196" t="s">
        <v>673</v>
      </c>
      <c r="K196" t="s">
        <v>675</v>
      </c>
      <c r="L196" t="s">
        <v>682</v>
      </c>
      <c r="M196" t="s">
        <v>687</v>
      </c>
      <c r="N196" t="s">
        <v>691</v>
      </c>
      <c r="O196" t="s">
        <v>693</v>
      </c>
      <c r="P196">
        <v>17692922</v>
      </c>
      <c r="Q196">
        <v>0</v>
      </c>
      <c r="R196">
        <v>0.65</v>
      </c>
      <c r="S196" t="s">
        <v>842</v>
      </c>
      <c r="T196" t="s">
        <v>988</v>
      </c>
      <c r="U196">
        <v>2024</v>
      </c>
      <c r="V196" t="s">
        <v>996</v>
      </c>
      <c r="W196" t="s">
        <v>998</v>
      </c>
      <c r="X196" t="s">
        <v>1002</v>
      </c>
      <c r="Y196">
        <v>3</v>
      </c>
      <c r="Z196">
        <v>49</v>
      </c>
    </row>
    <row r="197" spans="1:26" x14ac:dyDescent="0.3">
      <c r="A197" t="s">
        <v>221</v>
      </c>
      <c r="B197" t="s">
        <v>607</v>
      </c>
      <c r="C197" t="s">
        <v>627</v>
      </c>
      <c r="D197">
        <v>27</v>
      </c>
      <c r="E197" t="s">
        <v>630</v>
      </c>
      <c r="F197">
        <v>219</v>
      </c>
      <c r="G197">
        <v>16969</v>
      </c>
      <c r="H197">
        <v>3716211</v>
      </c>
      <c r="I197" t="s">
        <v>654</v>
      </c>
      <c r="J197" t="s">
        <v>669</v>
      </c>
      <c r="K197" t="s">
        <v>640</v>
      </c>
      <c r="L197" t="s">
        <v>682</v>
      </c>
      <c r="M197" t="s">
        <v>685</v>
      </c>
      <c r="N197" t="s">
        <v>691</v>
      </c>
      <c r="O197" t="s">
        <v>693</v>
      </c>
      <c r="P197">
        <v>3716211</v>
      </c>
      <c r="Q197">
        <v>0</v>
      </c>
      <c r="R197">
        <v>7.27</v>
      </c>
      <c r="S197" t="s">
        <v>843</v>
      </c>
      <c r="T197" t="s">
        <v>987</v>
      </c>
      <c r="U197">
        <v>2024</v>
      </c>
      <c r="V197" t="s">
        <v>994</v>
      </c>
      <c r="W197" t="s">
        <v>997</v>
      </c>
      <c r="X197" t="s">
        <v>1001</v>
      </c>
      <c r="Y197">
        <v>1</v>
      </c>
      <c r="Z197">
        <v>39</v>
      </c>
    </row>
    <row r="198" spans="1:26" x14ac:dyDescent="0.3">
      <c r="A198" t="s">
        <v>222</v>
      </c>
      <c r="B198" t="s">
        <v>545</v>
      </c>
      <c r="C198" t="s">
        <v>627</v>
      </c>
      <c r="D198">
        <v>55</v>
      </c>
      <c r="E198" t="s">
        <v>630</v>
      </c>
      <c r="F198">
        <v>869</v>
      </c>
      <c r="G198">
        <v>3293</v>
      </c>
      <c r="H198">
        <v>2861617</v>
      </c>
      <c r="I198" t="s">
        <v>662</v>
      </c>
      <c r="J198" t="s">
        <v>673</v>
      </c>
      <c r="K198" t="s">
        <v>676</v>
      </c>
      <c r="L198" t="s">
        <v>681</v>
      </c>
      <c r="M198" t="s">
        <v>683</v>
      </c>
      <c r="N198" t="s">
        <v>688</v>
      </c>
      <c r="O198" t="s">
        <v>693</v>
      </c>
      <c r="P198">
        <v>2861617</v>
      </c>
      <c r="Q198">
        <v>0</v>
      </c>
      <c r="R198">
        <v>6.9</v>
      </c>
      <c r="S198" t="s">
        <v>844</v>
      </c>
      <c r="T198" t="s">
        <v>989</v>
      </c>
      <c r="U198">
        <v>2024</v>
      </c>
      <c r="V198" t="s">
        <v>993</v>
      </c>
      <c r="W198" t="s">
        <v>998</v>
      </c>
      <c r="X198" t="s">
        <v>1002</v>
      </c>
      <c r="Y198">
        <v>1</v>
      </c>
      <c r="Z198">
        <v>43</v>
      </c>
    </row>
    <row r="199" spans="1:26" x14ac:dyDescent="0.3">
      <c r="A199" t="s">
        <v>223</v>
      </c>
      <c r="B199" t="s">
        <v>568</v>
      </c>
      <c r="C199" t="s">
        <v>627</v>
      </c>
      <c r="D199">
        <v>38</v>
      </c>
      <c r="E199" t="s">
        <v>628</v>
      </c>
      <c r="F199">
        <v>820</v>
      </c>
      <c r="G199">
        <v>47922</v>
      </c>
      <c r="H199">
        <v>39296040</v>
      </c>
      <c r="I199" t="s">
        <v>637</v>
      </c>
      <c r="J199" t="s">
        <v>672</v>
      </c>
      <c r="K199" t="s">
        <v>674</v>
      </c>
      <c r="L199" t="s">
        <v>680</v>
      </c>
      <c r="M199" t="s">
        <v>684</v>
      </c>
      <c r="N199" t="s">
        <v>688</v>
      </c>
      <c r="O199" t="s">
        <v>693</v>
      </c>
      <c r="P199">
        <v>39296040</v>
      </c>
      <c r="Q199">
        <v>0</v>
      </c>
      <c r="R199">
        <v>4.1900000000000004</v>
      </c>
      <c r="S199" t="s">
        <v>845</v>
      </c>
      <c r="T199" t="s">
        <v>981</v>
      </c>
      <c r="U199">
        <v>2024</v>
      </c>
      <c r="V199" t="s">
        <v>996</v>
      </c>
      <c r="W199" t="s">
        <v>998</v>
      </c>
      <c r="X199" t="s">
        <v>1001</v>
      </c>
      <c r="Y199">
        <v>2</v>
      </c>
      <c r="Z199">
        <v>23</v>
      </c>
    </row>
    <row r="200" spans="1:26" x14ac:dyDescent="0.3">
      <c r="A200" t="s">
        <v>224</v>
      </c>
      <c r="B200" t="s">
        <v>610</v>
      </c>
      <c r="C200" t="s">
        <v>627</v>
      </c>
      <c r="D200">
        <v>27</v>
      </c>
      <c r="E200" t="s">
        <v>629</v>
      </c>
      <c r="F200">
        <v>364</v>
      </c>
      <c r="G200">
        <v>4582</v>
      </c>
      <c r="H200">
        <v>1667848</v>
      </c>
      <c r="I200" t="s">
        <v>633</v>
      </c>
      <c r="J200" t="s">
        <v>668</v>
      </c>
      <c r="K200" t="s">
        <v>677</v>
      </c>
      <c r="L200" t="s">
        <v>682</v>
      </c>
      <c r="M200" t="s">
        <v>684</v>
      </c>
      <c r="N200" t="s">
        <v>688</v>
      </c>
      <c r="O200" t="s">
        <v>694</v>
      </c>
      <c r="P200">
        <v>677915</v>
      </c>
      <c r="Q200">
        <v>6</v>
      </c>
      <c r="R200">
        <v>4.8099999999999996</v>
      </c>
      <c r="S200" t="s">
        <v>846</v>
      </c>
      <c r="T200" t="s">
        <v>990</v>
      </c>
      <c r="U200">
        <v>2024</v>
      </c>
      <c r="V200" t="s">
        <v>993</v>
      </c>
      <c r="W200" t="s">
        <v>997</v>
      </c>
      <c r="X200" t="s">
        <v>1000</v>
      </c>
      <c r="Y200">
        <v>1</v>
      </c>
      <c r="Z200">
        <v>17</v>
      </c>
    </row>
    <row r="201" spans="1:26" x14ac:dyDescent="0.3">
      <c r="A201" t="s">
        <v>225</v>
      </c>
      <c r="B201" t="s">
        <v>532</v>
      </c>
      <c r="C201" t="s">
        <v>626</v>
      </c>
      <c r="D201">
        <v>47</v>
      </c>
      <c r="E201" t="s">
        <v>629</v>
      </c>
      <c r="F201">
        <v>503</v>
      </c>
      <c r="G201">
        <v>19309</v>
      </c>
      <c r="H201">
        <v>9712427</v>
      </c>
      <c r="I201" t="s">
        <v>653</v>
      </c>
      <c r="J201" t="s">
        <v>668</v>
      </c>
      <c r="K201" t="s">
        <v>678</v>
      </c>
      <c r="L201" t="s">
        <v>680</v>
      </c>
      <c r="M201" t="s">
        <v>685</v>
      </c>
      <c r="N201" t="s">
        <v>689</v>
      </c>
      <c r="O201" t="s">
        <v>694</v>
      </c>
      <c r="P201">
        <v>2233301</v>
      </c>
      <c r="Q201">
        <v>3</v>
      </c>
      <c r="R201">
        <v>1.75</v>
      </c>
      <c r="S201" t="s">
        <v>713</v>
      </c>
      <c r="T201" t="s">
        <v>988</v>
      </c>
      <c r="U201">
        <v>2024</v>
      </c>
      <c r="V201" t="s">
        <v>993</v>
      </c>
      <c r="W201" t="s">
        <v>999</v>
      </c>
      <c r="X201" t="s">
        <v>1001</v>
      </c>
      <c r="Y201">
        <v>2</v>
      </c>
      <c r="Z201">
        <v>22</v>
      </c>
    </row>
    <row r="202" spans="1:26" x14ac:dyDescent="0.3">
      <c r="A202" t="s">
        <v>226</v>
      </c>
      <c r="B202" t="s">
        <v>549</v>
      </c>
      <c r="C202" t="s">
        <v>626</v>
      </c>
      <c r="D202">
        <v>46</v>
      </c>
      <c r="E202" t="s">
        <v>629</v>
      </c>
      <c r="F202">
        <v>474</v>
      </c>
      <c r="G202">
        <v>8091</v>
      </c>
      <c r="H202">
        <v>3835134</v>
      </c>
      <c r="I202" t="s">
        <v>639</v>
      </c>
      <c r="J202" t="s">
        <v>671</v>
      </c>
      <c r="K202" t="s">
        <v>674</v>
      </c>
      <c r="L202" t="s">
        <v>680</v>
      </c>
      <c r="M202" t="s">
        <v>685</v>
      </c>
      <c r="N202" t="s">
        <v>688</v>
      </c>
      <c r="O202" t="s">
        <v>694</v>
      </c>
      <c r="P202">
        <v>977425</v>
      </c>
      <c r="Q202">
        <v>12</v>
      </c>
      <c r="R202">
        <v>4.01</v>
      </c>
      <c r="S202" t="s">
        <v>847</v>
      </c>
      <c r="T202" t="s">
        <v>989</v>
      </c>
      <c r="U202">
        <v>2024</v>
      </c>
      <c r="V202" t="s">
        <v>993</v>
      </c>
      <c r="W202" t="s">
        <v>999</v>
      </c>
      <c r="X202" t="s">
        <v>1000</v>
      </c>
      <c r="Y202">
        <v>4</v>
      </c>
      <c r="Z202">
        <v>38</v>
      </c>
    </row>
    <row r="203" spans="1:26" x14ac:dyDescent="0.3">
      <c r="A203" t="s">
        <v>227</v>
      </c>
      <c r="B203" t="s">
        <v>547</v>
      </c>
      <c r="C203" t="s">
        <v>627</v>
      </c>
      <c r="D203">
        <v>50</v>
      </c>
      <c r="E203" t="s">
        <v>630</v>
      </c>
      <c r="F203">
        <v>894</v>
      </c>
      <c r="G203">
        <v>30715</v>
      </c>
      <c r="H203">
        <v>27459210</v>
      </c>
      <c r="I203" t="s">
        <v>658</v>
      </c>
      <c r="J203" t="s">
        <v>670</v>
      </c>
      <c r="K203" t="s">
        <v>674</v>
      </c>
      <c r="L203" t="s">
        <v>680</v>
      </c>
      <c r="M203" t="s">
        <v>684</v>
      </c>
      <c r="N203" t="s">
        <v>691</v>
      </c>
      <c r="O203" t="s">
        <v>693</v>
      </c>
      <c r="P203">
        <v>27459210</v>
      </c>
      <c r="Q203">
        <v>0</v>
      </c>
      <c r="R203">
        <v>6.11</v>
      </c>
      <c r="S203" t="s">
        <v>848</v>
      </c>
      <c r="T203" t="s">
        <v>991</v>
      </c>
      <c r="U203">
        <v>2024</v>
      </c>
      <c r="V203" t="s">
        <v>993</v>
      </c>
      <c r="W203" t="s">
        <v>999</v>
      </c>
      <c r="X203" t="s">
        <v>1002</v>
      </c>
      <c r="Y203">
        <v>3</v>
      </c>
      <c r="Z203">
        <v>1</v>
      </c>
    </row>
    <row r="204" spans="1:26" x14ac:dyDescent="0.3">
      <c r="A204" t="s">
        <v>228</v>
      </c>
      <c r="B204" t="s">
        <v>561</v>
      </c>
      <c r="C204" t="s">
        <v>627</v>
      </c>
      <c r="D204">
        <v>47</v>
      </c>
      <c r="E204" t="s">
        <v>629</v>
      </c>
      <c r="F204">
        <v>985</v>
      </c>
      <c r="G204">
        <v>39791</v>
      </c>
      <c r="H204">
        <v>39194135</v>
      </c>
      <c r="I204" t="s">
        <v>659</v>
      </c>
      <c r="J204" t="s">
        <v>668</v>
      </c>
      <c r="K204" t="s">
        <v>675</v>
      </c>
      <c r="L204" t="s">
        <v>682</v>
      </c>
      <c r="M204" t="s">
        <v>683</v>
      </c>
      <c r="N204" t="s">
        <v>691</v>
      </c>
      <c r="O204" t="s">
        <v>693</v>
      </c>
      <c r="P204">
        <v>39194135</v>
      </c>
      <c r="Q204">
        <v>0</v>
      </c>
      <c r="R204">
        <v>9.7799999999999994</v>
      </c>
      <c r="S204" t="s">
        <v>782</v>
      </c>
      <c r="T204" t="s">
        <v>984</v>
      </c>
      <c r="U204">
        <v>2024</v>
      </c>
      <c r="V204" t="s">
        <v>994</v>
      </c>
      <c r="W204" t="s">
        <v>997</v>
      </c>
      <c r="X204" t="s">
        <v>1001</v>
      </c>
      <c r="Y204">
        <v>4</v>
      </c>
      <c r="Z204">
        <v>10</v>
      </c>
    </row>
    <row r="205" spans="1:26" x14ac:dyDescent="0.3">
      <c r="A205" t="s">
        <v>229</v>
      </c>
      <c r="B205" t="s">
        <v>587</v>
      </c>
      <c r="C205" t="s">
        <v>627</v>
      </c>
      <c r="D205">
        <v>51</v>
      </c>
      <c r="E205" t="s">
        <v>630</v>
      </c>
      <c r="F205">
        <v>211</v>
      </c>
      <c r="G205">
        <v>44165</v>
      </c>
      <c r="H205">
        <v>9318815</v>
      </c>
      <c r="I205" t="s">
        <v>665</v>
      </c>
      <c r="J205" t="s">
        <v>672</v>
      </c>
      <c r="K205" t="s">
        <v>664</v>
      </c>
      <c r="L205" t="s">
        <v>680</v>
      </c>
      <c r="M205" t="s">
        <v>687</v>
      </c>
      <c r="N205" t="s">
        <v>690</v>
      </c>
      <c r="O205" t="s">
        <v>693</v>
      </c>
      <c r="P205">
        <v>9318815</v>
      </c>
      <c r="Q205">
        <v>0</v>
      </c>
      <c r="R205">
        <v>5.0599999999999996</v>
      </c>
      <c r="S205" t="s">
        <v>795</v>
      </c>
      <c r="T205" t="s">
        <v>989</v>
      </c>
      <c r="U205">
        <v>2024</v>
      </c>
      <c r="V205" t="s">
        <v>993</v>
      </c>
      <c r="W205" t="s">
        <v>997</v>
      </c>
      <c r="X205" t="s">
        <v>1000</v>
      </c>
      <c r="Y205">
        <v>5</v>
      </c>
      <c r="Z205">
        <v>42</v>
      </c>
    </row>
    <row r="206" spans="1:26" x14ac:dyDescent="0.3">
      <c r="A206" t="s">
        <v>230</v>
      </c>
      <c r="B206" t="s">
        <v>589</v>
      </c>
      <c r="C206" t="s">
        <v>627</v>
      </c>
      <c r="D206">
        <v>26</v>
      </c>
      <c r="E206" t="s">
        <v>630</v>
      </c>
      <c r="F206">
        <v>280</v>
      </c>
      <c r="G206">
        <v>32087</v>
      </c>
      <c r="H206">
        <v>8984360</v>
      </c>
      <c r="I206" t="s">
        <v>666</v>
      </c>
      <c r="J206" t="s">
        <v>670</v>
      </c>
      <c r="K206" t="s">
        <v>679</v>
      </c>
      <c r="L206" t="s">
        <v>681</v>
      </c>
      <c r="M206" t="s">
        <v>685</v>
      </c>
      <c r="N206" t="s">
        <v>692</v>
      </c>
      <c r="O206" t="s">
        <v>694</v>
      </c>
      <c r="P206">
        <v>2034113</v>
      </c>
      <c r="Q206">
        <v>24</v>
      </c>
      <c r="R206">
        <v>4.9800000000000004</v>
      </c>
      <c r="S206" t="s">
        <v>849</v>
      </c>
      <c r="T206" t="s">
        <v>982</v>
      </c>
      <c r="U206">
        <v>2024</v>
      </c>
      <c r="V206" t="s">
        <v>993</v>
      </c>
      <c r="W206" t="s">
        <v>999</v>
      </c>
      <c r="X206" t="s">
        <v>1001</v>
      </c>
      <c r="Y206">
        <v>5</v>
      </c>
      <c r="Z206">
        <v>41</v>
      </c>
    </row>
    <row r="207" spans="1:26" x14ac:dyDescent="0.3">
      <c r="A207" t="s">
        <v>231</v>
      </c>
      <c r="B207" t="s">
        <v>594</v>
      </c>
      <c r="C207" t="s">
        <v>626</v>
      </c>
      <c r="D207">
        <v>65</v>
      </c>
      <c r="E207" t="s">
        <v>629</v>
      </c>
      <c r="F207">
        <v>411</v>
      </c>
      <c r="G207">
        <v>44899</v>
      </c>
      <c r="H207">
        <v>18453489</v>
      </c>
      <c r="I207" t="s">
        <v>667</v>
      </c>
      <c r="J207" t="s">
        <v>671</v>
      </c>
      <c r="K207" t="s">
        <v>675</v>
      </c>
      <c r="L207" t="s">
        <v>681</v>
      </c>
      <c r="M207" t="s">
        <v>684</v>
      </c>
      <c r="N207" t="s">
        <v>689</v>
      </c>
      <c r="O207" t="s">
        <v>694</v>
      </c>
      <c r="P207">
        <v>5702179</v>
      </c>
      <c r="Q207">
        <v>12</v>
      </c>
      <c r="R207">
        <v>0.54</v>
      </c>
      <c r="S207" t="s">
        <v>850</v>
      </c>
      <c r="T207" t="s">
        <v>990</v>
      </c>
      <c r="U207">
        <v>2024</v>
      </c>
      <c r="V207" t="s">
        <v>993</v>
      </c>
      <c r="W207" t="s">
        <v>997</v>
      </c>
      <c r="X207" t="s">
        <v>1000</v>
      </c>
      <c r="Y207">
        <v>1</v>
      </c>
      <c r="Z207">
        <v>22</v>
      </c>
    </row>
    <row r="208" spans="1:26" x14ac:dyDescent="0.3">
      <c r="A208" t="s">
        <v>232</v>
      </c>
      <c r="B208" t="s">
        <v>611</v>
      </c>
      <c r="C208" t="s">
        <v>626</v>
      </c>
      <c r="D208">
        <v>59</v>
      </c>
      <c r="E208" t="s">
        <v>628</v>
      </c>
      <c r="F208">
        <v>760</v>
      </c>
      <c r="G208">
        <v>36208</v>
      </c>
      <c r="H208">
        <v>27518080</v>
      </c>
      <c r="I208" t="s">
        <v>636</v>
      </c>
      <c r="J208" t="s">
        <v>671</v>
      </c>
      <c r="K208" t="s">
        <v>677</v>
      </c>
      <c r="L208" t="s">
        <v>680</v>
      </c>
      <c r="M208" t="s">
        <v>685</v>
      </c>
      <c r="N208" t="s">
        <v>691</v>
      </c>
      <c r="O208" t="s">
        <v>694</v>
      </c>
      <c r="P208">
        <v>5881534</v>
      </c>
      <c r="Q208">
        <v>3</v>
      </c>
      <c r="R208">
        <v>1.64</v>
      </c>
      <c r="S208" t="s">
        <v>851</v>
      </c>
      <c r="T208" t="s">
        <v>987</v>
      </c>
      <c r="U208">
        <v>2024</v>
      </c>
      <c r="V208" t="s">
        <v>996</v>
      </c>
      <c r="W208" t="s">
        <v>998</v>
      </c>
      <c r="X208" t="s">
        <v>1000</v>
      </c>
      <c r="Y208">
        <v>3</v>
      </c>
      <c r="Z208">
        <v>7</v>
      </c>
    </row>
    <row r="209" spans="1:26" x14ac:dyDescent="0.3">
      <c r="A209" t="s">
        <v>233</v>
      </c>
      <c r="B209" t="s">
        <v>612</v>
      </c>
      <c r="C209" t="s">
        <v>626</v>
      </c>
      <c r="D209">
        <v>52</v>
      </c>
      <c r="E209" t="s">
        <v>628</v>
      </c>
      <c r="F209">
        <v>326</v>
      </c>
      <c r="G209">
        <v>31524</v>
      </c>
      <c r="H209">
        <v>10276824</v>
      </c>
      <c r="I209" t="s">
        <v>663</v>
      </c>
      <c r="J209" t="s">
        <v>670</v>
      </c>
      <c r="K209" t="s">
        <v>674</v>
      </c>
      <c r="L209" t="s">
        <v>682</v>
      </c>
      <c r="M209" t="s">
        <v>686</v>
      </c>
      <c r="N209" t="s">
        <v>688</v>
      </c>
      <c r="O209" t="s">
        <v>694</v>
      </c>
      <c r="P209">
        <v>5026975</v>
      </c>
      <c r="Q209">
        <v>6</v>
      </c>
      <c r="R209">
        <v>0.04</v>
      </c>
      <c r="S209" t="s">
        <v>852</v>
      </c>
      <c r="T209" t="s">
        <v>988</v>
      </c>
      <c r="U209">
        <v>2024</v>
      </c>
      <c r="V209" t="s">
        <v>996</v>
      </c>
      <c r="W209" t="s">
        <v>999</v>
      </c>
      <c r="X209" t="s">
        <v>1002</v>
      </c>
      <c r="Y209">
        <v>5</v>
      </c>
      <c r="Z209">
        <v>39</v>
      </c>
    </row>
    <row r="210" spans="1:26" x14ac:dyDescent="0.3">
      <c r="A210" t="s">
        <v>234</v>
      </c>
      <c r="B210" t="s">
        <v>551</v>
      </c>
      <c r="C210" t="s">
        <v>627</v>
      </c>
      <c r="D210">
        <v>28</v>
      </c>
      <c r="E210" t="s">
        <v>630</v>
      </c>
      <c r="F210">
        <v>628</v>
      </c>
      <c r="G210">
        <v>41911</v>
      </c>
      <c r="H210">
        <v>26320108</v>
      </c>
      <c r="I210" t="s">
        <v>667</v>
      </c>
      <c r="J210" t="s">
        <v>671</v>
      </c>
      <c r="K210" t="s">
        <v>640</v>
      </c>
      <c r="L210" t="s">
        <v>682</v>
      </c>
      <c r="M210" t="s">
        <v>686</v>
      </c>
      <c r="N210" t="s">
        <v>690</v>
      </c>
      <c r="O210" t="s">
        <v>693</v>
      </c>
      <c r="P210">
        <v>26320108</v>
      </c>
      <c r="Q210">
        <v>0</v>
      </c>
      <c r="R210">
        <v>2.74</v>
      </c>
      <c r="S210" t="s">
        <v>853</v>
      </c>
      <c r="T210" t="s">
        <v>982</v>
      </c>
      <c r="U210">
        <v>2024</v>
      </c>
      <c r="V210" t="s">
        <v>994</v>
      </c>
      <c r="W210" t="s">
        <v>997</v>
      </c>
      <c r="X210" t="s">
        <v>1001</v>
      </c>
      <c r="Y210">
        <v>5</v>
      </c>
      <c r="Z210">
        <v>41</v>
      </c>
    </row>
    <row r="211" spans="1:26" x14ac:dyDescent="0.3">
      <c r="A211" t="s">
        <v>235</v>
      </c>
      <c r="B211" t="s">
        <v>567</v>
      </c>
      <c r="C211" t="s">
        <v>626</v>
      </c>
      <c r="D211">
        <v>65</v>
      </c>
      <c r="E211" t="s">
        <v>628</v>
      </c>
      <c r="F211">
        <v>839</v>
      </c>
      <c r="G211">
        <v>48817</v>
      </c>
      <c r="H211">
        <v>40957463</v>
      </c>
      <c r="I211" t="s">
        <v>654</v>
      </c>
      <c r="J211" t="s">
        <v>669</v>
      </c>
      <c r="K211" t="s">
        <v>679</v>
      </c>
      <c r="L211" t="s">
        <v>681</v>
      </c>
      <c r="M211" t="s">
        <v>686</v>
      </c>
      <c r="N211" t="s">
        <v>691</v>
      </c>
      <c r="O211" t="s">
        <v>694</v>
      </c>
      <c r="P211">
        <v>19510396</v>
      </c>
      <c r="Q211">
        <v>12</v>
      </c>
      <c r="R211">
        <v>1.33</v>
      </c>
      <c r="S211" t="s">
        <v>808</v>
      </c>
      <c r="T211" t="s">
        <v>984</v>
      </c>
      <c r="U211">
        <v>2024</v>
      </c>
      <c r="V211" t="s">
        <v>995</v>
      </c>
      <c r="W211" t="s">
        <v>997</v>
      </c>
      <c r="X211" t="s">
        <v>1001</v>
      </c>
      <c r="Y211">
        <v>5</v>
      </c>
      <c r="Z211">
        <v>19</v>
      </c>
    </row>
    <row r="212" spans="1:26" x14ac:dyDescent="0.3">
      <c r="A212" t="s">
        <v>236</v>
      </c>
      <c r="B212" t="s">
        <v>574</v>
      </c>
      <c r="C212" t="s">
        <v>626</v>
      </c>
      <c r="D212">
        <v>30</v>
      </c>
      <c r="E212" t="s">
        <v>630</v>
      </c>
      <c r="F212">
        <v>735</v>
      </c>
      <c r="G212">
        <v>8977</v>
      </c>
      <c r="H212">
        <v>6598095</v>
      </c>
      <c r="I212" t="s">
        <v>658</v>
      </c>
      <c r="J212" t="s">
        <v>670</v>
      </c>
      <c r="K212" t="s">
        <v>664</v>
      </c>
      <c r="L212" t="s">
        <v>682</v>
      </c>
      <c r="M212" t="s">
        <v>687</v>
      </c>
      <c r="N212" t="s">
        <v>688</v>
      </c>
      <c r="O212" t="s">
        <v>693</v>
      </c>
      <c r="P212">
        <v>6598095</v>
      </c>
      <c r="Q212">
        <v>0</v>
      </c>
      <c r="R212">
        <v>3.81</v>
      </c>
      <c r="S212" t="s">
        <v>854</v>
      </c>
      <c r="T212" t="s">
        <v>988</v>
      </c>
      <c r="U212">
        <v>2024</v>
      </c>
      <c r="V212" t="s">
        <v>993</v>
      </c>
      <c r="W212" t="s">
        <v>997</v>
      </c>
      <c r="X212" t="s">
        <v>1002</v>
      </c>
      <c r="Y212">
        <v>2</v>
      </c>
      <c r="Z212">
        <v>49</v>
      </c>
    </row>
    <row r="213" spans="1:26" x14ac:dyDescent="0.3">
      <c r="A213" t="s">
        <v>237</v>
      </c>
      <c r="B213" t="s">
        <v>599</v>
      </c>
      <c r="C213" t="s">
        <v>626</v>
      </c>
      <c r="D213">
        <v>64</v>
      </c>
      <c r="E213" t="s">
        <v>629</v>
      </c>
      <c r="F213">
        <v>663</v>
      </c>
      <c r="G213">
        <v>8716</v>
      </c>
      <c r="H213">
        <v>5778708</v>
      </c>
      <c r="I213" t="s">
        <v>638</v>
      </c>
      <c r="J213" t="s">
        <v>672</v>
      </c>
      <c r="K213" t="s">
        <v>651</v>
      </c>
      <c r="L213" t="s">
        <v>680</v>
      </c>
      <c r="M213" t="s">
        <v>684</v>
      </c>
      <c r="N213" t="s">
        <v>691</v>
      </c>
      <c r="O213" t="s">
        <v>693</v>
      </c>
      <c r="P213">
        <v>5778708</v>
      </c>
      <c r="Q213">
        <v>0</v>
      </c>
      <c r="R213">
        <v>7.42</v>
      </c>
      <c r="S213" t="s">
        <v>776</v>
      </c>
      <c r="T213" t="s">
        <v>985</v>
      </c>
      <c r="U213">
        <v>2024</v>
      </c>
      <c r="V213" t="s">
        <v>995</v>
      </c>
      <c r="W213" t="s">
        <v>997</v>
      </c>
      <c r="X213" t="s">
        <v>1002</v>
      </c>
      <c r="Y213">
        <v>5</v>
      </c>
      <c r="Z213">
        <v>4</v>
      </c>
    </row>
    <row r="214" spans="1:26" x14ac:dyDescent="0.3">
      <c r="A214" t="s">
        <v>238</v>
      </c>
      <c r="B214" t="s">
        <v>598</v>
      </c>
      <c r="C214" t="s">
        <v>627</v>
      </c>
      <c r="D214">
        <v>32</v>
      </c>
      <c r="E214" t="s">
        <v>630</v>
      </c>
      <c r="F214">
        <v>407</v>
      </c>
      <c r="G214">
        <v>42669</v>
      </c>
      <c r="H214">
        <v>17366283</v>
      </c>
      <c r="I214" t="s">
        <v>662</v>
      </c>
      <c r="J214" t="s">
        <v>673</v>
      </c>
      <c r="K214" t="s">
        <v>677</v>
      </c>
      <c r="L214" t="s">
        <v>681</v>
      </c>
      <c r="M214" t="s">
        <v>683</v>
      </c>
      <c r="N214" t="s">
        <v>689</v>
      </c>
      <c r="O214" t="s">
        <v>694</v>
      </c>
      <c r="P214">
        <v>8221996</v>
      </c>
      <c r="Q214">
        <v>6</v>
      </c>
      <c r="R214">
        <v>7.05</v>
      </c>
      <c r="S214" t="s">
        <v>855</v>
      </c>
      <c r="T214" t="s">
        <v>983</v>
      </c>
      <c r="U214">
        <v>2024</v>
      </c>
      <c r="V214" t="s">
        <v>996</v>
      </c>
      <c r="W214" t="s">
        <v>999</v>
      </c>
      <c r="X214" t="s">
        <v>1001</v>
      </c>
      <c r="Y214">
        <v>5</v>
      </c>
      <c r="Z214">
        <v>8</v>
      </c>
    </row>
    <row r="215" spans="1:26" x14ac:dyDescent="0.3">
      <c r="A215" t="s">
        <v>239</v>
      </c>
      <c r="B215" t="s">
        <v>604</v>
      </c>
      <c r="C215" t="s">
        <v>627</v>
      </c>
      <c r="D215">
        <v>22</v>
      </c>
      <c r="E215" t="s">
        <v>628</v>
      </c>
      <c r="F215">
        <v>485</v>
      </c>
      <c r="G215">
        <v>38477</v>
      </c>
      <c r="H215">
        <v>18661345</v>
      </c>
      <c r="I215" t="s">
        <v>663</v>
      </c>
      <c r="J215" t="s">
        <v>670</v>
      </c>
      <c r="K215" t="s">
        <v>640</v>
      </c>
      <c r="L215" t="s">
        <v>681</v>
      </c>
      <c r="M215" t="s">
        <v>686</v>
      </c>
      <c r="N215" t="s">
        <v>689</v>
      </c>
      <c r="O215" t="s">
        <v>694</v>
      </c>
      <c r="P215">
        <v>4633214</v>
      </c>
      <c r="Q215">
        <v>6</v>
      </c>
      <c r="R215">
        <v>8.4600000000000009</v>
      </c>
      <c r="S215" t="s">
        <v>856</v>
      </c>
      <c r="T215" t="s">
        <v>988</v>
      </c>
      <c r="U215">
        <v>2024</v>
      </c>
      <c r="V215" t="s">
        <v>994</v>
      </c>
      <c r="W215" t="s">
        <v>998</v>
      </c>
      <c r="X215" t="s">
        <v>1001</v>
      </c>
      <c r="Y215">
        <v>5</v>
      </c>
      <c r="Z215">
        <v>23</v>
      </c>
    </row>
    <row r="216" spans="1:26" x14ac:dyDescent="0.3">
      <c r="A216" t="s">
        <v>240</v>
      </c>
      <c r="B216" t="s">
        <v>537</v>
      </c>
      <c r="C216" t="s">
        <v>626</v>
      </c>
      <c r="D216">
        <v>25</v>
      </c>
      <c r="E216" t="s">
        <v>630</v>
      </c>
      <c r="F216">
        <v>738</v>
      </c>
      <c r="G216">
        <v>16415</v>
      </c>
      <c r="H216">
        <v>12114270</v>
      </c>
      <c r="I216" t="s">
        <v>662</v>
      </c>
      <c r="J216" t="s">
        <v>673</v>
      </c>
      <c r="K216" t="s">
        <v>651</v>
      </c>
      <c r="L216" t="s">
        <v>680</v>
      </c>
      <c r="M216" t="s">
        <v>683</v>
      </c>
      <c r="N216" t="s">
        <v>690</v>
      </c>
      <c r="O216" t="s">
        <v>693</v>
      </c>
      <c r="P216">
        <v>12114270</v>
      </c>
      <c r="Q216">
        <v>0</v>
      </c>
      <c r="R216">
        <v>5.21</v>
      </c>
      <c r="S216" t="s">
        <v>857</v>
      </c>
      <c r="T216" t="s">
        <v>986</v>
      </c>
      <c r="U216">
        <v>2024</v>
      </c>
      <c r="V216" t="s">
        <v>994</v>
      </c>
      <c r="W216" t="s">
        <v>998</v>
      </c>
      <c r="X216" t="s">
        <v>1002</v>
      </c>
      <c r="Y216">
        <v>2</v>
      </c>
      <c r="Z216">
        <v>49</v>
      </c>
    </row>
    <row r="217" spans="1:26" x14ac:dyDescent="0.3">
      <c r="A217" t="s">
        <v>241</v>
      </c>
      <c r="B217" t="s">
        <v>572</v>
      </c>
      <c r="C217" t="s">
        <v>627</v>
      </c>
      <c r="D217">
        <v>22</v>
      </c>
      <c r="E217" t="s">
        <v>629</v>
      </c>
      <c r="F217">
        <v>774</v>
      </c>
      <c r="G217">
        <v>44552</v>
      </c>
      <c r="H217">
        <v>34483248</v>
      </c>
      <c r="I217" t="s">
        <v>665</v>
      </c>
      <c r="J217" t="s">
        <v>672</v>
      </c>
      <c r="K217" t="s">
        <v>678</v>
      </c>
      <c r="L217" t="s">
        <v>681</v>
      </c>
      <c r="M217" t="s">
        <v>684</v>
      </c>
      <c r="N217" t="s">
        <v>689</v>
      </c>
      <c r="O217" t="s">
        <v>693</v>
      </c>
      <c r="P217">
        <v>34483248</v>
      </c>
      <c r="Q217">
        <v>0</v>
      </c>
      <c r="R217">
        <v>1.1499999999999999</v>
      </c>
      <c r="S217" t="s">
        <v>858</v>
      </c>
      <c r="T217" t="s">
        <v>982</v>
      </c>
      <c r="U217">
        <v>2024</v>
      </c>
      <c r="V217" t="s">
        <v>995</v>
      </c>
      <c r="W217" t="s">
        <v>998</v>
      </c>
      <c r="X217" t="s">
        <v>1001</v>
      </c>
      <c r="Y217">
        <v>3</v>
      </c>
      <c r="Z217">
        <v>2</v>
      </c>
    </row>
    <row r="218" spans="1:26" x14ac:dyDescent="0.3">
      <c r="A218" t="s">
        <v>242</v>
      </c>
      <c r="B218" t="s">
        <v>561</v>
      </c>
      <c r="C218" t="s">
        <v>627</v>
      </c>
      <c r="D218">
        <v>26</v>
      </c>
      <c r="E218" t="s">
        <v>628</v>
      </c>
      <c r="F218">
        <v>726</v>
      </c>
      <c r="G218">
        <v>35340</v>
      </c>
      <c r="H218">
        <v>25656840</v>
      </c>
      <c r="I218" t="s">
        <v>652</v>
      </c>
      <c r="J218" t="s">
        <v>672</v>
      </c>
      <c r="K218" t="s">
        <v>651</v>
      </c>
      <c r="L218" t="s">
        <v>682</v>
      </c>
      <c r="M218" t="s">
        <v>686</v>
      </c>
      <c r="N218" t="s">
        <v>689</v>
      </c>
      <c r="O218" t="s">
        <v>694</v>
      </c>
      <c r="P218">
        <v>5468897</v>
      </c>
      <c r="Q218">
        <v>24</v>
      </c>
      <c r="R218">
        <v>8.98</v>
      </c>
      <c r="S218" t="s">
        <v>859</v>
      </c>
      <c r="T218" t="s">
        <v>990</v>
      </c>
      <c r="U218">
        <v>2024</v>
      </c>
      <c r="V218" t="s">
        <v>993</v>
      </c>
      <c r="W218" t="s">
        <v>999</v>
      </c>
      <c r="X218" t="s">
        <v>1001</v>
      </c>
      <c r="Y218">
        <v>2</v>
      </c>
      <c r="Z218">
        <v>44</v>
      </c>
    </row>
    <row r="219" spans="1:26" x14ac:dyDescent="0.3">
      <c r="A219" t="s">
        <v>243</v>
      </c>
      <c r="B219" t="s">
        <v>542</v>
      </c>
      <c r="C219" t="s">
        <v>627</v>
      </c>
      <c r="D219">
        <v>24</v>
      </c>
      <c r="E219" t="s">
        <v>628</v>
      </c>
      <c r="F219">
        <v>410</v>
      </c>
      <c r="G219">
        <v>37242</v>
      </c>
      <c r="H219">
        <v>15269220</v>
      </c>
      <c r="I219" t="s">
        <v>658</v>
      </c>
      <c r="J219" t="s">
        <v>670</v>
      </c>
      <c r="K219" t="s">
        <v>676</v>
      </c>
      <c r="L219" t="s">
        <v>680</v>
      </c>
      <c r="M219" t="s">
        <v>687</v>
      </c>
      <c r="N219" t="s">
        <v>692</v>
      </c>
      <c r="O219" t="s">
        <v>694</v>
      </c>
      <c r="P219">
        <v>6475176</v>
      </c>
      <c r="Q219">
        <v>3</v>
      </c>
      <c r="R219">
        <v>1.54</v>
      </c>
      <c r="S219" t="s">
        <v>860</v>
      </c>
      <c r="T219" t="s">
        <v>989</v>
      </c>
      <c r="U219">
        <v>2024</v>
      </c>
      <c r="V219" t="s">
        <v>993</v>
      </c>
      <c r="W219" t="s">
        <v>997</v>
      </c>
      <c r="X219" t="s">
        <v>1000</v>
      </c>
      <c r="Y219">
        <v>3</v>
      </c>
      <c r="Z219">
        <v>27</v>
      </c>
    </row>
    <row r="220" spans="1:26" x14ac:dyDescent="0.3">
      <c r="A220" t="s">
        <v>244</v>
      </c>
      <c r="B220" t="s">
        <v>563</v>
      </c>
      <c r="C220" t="s">
        <v>627</v>
      </c>
      <c r="D220">
        <v>57</v>
      </c>
      <c r="E220" t="s">
        <v>628</v>
      </c>
      <c r="F220">
        <v>643</v>
      </c>
      <c r="G220">
        <v>22735</v>
      </c>
      <c r="H220">
        <v>14618605</v>
      </c>
      <c r="I220" t="s">
        <v>666</v>
      </c>
      <c r="J220" t="s">
        <v>670</v>
      </c>
      <c r="K220" t="s">
        <v>640</v>
      </c>
      <c r="L220" t="s">
        <v>682</v>
      </c>
      <c r="M220" t="s">
        <v>685</v>
      </c>
      <c r="N220" t="s">
        <v>690</v>
      </c>
      <c r="O220" t="s">
        <v>693</v>
      </c>
      <c r="P220">
        <v>14618605</v>
      </c>
      <c r="Q220">
        <v>0</v>
      </c>
      <c r="R220">
        <v>3.9</v>
      </c>
      <c r="S220" t="s">
        <v>735</v>
      </c>
      <c r="T220" t="s">
        <v>987</v>
      </c>
      <c r="U220">
        <v>2024</v>
      </c>
      <c r="V220" t="s">
        <v>993</v>
      </c>
      <c r="W220" t="s">
        <v>998</v>
      </c>
      <c r="X220" t="s">
        <v>1001</v>
      </c>
      <c r="Y220">
        <v>3</v>
      </c>
      <c r="Z220">
        <v>39</v>
      </c>
    </row>
    <row r="221" spans="1:26" x14ac:dyDescent="0.3">
      <c r="A221" t="s">
        <v>245</v>
      </c>
      <c r="B221" t="s">
        <v>613</v>
      </c>
      <c r="C221" t="s">
        <v>626</v>
      </c>
      <c r="D221">
        <v>54</v>
      </c>
      <c r="E221" t="s">
        <v>630</v>
      </c>
      <c r="F221">
        <v>590</v>
      </c>
      <c r="G221">
        <v>27894</v>
      </c>
      <c r="H221">
        <v>16457460</v>
      </c>
      <c r="I221" t="s">
        <v>646</v>
      </c>
      <c r="J221" t="s">
        <v>673</v>
      </c>
      <c r="K221" t="s">
        <v>678</v>
      </c>
      <c r="L221" t="s">
        <v>682</v>
      </c>
      <c r="M221" t="s">
        <v>683</v>
      </c>
      <c r="N221" t="s">
        <v>690</v>
      </c>
      <c r="O221" t="s">
        <v>693</v>
      </c>
      <c r="P221">
        <v>16457460</v>
      </c>
      <c r="Q221">
        <v>0</v>
      </c>
      <c r="R221">
        <v>4.74</v>
      </c>
      <c r="S221" t="s">
        <v>861</v>
      </c>
      <c r="T221" t="s">
        <v>986</v>
      </c>
      <c r="U221">
        <v>2024</v>
      </c>
      <c r="V221" t="s">
        <v>994</v>
      </c>
      <c r="W221" t="s">
        <v>999</v>
      </c>
      <c r="X221" t="s">
        <v>1001</v>
      </c>
      <c r="Y221">
        <v>5</v>
      </c>
      <c r="Z221">
        <v>10</v>
      </c>
    </row>
    <row r="222" spans="1:26" x14ac:dyDescent="0.3">
      <c r="A222" t="s">
        <v>246</v>
      </c>
      <c r="B222" t="s">
        <v>608</v>
      </c>
      <c r="C222" t="s">
        <v>627</v>
      </c>
      <c r="D222">
        <v>30</v>
      </c>
      <c r="E222" t="s">
        <v>628</v>
      </c>
      <c r="F222">
        <v>786</v>
      </c>
      <c r="G222">
        <v>41102</v>
      </c>
      <c r="H222">
        <v>32306172</v>
      </c>
      <c r="I222" t="s">
        <v>664</v>
      </c>
      <c r="J222" t="s">
        <v>673</v>
      </c>
      <c r="K222" t="s">
        <v>664</v>
      </c>
      <c r="L222" t="s">
        <v>680</v>
      </c>
      <c r="M222" t="s">
        <v>686</v>
      </c>
      <c r="N222" t="s">
        <v>690</v>
      </c>
      <c r="O222" t="s">
        <v>694</v>
      </c>
      <c r="P222">
        <v>9414256</v>
      </c>
      <c r="Q222">
        <v>3</v>
      </c>
      <c r="R222">
        <v>7.48</v>
      </c>
      <c r="S222" t="s">
        <v>862</v>
      </c>
      <c r="T222" t="s">
        <v>982</v>
      </c>
      <c r="U222">
        <v>2024</v>
      </c>
      <c r="V222" t="s">
        <v>996</v>
      </c>
      <c r="W222" t="s">
        <v>999</v>
      </c>
      <c r="X222" t="s">
        <v>1000</v>
      </c>
      <c r="Y222">
        <v>5</v>
      </c>
      <c r="Z222">
        <v>4</v>
      </c>
    </row>
    <row r="223" spans="1:26" x14ac:dyDescent="0.3">
      <c r="A223" t="s">
        <v>247</v>
      </c>
      <c r="B223" t="s">
        <v>536</v>
      </c>
      <c r="C223" t="s">
        <v>626</v>
      </c>
      <c r="D223">
        <v>42</v>
      </c>
      <c r="E223" t="s">
        <v>628</v>
      </c>
      <c r="F223">
        <v>274</v>
      </c>
      <c r="G223">
        <v>21048</v>
      </c>
      <c r="H223">
        <v>5767152</v>
      </c>
      <c r="I223" t="s">
        <v>660</v>
      </c>
      <c r="J223" t="s">
        <v>672</v>
      </c>
      <c r="K223" t="s">
        <v>675</v>
      </c>
      <c r="L223" t="s">
        <v>682</v>
      </c>
      <c r="M223" t="s">
        <v>683</v>
      </c>
      <c r="N223" t="s">
        <v>689</v>
      </c>
      <c r="O223" t="s">
        <v>693</v>
      </c>
      <c r="P223">
        <v>5767152</v>
      </c>
      <c r="Q223">
        <v>0</v>
      </c>
      <c r="R223">
        <v>2.5099999999999998</v>
      </c>
      <c r="S223" t="s">
        <v>863</v>
      </c>
      <c r="T223" t="s">
        <v>990</v>
      </c>
      <c r="U223">
        <v>2024</v>
      </c>
      <c r="V223" t="s">
        <v>994</v>
      </c>
      <c r="W223" t="s">
        <v>997</v>
      </c>
      <c r="X223" t="s">
        <v>1000</v>
      </c>
      <c r="Y223">
        <v>2</v>
      </c>
      <c r="Z223">
        <v>21</v>
      </c>
    </row>
    <row r="224" spans="1:26" x14ac:dyDescent="0.3">
      <c r="A224" t="s">
        <v>248</v>
      </c>
      <c r="B224" t="s">
        <v>564</v>
      </c>
      <c r="C224" t="s">
        <v>627</v>
      </c>
      <c r="D224">
        <v>40</v>
      </c>
      <c r="E224" t="s">
        <v>628</v>
      </c>
      <c r="F224">
        <v>831</v>
      </c>
      <c r="G224">
        <v>45215</v>
      </c>
      <c r="H224">
        <v>37573665</v>
      </c>
      <c r="I224" t="s">
        <v>666</v>
      </c>
      <c r="J224" t="s">
        <v>670</v>
      </c>
      <c r="K224" t="s">
        <v>651</v>
      </c>
      <c r="L224" t="s">
        <v>680</v>
      </c>
      <c r="M224" t="s">
        <v>684</v>
      </c>
      <c r="N224" t="s">
        <v>690</v>
      </c>
      <c r="O224" t="s">
        <v>694</v>
      </c>
      <c r="P224">
        <v>13889692</v>
      </c>
      <c r="Q224">
        <v>6</v>
      </c>
      <c r="R224">
        <v>3.64</v>
      </c>
      <c r="S224" t="s">
        <v>849</v>
      </c>
      <c r="T224" t="s">
        <v>982</v>
      </c>
      <c r="U224">
        <v>2024</v>
      </c>
      <c r="V224" t="s">
        <v>994</v>
      </c>
      <c r="W224" t="s">
        <v>999</v>
      </c>
      <c r="X224" t="s">
        <v>1001</v>
      </c>
      <c r="Y224">
        <v>3</v>
      </c>
      <c r="Z224">
        <v>31</v>
      </c>
    </row>
    <row r="225" spans="1:26" x14ac:dyDescent="0.3">
      <c r="A225" t="s">
        <v>249</v>
      </c>
      <c r="B225" t="s">
        <v>567</v>
      </c>
      <c r="C225" t="s">
        <v>627</v>
      </c>
      <c r="D225">
        <v>36</v>
      </c>
      <c r="E225" t="s">
        <v>629</v>
      </c>
      <c r="F225">
        <v>993</v>
      </c>
      <c r="G225">
        <v>22019</v>
      </c>
      <c r="H225">
        <v>21864867</v>
      </c>
      <c r="I225" t="s">
        <v>666</v>
      </c>
      <c r="J225" t="s">
        <v>670</v>
      </c>
      <c r="K225" t="s">
        <v>651</v>
      </c>
      <c r="L225" t="s">
        <v>682</v>
      </c>
      <c r="M225" t="s">
        <v>685</v>
      </c>
      <c r="N225" t="s">
        <v>689</v>
      </c>
      <c r="O225" t="s">
        <v>694</v>
      </c>
      <c r="P225">
        <v>5525931</v>
      </c>
      <c r="Q225">
        <v>3</v>
      </c>
      <c r="R225">
        <v>6.07</v>
      </c>
      <c r="S225" t="s">
        <v>798</v>
      </c>
      <c r="T225" t="s">
        <v>992</v>
      </c>
      <c r="U225">
        <v>2024</v>
      </c>
      <c r="V225" t="s">
        <v>993</v>
      </c>
      <c r="W225" t="s">
        <v>997</v>
      </c>
      <c r="X225" t="s">
        <v>1001</v>
      </c>
      <c r="Y225">
        <v>1</v>
      </c>
      <c r="Z225">
        <v>38</v>
      </c>
    </row>
    <row r="226" spans="1:26" x14ac:dyDescent="0.3">
      <c r="A226" t="s">
        <v>250</v>
      </c>
      <c r="B226" t="s">
        <v>562</v>
      </c>
      <c r="C226" t="s">
        <v>626</v>
      </c>
      <c r="D226">
        <v>28</v>
      </c>
      <c r="E226" t="s">
        <v>630</v>
      </c>
      <c r="F226">
        <v>417</v>
      </c>
      <c r="G226">
        <v>4402</v>
      </c>
      <c r="H226">
        <v>1835634</v>
      </c>
      <c r="I226" t="s">
        <v>660</v>
      </c>
      <c r="J226" t="s">
        <v>672</v>
      </c>
      <c r="K226" t="s">
        <v>674</v>
      </c>
      <c r="L226" t="s">
        <v>682</v>
      </c>
      <c r="M226" t="s">
        <v>686</v>
      </c>
      <c r="N226" t="s">
        <v>689</v>
      </c>
      <c r="O226" t="s">
        <v>694</v>
      </c>
      <c r="P226">
        <v>727228</v>
      </c>
      <c r="Q226">
        <v>24</v>
      </c>
      <c r="R226">
        <v>1.49</v>
      </c>
      <c r="S226" t="s">
        <v>804</v>
      </c>
      <c r="T226" t="s">
        <v>991</v>
      </c>
      <c r="U226">
        <v>2024</v>
      </c>
      <c r="V226" t="s">
        <v>995</v>
      </c>
      <c r="W226" t="s">
        <v>998</v>
      </c>
      <c r="X226" t="s">
        <v>1001</v>
      </c>
      <c r="Y226">
        <v>1</v>
      </c>
      <c r="Z226">
        <v>43</v>
      </c>
    </row>
    <row r="227" spans="1:26" x14ac:dyDescent="0.3">
      <c r="A227" t="s">
        <v>251</v>
      </c>
      <c r="B227" t="s">
        <v>573</v>
      </c>
      <c r="C227" t="s">
        <v>627</v>
      </c>
      <c r="D227">
        <v>50</v>
      </c>
      <c r="E227" t="s">
        <v>630</v>
      </c>
      <c r="F227">
        <v>975</v>
      </c>
      <c r="G227">
        <v>35694</v>
      </c>
      <c r="H227">
        <v>34801650</v>
      </c>
      <c r="I227" t="s">
        <v>656</v>
      </c>
      <c r="J227" t="s">
        <v>669</v>
      </c>
      <c r="K227" t="s">
        <v>638</v>
      </c>
      <c r="L227" t="s">
        <v>680</v>
      </c>
      <c r="M227" t="s">
        <v>683</v>
      </c>
      <c r="N227" t="s">
        <v>691</v>
      </c>
      <c r="O227" t="s">
        <v>693</v>
      </c>
      <c r="P227">
        <v>34801650</v>
      </c>
      <c r="Q227">
        <v>0</v>
      </c>
      <c r="R227">
        <v>4.46</v>
      </c>
      <c r="S227" t="s">
        <v>864</v>
      </c>
      <c r="T227" t="s">
        <v>990</v>
      </c>
      <c r="U227">
        <v>2024</v>
      </c>
      <c r="V227" t="s">
        <v>996</v>
      </c>
      <c r="W227" t="s">
        <v>999</v>
      </c>
      <c r="X227" t="s">
        <v>1002</v>
      </c>
      <c r="Y227">
        <v>3</v>
      </c>
      <c r="Z227">
        <v>15</v>
      </c>
    </row>
    <row r="228" spans="1:26" x14ac:dyDescent="0.3">
      <c r="A228" t="s">
        <v>252</v>
      </c>
      <c r="B228" t="s">
        <v>614</v>
      </c>
      <c r="C228" t="s">
        <v>626</v>
      </c>
      <c r="D228">
        <v>36</v>
      </c>
      <c r="E228" t="s">
        <v>629</v>
      </c>
      <c r="F228">
        <v>730</v>
      </c>
      <c r="G228">
        <v>25674</v>
      </c>
      <c r="H228">
        <v>18742020</v>
      </c>
      <c r="I228" t="s">
        <v>662</v>
      </c>
      <c r="J228" t="s">
        <v>673</v>
      </c>
      <c r="K228" t="s">
        <v>679</v>
      </c>
      <c r="L228" t="s">
        <v>682</v>
      </c>
      <c r="M228" t="s">
        <v>686</v>
      </c>
      <c r="N228" t="s">
        <v>688</v>
      </c>
      <c r="O228" t="s">
        <v>694</v>
      </c>
      <c r="P228">
        <v>8909405</v>
      </c>
      <c r="Q228">
        <v>24</v>
      </c>
      <c r="R228">
        <v>8.82</v>
      </c>
      <c r="S228" t="s">
        <v>713</v>
      </c>
      <c r="T228" t="s">
        <v>988</v>
      </c>
      <c r="U228">
        <v>2024</v>
      </c>
      <c r="V228" t="s">
        <v>995</v>
      </c>
      <c r="W228" t="s">
        <v>997</v>
      </c>
      <c r="X228" t="s">
        <v>1002</v>
      </c>
      <c r="Y228">
        <v>3</v>
      </c>
      <c r="Z228">
        <v>38</v>
      </c>
    </row>
    <row r="229" spans="1:26" x14ac:dyDescent="0.3">
      <c r="A229" t="s">
        <v>253</v>
      </c>
      <c r="B229" t="s">
        <v>604</v>
      </c>
      <c r="C229" t="s">
        <v>626</v>
      </c>
      <c r="D229">
        <v>58</v>
      </c>
      <c r="E229" t="s">
        <v>628</v>
      </c>
      <c r="F229">
        <v>457</v>
      </c>
      <c r="G229">
        <v>26663</v>
      </c>
      <c r="H229">
        <v>12184991</v>
      </c>
      <c r="I229" t="s">
        <v>631</v>
      </c>
      <c r="J229" t="s">
        <v>668</v>
      </c>
      <c r="K229" t="s">
        <v>675</v>
      </c>
      <c r="L229" t="s">
        <v>682</v>
      </c>
      <c r="M229" t="s">
        <v>683</v>
      </c>
      <c r="N229" t="s">
        <v>691</v>
      </c>
      <c r="O229" t="s">
        <v>693</v>
      </c>
      <c r="P229">
        <v>12184991</v>
      </c>
      <c r="Q229">
        <v>0</v>
      </c>
      <c r="R229">
        <v>5.16</v>
      </c>
      <c r="S229" t="s">
        <v>771</v>
      </c>
      <c r="T229" t="s">
        <v>982</v>
      </c>
      <c r="U229">
        <v>2024</v>
      </c>
      <c r="V229" t="s">
        <v>996</v>
      </c>
      <c r="W229" t="s">
        <v>999</v>
      </c>
      <c r="X229" t="s">
        <v>1000</v>
      </c>
      <c r="Y229">
        <v>5</v>
      </c>
      <c r="Z229">
        <v>42</v>
      </c>
    </row>
    <row r="230" spans="1:26" x14ac:dyDescent="0.3">
      <c r="A230" t="s">
        <v>254</v>
      </c>
      <c r="B230" t="s">
        <v>589</v>
      </c>
      <c r="C230" t="s">
        <v>626</v>
      </c>
      <c r="D230">
        <v>50</v>
      </c>
      <c r="E230" t="s">
        <v>628</v>
      </c>
      <c r="F230">
        <v>391</v>
      </c>
      <c r="G230">
        <v>12312</v>
      </c>
      <c r="H230">
        <v>4813992</v>
      </c>
      <c r="I230" t="s">
        <v>648</v>
      </c>
      <c r="J230" t="s">
        <v>671</v>
      </c>
      <c r="K230" t="s">
        <v>638</v>
      </c>
      <c r="L230" t="s">
        <v>682</v>
      </c>
      <c r="M230" t="s">
        <v>683</v>
      </c>
      <c r="N230" t="s">
        <v>691</v>
      </c>
      <c r="O230" t="s">
        <v>694</v>
      </c>
      <c r="P230">
        <v>1917571</v>
      </c>
      <c r="Q230">
        <v>3</v>
      </c>
      <c r="R230">
        <v>4.1500000000000004</v>
      </c>
      <c r="S230" t="s">
        <v>865</v>
      </c>
      <c r="T230" t="s">
        <v>982</v>
      </c>
      <c r="U230">
        <v>2024</v>
      </c>
      <c r="V230" t="s">
        <v>993</v>
      </c>
      <c r="W230" t="s">
        <v>999</v>
      </c>
      <c r="X230" t="s">
        <v>1000</v>
      </c>
      <c r="Y230">
        <v>2</v>
      </c>
      <c r="Z230">
        <v>37</v>
      </c>
    </row>
    <row r="231" spans="1:26" x14ac:dyDescent="0.3">
      <c r="A231" t="s">
        <v>255</v>
      </c>
      <c r="B231" t="s">
        <v>606</v>
      </c>
      <c r="C231" t="s">
        <v>626</v>
      </c>
      <c r="D231">
        <v>31</v>
      </c>
      <c r="E231" t="s">
        <v>629</v>
      </c>
      <c r="F231">
        <v>844</v>
      </c>
      <c r="G231">
        <v>35596</v>
      </c>
      <c r="H231">
        <v>30043024</v>
      </c>
      <c r="I231" t="s">
        <v>640</v>
      </c>
      <c r="J231" t="s">
        <v>672</v>
      </c>
      <c r="K231" t="s">
        <v>638</v>
      </c>
      <c r="L231" t="s">
        <v>681</v>
      </c>
      <c r="M231" t="s">
        <v>686</v>
      </c>
      <c r="N231" t="s">
        <v>692</v>
      </c>
      <c r="O231" t="s">
        <v>693</v>
      </c>
      <c r="P231">
        <v>30043024</v>
      </c>
      <c r="Q231">
        <v>0</v>
      </c>
      <c r="R231">
        <v>8.91</v>
      </c>
      <c r="S231" t="s">
        <v>866</v>
      </c>
      <c r="T231" t="s">
        <v>987</v>
      </c>
      <c r="U231">
        <v>2024</v>
      </c>
      <c r="V231" t="s">
        <v>993</v>
      </c>
      <c r="W231" t="s">
        <v>997</v>
      </c>
      <c r="X231" t="s">
        <v>1001</v>
      </c>
      <c r="Y231">
        <v>3</v>
      </c>
      <c r="Z231">
        <v>6</v>
      </c>
    </row>
    <row r="232" spans="1:26" x14ac:dyDescent="0.3">
      <c r="A232" t="s">
        <v>256</v>
      </c>
      <c r="B232" t="s">
        <v>595</v>
      </c>
      <c r="C232" t="s">
        <v>627</v>
      </c>
      <c r="D232">
        <v>59</v>
      </c>
      <c r="E232" t="s">
        <v>629</v>
      </c>
      <c r="F232">
        <v>682</v>
      </c>
      <c r="G232">
        <v>33566</v>
      </c>
      <c r="H232">
        <v>22892012</v>
      </c>
      <c r="I232" t="s">
        <v>632</v>
      </c>
      <c r="J232" t="s">
        <v>669</v>
      </c>
      <c r="K232" t="s">
        <v>674</v>
      </c>
      <c r="L232" t="s">
        <v>682</v>
      </c>
      <c r="M232" t="s">
        <v>687</v>
      </c>
      <c r="N232" t="s">
        <v>688</v>
      </c>
      <c r="O232" t="s">
        <v>693</v>
      </c>
      <c r="P232">
        <v>22892012</v>
      </c>
      <c r="Q232">
        <v>0</v>
      </c>
      <c r="R232">
        <v>2.19</v>
      </c>
      <c r="S232" t="s">
        <v>867</v>
      </c>
      <c r="T232" t="s">
        <v>991</v>
      </c>
      <c r="U232">
        <v>2024</v>
      </c>
      <c r="V232" t="s">
        <v>994</v>
      </c>
      <c r="W232" t="s">
        <v>998</v>
      </c>
      <c r="X232" t="s">
        <v>1001</v>
      </c>
      <c r="Y232">
        <v>5</v>
      </c>
      <c r="Z232">
        <v>5</v>
      </c>
    </row>
    <row r="233" spans="1:26" x14ac:dyDescent="0.3">
      <c r="A233" t="s">
        <v>257</v>
      </c>
      <c r="B233" t="s">
        <v>564</v>
      </c>
      <c r="C233" t="s">
        <v>627</v>
      </c>
      <c r="D233">
        <v>31</v>
      </c>
      <c r="E233" t="s">
        <v>630</v>
      </c>
      <c r="F233">
        <v>335</v>
      </c>
      <c r="G233">
        <v>9115</v>
      </c>
      <c r="H233">
        <v>3053525</v>
      </c>
      <c r="I233" t="s">
        <v>632</v>
      </c>
      <c r="J233" t="s">
        <v>669</v>
      </c>
      <c r="K233" t="s">
        <v>640</v>
      </c>
      <c r="L233" t="s">
        <v>682</v>
      </c>
      <c r="M233" t="s">
        <v>686</v>
      </c>
      <c r="N233" t="s">
        <v>689</v>
      </c>
      <c r="O233" t="s">
        <v>693</v>
      </c>
      <c r="P233">
        <v>3053525</v>
      </c>
      <c r="Q233">
        <v>0</v>
      </c>
      <c r="R233">
        <v>2.02</v>
      </c>
      <c r="S233" t="s">
        <v>857</v>
      </c>
      <c r="T233" t="s">
        <v>986</v>
      </c>
      <c r="U233">
        <v>2024</v>
      </c>
      <c r="V233" t="s">
        <v>993</v>
      </c>
      <c r="W233" t="s">
        <v>999</v>
      </c>
      <c r="X233" t="s">
        <v>1002</v>
      </c>
      <c r="Y233">
        <v>2</v>
      </c>
      <c r="Z233">
        <v>39</v>
      </c>
    </row>
    <row r="234" spans="1:26" x14ac:dyDescent="0.3">
      <c r="A234" t="s">
        <v>258</v>
      </c>
      <c r="B234" t="s">
        <v>599</v>
      </c>
      <c r="C234" t="s">
        <v>626</v>
      </c>
      <c r="D234">
        <v>44</v>
      </c>
      <c r="E234" t="s">
        <v>630</v>
      </c>
      <c r="F234">
        <v>993</v>
      </c>
      <c r="G234">
        <v>46470</v>
      </c>
      <c r="H234">
        <v>46144710</v>
      </c>
      <c r="I234" t="s">
        <v>652</v>
      </c>
      <c r="J234" t="s">
        <v>672</v>
      </c>
      <c r="K234" t="s">
        <v>664</v>
      </c>
      <c r="L234" t="s">
        <v>682</v>
      </c>
      <c r="M234" t="s">
        <v>686</v>
      </c>
      <c r="N234" t="s">
        <v>689</v>
      </c>
      <c r="O234" t="s">
        <v>694</v>
      </c>
      <c r="P234">
        <v>14356230</v>
      </c>
      <c r="Q234">
        <v>24</v>
      </c>
      <c r="R234">
        <v>0.43</v>
      </c>
      <c r="S234" t="s">
        <v>868</v>
      </c>
      <c r="T234" t="s">
        <v>986</v>
      </c>
      <c r="U234">
        <v>2024</v>
      </c>
      <c r="V234" t="s">
        <v>995</v>
      </c>
      <c r="W234" t="s">
        <v>999</v>
      </c>
      <c r="X234" t="s">
        <v>1002</v>
      </c>
      <c r="Y234">
        <v>4</v>
      </c>
      <c r="Z234">
        <v>50</v>
      </c>
    </row>
    <row r="235" spans="1:26" x14ac:dyDescent="0.3">
      <c r="A235" t="s">
        <v>259</v>
      </c>
      <c r="B235" t="s">
        <v>535</v>
      </c>
      <c r="C235" t="s">
        <v>627</v>
      </c>
      <c r="D235">
        <v>53</v>
      </c>
      <c r="E235" t="s">
        <v>628</v>
      </c>
      <c r="F235">
        <v>812</v>
      </c>
      <c r="G235">
        <v>37633</v>
      </c>
      <c r="H235">
        <v>30557996</v>
      </c>
      <c r="I235" t="s">
        <v>649</v>
      </c>
      <c r="J235" t="s">
        <v>669</v>
      </c>
      <c r="K235" t="s">
        <v>677</v>
      </c>
      <c r="L235" t="s">
        <v>681</v>
      </c>
      <c r="M235" t="s">
        <v>683</v>
      </c>
      <c r="N235" t="s">
        <v>690</v>
      </c>
      <c r="O235" t="s">
        <v>694</v>
      </c>
      <c r="P235">
        <v>7844430</v>
      </c>
      <c r="Q235">
        <v>12</v>
      </c>
      <c r="R235">
        <v>7.09</v>
      </c>
      <c r="S235" t="s">
        <v>869</v>
      </c>
      <c r="T235" t="s">
        <v>988</v>
      </c>
      <c r="U235">
        <v>2024</v>
      </c>
      <c r="V235" t="s">
        <v>995</v>
      </c>
      <c r="W235" t="s">
        <v>998</v>
      </c>
      <c r="X235" t="s">
        <v>1000</v>
      </c>
      <c r="Y235">
        <v>2</v>
      </c>
      <c r="Z235">
        <v>28</v>
      </c>
    </row>
    <row r="236" spans="1:26" x14ac:dyDescent="0.3">
      <c r="A236" t="s">
        <v>260</v>
      </c>
      <c r="B236" t="s">
        <v>608</v>
      </c>
      <c r="C236" t="s">
        <v>626</v>
      </c>
      <c r="D236">
        <v>31</v>
      </c>
      <c r="E236" t="s">
        <v>630</v>
      </c>
      <c r="F236">
        <v>467</v>
      </c>
      <c r="G236">
        <v>37134</v>
      </c>
      <c r="H236">
        <v>17341578</v>
      </c>
      <c r="I236" t="s">
        <v>644</v>
      </c>
      <c r="J236" t="s">
        <v>668</v>
      </c>
      <c r="K236" t="s">
        <v>677</v>
      </c>
      <c r="L236" t="s">
        <v>682</v>
      </c>
      <c r="M236" t="s">
        <v>686</v>
      </c>
      <c r="N236" t="s">
        <v>691</v>
      </c>
      <c r="O236" t="s">
        <v>694</v>
      </c>
      <c r="P236">
        <v>6651609</v>
      </c>
      <c r="Q236">
        <v>12</v>
      </c>
      <c r="R236">
        <v>9.92</v>
      </c>
      <c r="S236" t="s">
        <v>774</v>
      </c>
      <c r="T236" t="s">
        <v>991</v>
      </c>
      <c r="U236">
        <v>2024</v>
      </c>
      <c r="V236" t="s">
        <v>994</v>
      </c>
      <c r="W236" t="s">
        <v>998</v>
      </c>
      <c r="X236" t="s">
        <v>1001</v>
      </c>
      <c r="Y236">
        <v>3</v>
      </c>
      <c r="Z236">
        <v>50</v>
      </c>
    </row>
    <row r="237" spans="1:26" x14ac:dyDescent="0.3">
      <c r="A237" t="s">
        <v>261</v>
      </c>
      <c r="B237" t="s">
        <v>615</v>
      </c>
      <c r="C237" t="s">
        <v>627</v>
      </c>
      <c r="D237">
        <v>52</v>
      </c>
      <c r="E237" t="s">
        <v>630</v>
      </c>
      <c r="F237">
        <v>875</v>
      </c>
      <c r="G237">
        <v>9804</v>
      </c>
      <c r="H237">
        <v>8578500</v>
      </c>
      <c r="I237" t="s">
        <v>633</v>
      </c>
      <c r="J237" t="s">
        <v>668</v>
      </c>
      <c r="K237" t="s">
        <v>638</v>
      </c>
      <c r="L237" t="s">
        <v>681</v>
      </c>
      <c r="M237" t="s">
        <v>686</v>
      </c>
      <c r="N237" t="s">
        <v>692</v>
      </c>
      <c r="O237" t="s">
        <v>693</v>
      </c>
      <c r="P237">
        <v>8578500</v>
      </c>
      <c r="Q237">
        <v>0</v>
      </c>
      <c r="R237">
        <v>4.47</v>
      </c>
      <c r="S237" t="s">
        <v>773</v>
      </c>
      <c r="T237" t="s">
        <v>984</v>
      </c>
      <c r="U237">
        <v>2024</v>
      </c>
      <c r="V237" t="s">
        <v>993</v>
      </c>
      <c r="W237" t="s">
        <v>999</v>
      </c>
      <c r="X237" t="s">
        <v>1002</v>
      </c>
      <c r="Y237">
        <v>1</v>
      </c>
      <c r="Z237">
        <v>6</v>
      </c>
    </row>
    <row r="238" spans="1:26" x14ac:dyDescent="0.3">
      <c r="A238" t="s">
        <v>262</v>
      </c>
      <c r="B238" t="s">
        <v>529</v>
      </c>
      <c r="C238" t="s">
        <v>627</v>
      </c>
      <c r="D238">
        <v>44</v>
      </c>
      <c r="E238" t="s">
        <v>630</v>
      </c>
      <c r="F238">
        <v>645</v>
      </c>
      <c r="G238">
        <v>7776</v>
      </c>
      <c r="H238">
        <v>5015520</v>
      </c>
      <c r="I238" t="s">
        <v>632</v>
      </c>
      <c r="J238" t="s">
        <v>669</v>
      </c>
      <c r="K238" t="s">
        <v>674</v>
      </c>
      <c r="L238" t="s">
        <v>682</v>
      </c>
      <c r="M238" t="s">
        <v>686</v>
      </c>
      <c r="N238" t="s">
        <v>690</v>
      </c>
      <c r="O238" t="s">
        <v>693</v>
      </c>
      <c r="P238">
        <v>5015520</v>
      </c>
      <c r="Q238">
        <v>0</v>
      </c>
      <c r="R238">
        <v>2.63</v>
      </c>
      <c r="S238" t="s">
        <v>870</v>
      </c>
      <c r="T238" t="s">
        <v>991</v>
      </c>
      <c r="U238">
        <v>2024</v>
      </c>
      <c r="V238" t="s">
        <v>993</v>
      </c>
      <c r="W238" t="s">
        <v>999</v>
      </c>
      <c r="X238" t="s">
        <v>1001</v>
      </c>
      <c r="Y238">
        <v>4</v>
      </c>
      <c r="Z238">
        <v>29</v>
      </c>
    </row>
    <row r="239" spans="1:26" x14ac:dyDescent="0.3">
      <c r="A239" t="s">
        <v>263</v>
      </c>
      <c r="B239" t="s">
        <v>570</v>
      </c>
      <c r="C239" t="s">
        <v>627</v>
      </c>
      <c r="D239">
        <v>63</v>
      </c>
      <c r="E239" t="s">
        <v>628</v>
      </c>
      <c r="F239">
        <v>492</v>
      </c>
      <c r="G239">
        <v>14762</v>
      </c>
      <c r="H239">
        <v>7262904</v>
      </c>
      <c r="I239" t="s">
        <v>641</v>
      </c>
      <c r="J239" t="s">
        <v>673</v>
      </c>
      <c r="K239" t="s">
        <v>675</v>
      </c>
      <c r="L239" t="s">
        <v>681</v>
      </c>
      <c r="M239" t="s">
        <v>683</v>
      </c>
      <c r="N239" t="s">
        <v>689</v>
      </c>
      <c r="O239" t="s">
        <v>693</v>
      </c>
      <c r="P239">
        <v>7262904</v>
      </c>
      <c r="Q239">
        <v>0</v>
      </c>
      <c r="R239">
        <v>7.84</v>
      </c>
      <c r="S239" t="s">
        <v>759</v>
      </c>
      <c r="T239" t="s">
        <v>986</v>
      </c>
      <c r="U239">
        <v>2024</v>
      </c>
      <c r="V239" t="s">
        <v>996</v>
      </c>
      <c r="W239" t="s">
        <v>999</v>
      </c>
      <c r="X239" t="s">
        <v>1002</v>
      </c>
      <c r="Y239">
        <v>4</v>
      </c>
      <c r="Z239">
        <v>23</v>
      </c>
    </row>
    <row r="240" spans="1:26" x14ac:dyDescent="0.3">
      <c r="A240" t="s">
        <v>264</v>
      </c>
      <c r="B240" t="s">
        <v>540</v>
      </c>
      <c r="C240" t="s">
        <v>626</v>
      </c>
      <c r="D240">
        <v>55</v>
      </c>
      <c r="E240" t="s">
        <v>629</v>
      </c>
      <c r="F240">
        <v>800</v>
      </c>
      <c r="G240">
        <v>15127</v>
      </c>
      <c r="H240">
        <v>12101600</v>
      </c>
      <c r="I240" t="s">
        <v>633</v>
      </c>
      <c r="J240" t="s">
        <v>668</v>
      </c>
      <c r="K240" t="s">
        <v>640</v>
      </c>
      <c r="L240" t="s">
        <v>681</v>
      </c>
      <c r="M240" t="s">
        <v>687</v>
      </c>
      <c r="N240" t="s">
        <v>690</v>
      </c>
      <c r="O240" t="s">
        <v>693</v>
      </c>
      <c r="P240">
        <v>12101600</v>
      </c>
      <c r="Q240">
        <v>0</v>
      </c>
      <c r="R240">
        <v>7.37</v>
      </c>
      <c r="S240" t="s">
        <v>871</v>
      </c>
      <c r="T240" t="s">
        <v>981</v>
      </c>
      <c r="U240">
        <v>2024</v>
      </c>
      <c r="V240" t="s">
        <v>996</v>
      </c>
      <c r="W240" t="s">
        <v>997</v>
      </c>
      <c r="X240" t="s">
        <v>1000</v>
      </c>
      <c r="Y240">
        <v>4</v>
      </c>
      <c r="Z240">
        <v>26</v>
      </c>
    </row>
    <row r="241" spans="1:26" x14ac:dyDescent="0.3">
      <c r="A241" t="s">
        <v>265</v>
      </c>
      <c r="B241" t="s">
        <v>532</v>
      </c>
      <c r="C241" t="s">
        <v>627</v>
      </c>
      <c r="D241">
        <v>52</v>
      </c>
      <c r="E241" t="s">
        <v>630</v>
      </c>
      <c r="F241">
        <v>379</v>
      </c>
      <c r="G241">
        <v>28681</v>
      </c>
      <c r="H241">
        <v>10870099</v>
      </c>
      <c r="I241" t="s">
        <v>638</v>
      </c>
      <c r="J241" t="s">
        <v>672</v>
      </c>
      <c r="K241" t="s">
        <v>677</v>
      </c>
      <c r="L241" t="s">
        <v>682</v>
      </c>
      <c r="M241" t="s">
        <v>686</v>
      </c>
      <c r="N241" t="s">
        <v>690</v>
      </c>
      <c r="O241" t="s">
        <v>693</v>
      </c>
      <c r="P241">
        <v>10870099</v>
      </c>
      <c r="Q241">
        <v>0</v>
      </c>
      <c r="R241">
        <v>5.59</v>
      </c>
      <c r="S241" t="s">
        <v>872</v>
      </c>
      <c r="T241" t="s">
        <v>986</v>
      </c>
      <c r="U241">
        <v>2024</v>
      </c>
      <c r="V241" t="s">
        <v>995</v>
      </c>
      <c r="W241" t="s">
        <v>998</v>
      </c>
      <c r="X241" t="s">
        <v>1001</v>
      </c>
      <c r="Y241">
        <v>4</v>
      </c>
      <c r="Z241">
        <v>50</v>
      </c>
    </row>
    <row r="242" spans="1:26" x14ac:dyDescent="0.3">
      <c r="A242" t="s">
        <v>266</v>
      </c>
      <c r="B242" t="s">
        <v>541</v>
      </c>
      <c r="C242" t="s">
        <v>627</v>
      </c>
      <c r="D242">
        <v>63</v>
      </c>
      <c r="E242" t="s">
        <v>629</v>
      </c>
      <c r="F242">
        <v>897</v>
      </c>
      <c r="G242">
        <v>32193</v>
      </c>
      <c r="H242">
        <v>28877121</v>
      </c>
      <c r="I242" t="s">
        <v>651</v>
      </c>
      <c r="J242" t="s">
        <v>669</v>
      </c>
      <c r="K242" t="s">
        <v>678</v>
      </c>
      <c r="L242" t="s">
        <v>680</v>
      </c>
      <c r="M242" t="s">
        <v>687</v>
      </c>
      <c r="N242" t="s">
        <v>691</v>
      </c>
      <c r="O242" t="s">
        <v>693</v>
      </c>
      <c r="P242">
        <v>28877121</v>
      </c>
      <c r="Q242">
        <v>0</v>
      </c>
      <c r="R242">
        <v>4.82</v>
      </c>
      <c r="S242" t="s">
        <v>873</v>
      </c>
      <c r="T242" t="s">
        <v>992</v>
      </c>
      <c r="U242">
        <v>2024</v>
      </c>
      <c r="V242" t="s">
        <v>994</v>
      </c>
      <c r="W242" t="s">
        <v>997</v>
      </c>
      <c r="X242" t="s">
        <v>1001</v>
      </c>
      <c r="Y242">
        <v>1</v>
      </c>
      <c r="Z242">
        <v>45</v>
      </c>
    </row>
    <row r="243" spans="1:26" x14ac:dyDescent="0.3">
      <c r="A243" t="s">
        <v>267</v>
      </c>
      <c r="B243" t="s">
        <v>530</v>
      </c>
      <c r="C243" t="s">
        <v>626</v>
      </c>
      <c r="D243">
        <v>31</v>
      </c>
      <c r="E243" t="s">
        <v>629</v>
      </c>
      <c r="F243">
        <v>295</v>
      </c>
      <c r="G243">
        <v>28144</v>
      </c>
      <c r="H243">
        <v>8302480</v>
      </c>
      <c r="I243" t="s">
        <v>648</v>
      </c>
      <c r="J243" t="s">
        <v>671</v>
      </c>
      <c r="K243" t="s">
        <v>677</v>
      </c>
      <c r="L243" t="s">
        <v>682</v>
      </c>
      <c r="M243" t="s">
        <v>683</v>
      </c>
      <c r="N243" t="s">
        <v>691</v>
      </c>
      <c r="O243" t="s">
        <v>694</v>
      </c>
      <c r="P243">
        <v>3041742</v>
      </c>
      <c r="Q243">
        <v>3</v>
      </c>
      <c r="R243">
        <v>1.78</v>
      </c>
      <c r="S243" t="s">
        <v>874</v>
      </c>
      <c r="T243" t="s">
        <v>982</v>
      </c>
      <c r="U243">
        <v>2024</v>
      </c>
      <c r="V243" t="s">
        <v>996</v>
      </c>
      <c r="W243" t="s">
        <v>999</v>
      </c>
      <c r="X243" t="s">
        <v>1001</v>
      </c>
      <c r="Y243">
        <v>2</v>
      </c>
      <c r="Z243">
        <v>17</v>
      </c>
    </row>
    <row r="244" spans="1:26" x14ac:dyDescent="0.3">
      <c r="A244" t="s">
        <v>268</v>
      </c>
      <c r="B244" t="s">
        <v>596</v>
      </c>
      <c r="C244" t="s">
        <v>627</v>
      </c>
      <c r="D244">
        <v>54</v>
      </c>
      <c r="E244" t="s">
        <v>628</v>
      </c>
      <c r="F244">
        <v>455</v>
      </c>
      <c r="G244">
        <v>42540</v>
      </c>
      <c r="H244">
        <v>19355700</v>
      </c>
      <c r="I244" t="s">
        <v>654</v>
      </c>
      <c r="J244" t="s">
        <v>669</v>
      </c>
      <c r="K244" t="s">
        <v>679</v>
      </c>
      <c r="L244" t="s">
        <v>681</v>
      </c>
      <c r="M244" t="s">
        <v>687</v>
      </c>
      <c r="N244" t="s">
        <v>692</v>
      </c>
      <c r="O244" t="s">
        <v>694</v>
      </c>
      <c r="P244">
        <v>8394210</v>
      </c>
      <c r="Q244">
        <v>6</v>
      </c>
      <c r="R244">
        <v>1.2</v>
      </c>
      <c r="S244" t="s">
        <v>770</v>
      </c>
      <c r="T244" t="s">
        <v>981</v>
      </c>
      <c r="U244">
        <v>2024</v>
      </c>
      <c r="V244" t="s">
        <v>994</v>
      </c>
      <c r="W244" t="s">
        <v>998</v>
      </c>
      <c r="X244" t="s">
        <v>1001</v>
      </c>
      <c r="Y244">
        <v>3</v>
      </c>
      <c r="Z244">
        <v>32</v>
      </c>
    </row>
    <row r="245" spans="1:26" x14ac:dyDescent="0.3">
      <c r="A245" t="s">
        <v>269</v>
      </c>
      <c r="B245" t="s">
        <v>580</v>
      </c>
      <c r="C245" t="s">
        <v>627</v>
      </c>
      <c r="D245">
        <v>52</v>
      </c>
      <c r="E245" t="s">
        <v>630</v>
      </c>
      <c r="F245">
        <v>607</v>
      </c>
      <c r="G245">
        <v>16555</v>
      </c>
      <c r="H245">
        <v>10048885</v>
      </c>
      <c r="I245" t="s">
        <v>656</v>
      </c>
      <c r="J245" t="s">
        <v>669</v>
      </c>
      <c r="K245" t="s">
        <v>677</v>
      </c>
      <c r="L245" t="s">
        <v>681</v>
      </c>
      <c r="M245" t="s">
        <v>683</v>
      </c>
      <c r="N245" t="s">
        <v>691</v>
      </c>
      <c r="O245" t="s">
        <v>693</v>
      </c>
      <c r="P245">
        <v>10048885</v>
      </c>
      <c r="Q245">
        <v>0</v>
      </c>
      <c r="R245">
        <v>0.54</v>
      </c>
      <c r="S245" t="s">
        <v>807</v>
      </c>
      <c r="T245" t="s">
        <v>989</v>
      </c>
      <c r="U245">
        <v>2024</v>
      </c>
      <c r="V245" t="s">
        <v>993</v>
      </c>
      <c r="W245" t="s">
        <v>997</v>
      </c>
      <c r="X245" t="s">
        <v>1001</v>
      </c>
      <c r="Y245">
        <v>4</v>
      </c>
      <c r="Z245">
        <v>21</v>
      </c>
    </row>
    <row r="246" spans="1:26" x14ac:dyDescent="0.3">
      <c r="A246" t="s">
        <v>270</v>
      </c>
      <c r="B246" t="s">
        <v>567</v>
      </c>
      <c r="C246" t="s">
        <v>626</v>
      </c>
      <c r="D246">
        <v>35</v>
      </c>
      <c r="E246" t="s">
        <v>630</v>
      </c>
      <c r="F246">
        <v>890</v>
      </c>
      <c r="G246">
        <v>15811</v>
      </c>
      <c r="H246">
        <v>14071790</v>
      </c>
      <c r="I246" t="s">
        <v>631</v>
      </c>
      <c r="J246" t="s">
        <v>668</v>
      </c>
      <c r="K246" t="s">
        <v>664</v>
      </c>
      <c r="L246" t="s">
        <v>681</v>
      </c>
      <c r="M246" t="s">
        <v>686</v>
      </c>
      <c r="N246" t="s">
        <v>690</v>
      </c>
      <c r="O246" t="s">
        <v>694</v>
      </c>
      <c r="P246">
        <v>4188199</v>
      </c>
      <c r="Q246">
        <v>3</v>
      </c>
      <c r="R246">
        <v>6.13</v>
      </c>
      <c r="S246" t="s">
        <v>873</v>
      </c>
      <c r="T246" t="s">
        <v>992</v>
      </c>
      <c r="U246">
        <v>2024</v>
      </c>
      <c r="V246" t="s">
        <v>994</v>
      </c>
      <c r="W246" t="s">
        <v>999</v>
      </c>
      <c r="X246" t="s">
        <v>1002</v>
      </c>
      <c r="Y246">
        <v>4</v>
      </c>
      <c r="Z246">
        <v>14</v>
      </c>
    </row>
    <row r="247" spans="1:26" x14ac:dyDescent="0.3">
      <c r="A247" t="s">
        <v>271</v>
      </c>
      <c r="B247" t="s">
        <v>616</v>
      </c>
      <c r="C247" t="s">
        <v>626</v>
      </c>
      <c r="D247">
        <v>35</v>
      </c>
      <c r="E247" t="s">
        <v>629</v>
      </c>
      <c r="F247">
        <v>573</v>
      </c>
      <c r="G247">
        <v>28253</v>
      </c>
      <c r="H247">
        <v>16188969</v>
      </c>
      <c r="I247" t="s">
        <v>634</v>
      </c>
      <c r="J247" t="s">
        <v>670</v>
      </c>
      <c r="K247" t="s">
        <v>651</v>
      </c>
      <c r="L247" t="s">
        <v>681</v>
      </c>
      <c r="M247" t="s">
        <v>684</v>
      </c>
      <c r="N247" t="s">
        <v>688</v>
      </c>
      <c r="O247" t="s">
        <v>694</v>
      </c>
      <c r="P247">
        <v>4111460</v>
      </c>
      <c r="Q247">
        <v>24</v>
      </c>
      <c r="R247">
        <v>1.31</v>
      </c>
      <c r="S247" t="s">
        <v>875</v>
      </c>
      <c r="T247" t="s">
        <v>985</v>
      </c>
      <c r="U247">
        <v>2024</v>
      </c>
      <c r="V247" t="s">
        <v>996</v>
      </c>
      <c r="W247" t="s">
        <v>997</v>
      </c>
      <c r="X247" t="s">
        <v>1000</v>
      </c>
      <c r="Y247">
        <v>4</v>
      </c>
      <c r="Z247">
        <v>1</v>
      </c>
    </row>
    <row r="248" spans="1:26" x14ac:dyDescent="0.3">
      <c r="A248" t="s">
        <v>272</v>
      </c>
      <c r="B248" t="s">
        <v>576</v>
      </c>
      <c r="C248" t="s">
        <v>627</v>
      </c>
      <c r="D248">
        <v>64</v>
      </c>
      <c r="E248" t="s">
        <v>628</v>
      </c>
      <c r="F248">
        <v>337</v>
      </c>
      <c r="G248">
        <v>43330</v>
      </c>
      <c r="H248">
        <v>14602210</v>
      </c>
      <c r="I248" t="s">
        <v>632</v>
      </c>
      <c r="J248" t="s">
        <v>669</v>
      </c>
      <c r="K248" t="s">
        <v>678</v>
      </c>
      <c r="L248" t="s">
        <v>680</v>
      </c>
      <c r="M248" t="s">
        <v>683</v>
      </c>
      <c r="N248" t="s">
        <v>690</v>
      </c>
      <c r="O248" t="s">
        <v>694</v>
      </c>
      <c r="P248">
        <v>4234791</v>
      </c>
      <c r="Q248">
        <v>24</v>
      </c>
      <c r="R248">
        <v>5.62</v>
      </c>
      <c r="S248" t="s">
        <v>699</v>
      </c>
      <c r="T248" t="s">
        <v>985</v>
      </c>
      <c r="U248">
        <v>2024</v>
      </c>
      <c r="V248" t="s">
        <v>995</v>
      </c>
      <c r="W248" t="s">
        <v>997</v>
      </c>
      <c r="X248" t="s">
        <v>1000</v>
      </c>
      <c r="Y248">
        <v>4</v>
      </c>
      <c r="Z248">
        <v>48</v>
      </c>
    </row>
    <row r="249" spans="1:26" x14ac:dyDescent="0.3">
      <c r="A249" t="s">
        <v>273</v>
      </c>
      <c r="B249" t="s">
        <v>550</v>
      </c>
      <c r="C249" t="s">
        <v>627</v>
      </c>
      <c r="D249">
        <v>38</v>
      </c>
      <c r="E249" t="s">
        <v>630</v>
      </c>
      <c r="F249">
        <v>568</v>
      </c>
      <c r="G249">
        <v>38723</v>
      </c>
      <c r="H249">
        <v>21994664</v>
      </c>
      <c r="I249" t="s">
        <v>657</v>
      </c>
      <c r="J249" t="s">
        <v>671</v>
      </c>
      <c r="K249" t="s">
        <v>651</v>
      </c>
      <c r="L249" t="s">
        <v>681</v>
      </c>
      <c r="M249" t="s">
        <v>686</v>
      </c>
      <c r="N249" t="s">
        <v>691</v>
      </c>
      <c r="O249" t="s">
        <v>694</v>
      </c>
      <c r="P249">
        <v>4529814</v>
      </c>
      <c r="Q249">
        <v>12</v>
      </c>
      <c r="R249">
        <v>1.21</v>
      </c>
      <c r="S249" t="s">
        <v>876</v>
      </c>
      <c r="T249" t="s">
        <v>984</v>
      </c>
      <c r="U249">
        <v>2024</v>
      </c>
      <c r="V249" t="s">
        <v>995</v>
      </c>
      <c r="W249" t="s">
        <v>999</v>
      </c>
      <c r="X249" t="s">
        <v>1002</v>
      </c>
      <c r="Y249">
        <v>5</v>
      </c>
      <c r="Z249">
        <v>19</v>
      </c>
    </row>
    <row r="250" spans="1:26" x14ac:dyDescent="0.3">
      <c r="A250" t="s">
        <v>274</v>
      </c>
      <c r="B250" t="s">
        <v>556</v>
      </c>
      <c r="C250" t="s">
        <v>626</v>
      </c>
      <c r="D250">
        <v>34</v>
      </c>
      <c r="E250" t="s">
        <v>630</v>
      </c>
      <c r="F250">
        <v>371</v>
      </c>
      <c r="G250">
        <v>43981</v>
      </c>
      <c r="H250">
        <v>16316951</v>
      </c>
      <c r="I250" t="s">
        <v>634</v>
      </c>
      <c r="J250" t="s">
        <v>670</v>
      </c>
      <c r="K250" t="s">
        <v>638</v>
      </c>
      <c r="L250" t="s">
        <v>681</v>
      </c>
      <c r="M250" t="s">
        <v>687</v>
      </c>
      <c r="N250" t="s">
        <v>690</v>
      </c>
      <c r="O250" t="s">
        <v>694</v>
      </c>
      <c r="P250">
        <v>6353527</v>
      </c>
      <c r="Q250">
        <v>24</v>
      </c>
      <c r="R250">
        <v>5.72</v>
      </c>
      <c r="S250" t="s">
        <v>877</v>
      </c>
      <c r="T250" t="s">
        <v>981</v>
      </c>
      <c r="U250">
        <v>2024</v>
      </c>
      <c r="V250" t="s">
        <v>995</v>
      </c>
      <c r="W250" t="s">
        <v>998</v>
      </c>
      <c r="X250" t="s">
        <v>1002</v>
      </c>
      <c r="Y250">
        <v>3</v>
      </c>
      <c r="Z250">
        <v>48</v>
      </c>
    </row>
    <row r="251" spans="1:26" x14ac:dyDescent="0.3">
      <c r="A251" t="s">
        <v>275</v>
      </c>
      <c r="B251" t="s">
        <v>546</v>
      </c>
      <c r="C251" t="s">
        <v>627</v>
      </c>
      <c r="D251">
        <v>33</v>
      </c>
      <c r="E251" t="s">
        <v>628</v>
      </c>
      <c r="F251">
        <v>623</v>
      </c>
      <c r="G251">
        <v>12965</v>
      </c>
      <c r="H251">
        <v>8077195</v>
      </c>
      <c r="I251" t="s">
        <v>665</v>
      </c>
      <c r="J251" t="s">
        <v>672</v>
      </c>
      <c r="K251" t="s">
        <v>678</v>
      </c>
      <c r="L251" t="s">
        <v>681</v>
      </c>
      <c r="M251" t="s">
        <v>685</v>
      </c>
      <c r="N251" t="s">
        <v>689</v>
      </c>
      <c r="O251" t="s">
        <v>693</v>
      </c>
      <c r="P251">
        <v>8077195</v>
      </c>
      <c r="Q251">
        <v>0</v>
      </c>
      <c r="R251">
        <v>8.5399999999999991</v>
      </c>
      <c r="S251" t="s">
        <v>878</v>
      </c>
      <c r="T251" t="s">
        <v>987</v>
      </c>
      <c r="U251">
        <v>2024</v>
      </c>
      <c r="V251" t="s">
        <v>993</v>
      </c>
      <c r="W251" t="s">
        <v>998</v>
      </c>
      <c r="X251" t="s">
        <v>1001</v>
      </c>
      <c r="Y251">
        <v>1</v>
      </c>
      <c r="Z251">
        <v>2</v>
      </c>
    </row>
    <row r="252" spans="1:26" x14ac:dyDescent="0.3">
      <c r="A252" t="s">
        <v>276</v>
      </c>
      <c r="B252" t="s">
        <v>609</v>
      </c>
      <c r="C252" t="s">
        <v>627</v>
      </c>
      <c r="D252">
        <v>38</v>
      </c>
      <c r="E252" t="s">
        <v>630</v>
      </c>
      <c r="F252">
        <v>306</v>
      </c>
      <c r="G252">
        <v>19200</v>
      </c>
      <c r="H252">
        <v>5875200</v>
      </c>
      <c r="I252" t="s">
        <v>647</v>
      </c>
      <c r="J252" t="s">
        <v>670</v>
      </c>
      <c r="K252" t="s">
        <v>676</v>
      </c>
      <c r="L252" t="s">
        <v>682</v>
      </c>
      <c r="M252" t="s">
        <v>683</v>
      </c>
      <c r="N252" t="s">
        <v>688</v>
      </c>
      <c r="O252" t="s">
        <v>693</v>
      </c>
      <c r="P252">
        <v>5875200</v>
      </c>
      <c r="Q252">
        <v>0</v>
      </c>
      <c r="R252">
        <v>0.84</v>
      </c>
      <c r="S252" t="s">
        <v>721</v>
      </c>
      <c r="T252" t="s">
        <v>991</v>
      </c>
      <c r="U252">
        <v>2024</v>
      </c>
      <c r="V252" t="s">
        <v>996</v>
      </c>
      <c r="W252" t="s">
        <v>999</v>
      </c>
      <c r="X252" t="s">
        <v>1000</v>
      </c>
      <c r="Y252">
        <v>3</v>
      </c>
      <c r="Z252">
        <v>21</v>
      </c>
    </row>
    <row r="253" spans="1:26" x14ac:dyDescent="0.3">
      <c r="A253" t="s">
        <v>277</v>
      </c>
      <c r="B253" t="s">
        <v>573</v>
      </c>
      <c r="C253" t="s">
        <v>626</v>
      </c>
      <c r="D253">
        <v>60</v>
      </c>
      <c r="E253" t="s">
        <v>629</v>
      </c>
      <c r="F253">
        <v>478</v>
      </c>
      <c r="G253">
        <v>37949</v>
      </c>
      <c r="H253">
        <v>18139622</v>
      </c>
      <c r="I253" t="s">
        <v>666</v>
      </c>
      <c r="J253" t="s">
        <v>670</v>
      </c>
      <c r="K253" t="s">
        <v>675</v>
      </c>
      <c r="L253" t="s">
        <v>682</v>
      </c>
      <c r="M253" t="s">
        <v>686</v>
      </c>
      <c r="N253" t="s">
        <v>691</v>
      </c>
      <c r="O253" t="s">
        <v>694</v>
      </c>
      <c r="P253">
        <v>8904063</v>
      </c>
      <c r="Q253">
        <v>6</v>
      </c>
      <c r="R253">
        <v>6.98</v>
      </c>
      <c r="S253" t="s">
        <v>879</v>
      </c>
      <c r="T253" t="s">
        <v>987</v>
      </c>
      <c r="U253">
        <v>2024</v>
      </c>
      <c r="V253" t="s">
        <v>994</v>
      </c>
      <c r="W253" t="s">
        <v>998</v>
      </c>
      <c r="X253" t="s">
        <v>1002</v>
      </c>
      <c r="Y253">
        <v>5</v>
      </c>
      <c r="Z253">
        <v>15</v>
      </c>
    </row>
    <row r="254" spans="1:26" x14ac:dyDescent="0.3">
      <c r="A254" t="s">
        <v>278</v>
      </c>
      <c r="B254" t="s">
        <v>585</v>
      </c>
      <c r="C254" t="s">
        <v>626</v>
      </c>
      <c r="D254">
        <v>54</v>
      </c>
      <c r="E254" t="s">
        <v>628</v>
      </c>
      <c r="F254">
        <v>574</v>
      </c>
      <c r="G254">
        <v>29014</v>
      </c>
      <c r="H254">
        <v>16654036</v>
      </c>
      <c r="I254" t="s">
        <v>661</v>
      </c>
      <c r="J254" t="s">
        <v>673</v>
      </c>
      <c r="K254" t="s">
        <v>677</v>
      </c>
      <c r="L254" t="s">
        <v>682</v>
      </c>
      <c r="M254" t="s">
        <v>684</v>
      </c>
      <c r="N254" t="s">
        <v>691</v>
      </c>
      <c r="O254" t="s">
        <v>694</v>
      </c>
      <c r="P254">
        <v>4847521</v>
      </c>
      <c r="Q254">
        <v>6</v>
      </c>
      <c r="R254">
        <v>0</v>
      </c>
      <c r="S254" t="s">
        <v>880</v>
      </c>
      <c r="T254" t="s">
        <v>987</v>
      </c>
      <c r="U254">
        <v>2024</v>
      </c>
      <c r="V254" t="s">
        <v>994</v>
      </c>
      <c r="W254" t="s">
        <v>999</v>
      </c>
      <c r="X254" t="s">
        <v>1002</v>
      </c>
      <c r="Y254">
        <v>3</v>
      </c>
      <c r="Z254">
        <v>39</v>
      </c>
    </row>
    <row r="255" spans="1:26" x14ac:dyDescent="0.3">
      <c r="A255" t="s">
        <v>279</v>
      </c>
      <c r="B255" t="s">
        <v>617</v>
      </c>
      <c r="C255" t="s">
        <v>627</v>
      </c>
      <c r="D255">
        <v>36</v>
      </c>
      <c r="E255" t="s">
        <v>628</v>
      </c>
      <c r="F255">
        <v>582</v>
      </c>
      <c r="G255">
        <v>14358</v>
      </c>
      <c r="H255">
        <v>8356356</v>
      </c>
      <c r="I255" t="s">
        <v>649</v>
      </c>
      <c r="J255" t="s">
        <v>669</v>
      </c>
      <c r="K255" t="s">
        <v>675</v>
      </c>
      <c r="L255" t="s">
        <v>681</v>
      </c>
      <c r="M255" t="s">
        <v>683</v>
      </c>
      <c r="N255" t="s">
        <v>692</v>
      </c>
      <c r="O255" t="s">
        <v>694</v>
      </c>
      <c r="P255">
        <v>2660878</v>
      </c>
      <c r="Q255">
        <v>24</v>
      </c>
      <c r="R255">
        <v>1.63</v>
      </c>
      <c r="S255" t="s">
        <v>824</v>
      </c>
      <c r="T255" t="s">
        <v>983</v>
      </c>
      <c r="U255">
        <v>2024</v>
      </c>
      <c r="V255" t="s">
        <v>994</v>
      </c>
      <c r="W255" t="s">
        <v>998</v>
      </c>
      <c r="X255" t="s">
        <v>1001</v>
      </c>
      <c r="Y255">
        <v>5</v>
      </c>
      <c r="Z255">
        <v>18</v>
      </c>
    </row>
    <row r="256" spans="1:26" x14ac:dyDescent="0.3">
      <c r="A256" t="s">
        <v>280</v>
      </c>
      <c r="B256" t="s">
        <v>536</v>
      </c>
      <c r="C256" t="s">
        <v>627</v>
      </c>
      <c r="D256">
        <v>40</v>
      </c>
      <c r="E256" t="s">
        <v>628</v>
      </c>
      <c r="F256">
        <v>386</v>
      </c>
      <c r="G256">
        <v>10953</v>
      </c>
      <c r="H256">
        <v>4227858</v>
      </c>
      <c r="I256" t="s">
        <v>650</v>
      </c>
      <c r="J256" t="s">
        <v>670</v>
      </c>
      <c r="K256" t="s">
        <v>676</v>
      </c>
      <c r="L256" t="s">
        <v>680</v>
      </c>
      <c r="M256" t="s">
        <v>685</v>
      </c>
      <c r="N256" t="s">
        <v>692</v>
      </c>
      <c r="O256" t="s">
        <v>694</v>
      </c>
      <c r="P256">
        <v>1653379</v>
      </c>
      <c r="Q256">
        <v>3</v>
      </c>
      <c r="R256">
        <v>6.18</v>
      </c>
      <c r="S256" t="s">
        <v>881</v>
      </c>
      <c r="T256" t="s">
        <v>992</v>
      </c>
      <c r="U256">
        <v>2024</v>
      </c>
      <c r="V256" t="s">
        <v>993</v>
      </c>
      <c r="W256" t="s">
        <v>999</v>
      </c>
      <c r="X256" t="s">
        <v>1000</v>
      </c>
      <c r="Y256">
        <v>3</v>
      </c>
      <c r="Z256">
        <v>18</v>
      </c>
    </row>
    <row r="257" spans="1:26" x14ac:dyDescent="0.3">
      <c r="A257" t="s">
        <v>281</v>
      </c>
      <c r="B257" t="s">
        <v>618</v>
      </c>
      <c r="C257" t="s">
        <v>626</v>
      </c>
      <c r="D257">
        <v>51</v>
      </c>
      <c r="E257" t="s">
        <v>630</v>
      </c>
      <c r="F257">
        <v>438</v>
      </c>
      <c r="G257">
        <v>7911</v>
      </c>
      <c r="H257">
        <v>3465018</v>
      </c>
      <c r="I257" t="s">
        <v>632</v>
      </c>
      <c r="J257" t="s">
        <v>669</v>
      </c>
      <c r="K257" t="s">
        <v>664</v>
      </c>
      <c r="L257" t="s">
        <v>681</v>
      </c>
      <c r="M257" t="s">
        <v>685</v>
      </c>
      <c r="N257" t="s">
        <v>690</v>
      </c>
      <c r="O257" t="s">
        <v>693</v>
      </c>
      <c r="P257">
        <v>3465018</v>
      </c>
      <c r="Q257">
        <v>0</v>
      </c>
      <c r="R257">
        <v>0.15</v>
      </c>
      <c r="S257" t="s">
        <v>882</v>
      </c>
      <c r="T257" t="s">
        <v>990</v>
      </c>
      <c r="U257">
        <v>2024</v>
      </c>
      <c r="V257" t="s">
        <v>993</v>
      </c>
      <c r="W257" t="s">
        <v>999</v>
      </c>
      <c r="X257" t="s">
        <v>1000</v>
      </c>
      <c r="Y257">
        <v>3</v>
      </c>
      <c r="Z257">
        <v>50</v>
      </c>
    </row>
    <row r="258" spans="1:26" x14ac:dyDescent="0.3">
      <c r="A258" t="s">
        <v>282</v>
      </c>
      <c r="B258" t="s">
        <v>538</v>
      </c>
      <c r="C258" t="s">
        <v>627</v>
      </c>
      <c r="D258">
        <v>65</v>
      </c>
      <c r="E258" t="s">
        <v>628</v>
      </c>
      <c r="F258">
        <v>681</v>
      </c>
      <c r="G258">
        <v>13901</v>
      </c>
      <c r="H258">
        <v>9466581</v>
      </c>
      <c r="I258" t="s">
        <v>663</v>
      </c>
      <c r="J258" t="s">
        <v>670</v>
      </c>
      <c r="K258" t="s">
        <v>675</v>
      </c>
      <c r="L258" t="s">
        <v>681</v>
      </c>
      <c r="M258" t="s">
        <v>684</v>
      </c>
      <c r="N258" t="s">
        <v>688</v>
      </c>
      <c r="O258" t="s">
        <v>693</v>
      </c>
      <c r="P258">
        <v>9466581</v>
      </c>
      <c r="Q258">
        <v>0</v>
      </c>
      <c r="R258">
        <v>8.9600000000000009</v>
      </c>
      <c r="S258" t="s">
        <v>883</v>
      </c>
      <c r="T258" t="s">
        <v>992</v>
      </c>
      <c r="U258">
        <v>2024</v>
      </c>
      <c r="V258" t="s">
        <v>993</v>
      </c>
      <c r="W258" t="s">
        <v>999</v>
      </c>
      <c r="X258" t="s">
        <v>1002</v>
      </c>
      <c r="Y258">
        <v>1</v>
      </c>
      <c r="Z258">
        <v>34</v>
      </c>
    </row>
    <row r="259" spans="1:26" x14ac:dyDescent="0.3">
      <c r="A259" t="s">
        <v>283</v>
      </c>
      <c r="B259" t="s">
        <v>526</v>
      </c>
      <c r="C259" t="s">
        <v>626</v>
      </c>
      <c r="D259">
        <v>50</v>
      </c>
      <c r="E259" t="s">
        <v>629</v>
      </c>
      <c r="F259">
        <v>598</v>
      </c>
      <c r="G259">
        <v>46659</v>
      </c>
      <c r="H259">
        <v>27902082</v>
      </c>
      <c r="I259" t="s">
        <v>653</v>
      </c>
      <c r="J259" t="s">
        <v>668</v>
      </c>
      <c r="K259" t="s">
        <v>678</v>
      </c>
      <c r="L259" t="s">
        <v>681</v>
      </c>
      <c r="M259" t="s">
        <v>683</v>
      </c>
      <c r="N259" t="s">
        <v>690</v>
      </c>
      <c r="O259" t="s">
        <v>694</v>
      </c>
      <c r="P259">
        <v>6908093</v>
      </c>
      <c r="Q259">
        <v>12</v>
      </c>
      <c r="R259">
        <v>7.28</v>
      </c>
      <c r="S259" t="s">
        <v>728</v>
      </c>
      <c r="T259" t="s">
        <v>985</v>
      </c>
      <c r="U259">
        <v>2024</v>
      </c>
      <c r="V259" t="s">
        <v>993</v>
      </c>
      <c r="W259" t="s">
        <v>997</v>
      </c>
      <c r="X259" t="s">
        <v>1000</v>
      </c>
      <c r="Y259">
        <v>1</v>
      </c>
      <c r="Z259">
        <v>16</v>
      </c>
    </row>
    <row r="260" spans="1:26" x14ac:dyDescent="0.3">
      <c r="A260" t="s">
        <v>284</v>
      </c>
      <c r="B260" t="s">
        <v>536</v>
      </c>
      <c r="C260" t="s">
        <v>627</v>
      </c>
      <c r="D260">
        <v>43</v>
      </c>
      <c r="E260" t="s">
        <v>628</v>
      </c>
      <c r="F260">
        <v>215</v>
      </c>
      <c r="G260">
        <v>12968</v>
      </c>
      <c r="H260">
        <v>2788120</v>
      </c>
      <c r="I260" t="s">
        <v>633</v>
      </c>
      <c r="J260" t="s">
        <v>668</v>
      </c>
      <c r="K260" t="s">
        <v>651</v>
      </c>
      <c r="L260" t="s">
        <v>680</v>
      </c>
      <c r="M260" t="s">
        <v>683</v>
      </c>
      <c r="N260" t="s">
        <v>691</v>
      </c>
      <c r="O260" t="s">
        <v>694</v>
      </c>
      <c r="P260">
        <v>888692</v>
      </c>
      <c r="Q260">
        <v>3</v>
      </c>
      <c r="R260">
        <v>2.4300000000000002</v>
      </c>
      <c r="S260" t="s">
        <v>884</v>
      </c>
      <c r="T260" t="s">
        <v>988</v>
      </c>
      <c r="U260">
        <v>2024</v>
      </c>
      <c r="V260" t="s">
        <v>993</v>
      </c>
      <c r="W260" t="s">
        <v>997</v>
      </c>
      <c r="X260" t="s">
        <v>1001</v>
      </c>
      <c r="Y260">
        <v>3</v>
      </c>
      <c r="Z260">
        <v>49</v>
      </c>
    </row>
    <row r="261" spans="1:26" x14ac:dyDescent="0.3">
      <c r="A261" t="s">
        <v>285</v>
      </c>
      <c r="B261" t="s">
        <v>548</v>
      </c>
      <c r="C261" t="s">
        <v>627</v>
      </c>
      <c r="D261">
        <v>40</v>
      </c>
      <c r="E261" t="s">
        <v>629</v>
      </c>
      <c r="F261">
        <v>564</v>
      </c>
      <c r="G261">
        <v>44242</v>
      </c>
      <c r="H261">
        <v>24952488</v>
      </c>
      <c r="I261" t="s">
        <v>631</v>
      </c>
      <c r="J261" t="s">
        <v>668</v>
      </c>
      <c r="K261" t="s">
        <v>664</v>
      </c>
      <c r="L261" t="s">
        <v>682</v>
      </c>
      <c r="M261" t="s">
        <v>687</v>
      </c>
      <c r="N261" t="s">
        <v>691</v>
      </c>
      <c r="O261" t="s">
        <v>693</v>
      </c>
      <c r="P261">
        <v>24952488</v>
      </c>
      <c r="Q261">
        <v>0</v>
      </c>
      <c r="R261">
        <v>7.01</v>
      </c>
      <c r="S261" t="s">
        <v>885</v>
      </c>
      <c r="T261" t="s">
        <v>981</v>
      </c>
      <c r="U261">
        <v>2024</v>
      </c>
      <c r="V261" t="s">
        <v>996</v>
      </c>
      <c r="W261" t="s">
        <v>999</v>
      </c>
      <c r="X261" t="s">
        <v>1001</v>
      </c>
      <c r="Y261">
        <v>4</v>
      </c>
      <c r="Z261">
        <v>23</v>
      </c>
    </row>
    <row r="262" spans="1:26" x14ac:dyDescent="0.3">
      <c r="A262" t="s">
        <v>286</v>
      </c>
      <c r="B262" t="s">
        <v>567</v>
      </c>
      <c r="C262" t="s">
        <v>626</v>
      </c>
      <c r="D262">
        <v>40</v>
      </c>
      <c r="E262" t="s">
        <v>629</v>
      </c>
      <c r="F262">
        <v>240</v>
      </c>
      <c r="G262">
        <v>33804</v>
      </c>
      <c r="H262">
        <v>8112960</v>
      </c>
      <c r="I262" t="s">
        <v>653</v>
      </c>
      <c r="J262" t="s">
        <v>668</v>
      </c>
      <c r="K262" t="s">
        <v>677</v>
      </c>
      <c r="L262" t="s">
        <v>681</v>
      </c>
      <c r="M262" t="s">
        <v>687</v>
      </c>
      <c r="N262" t="s">
        <v>692</v>
      </c>
      <c r="O262" t="s">
        <v>694</v>
      </c>
      <c r="P262">
        <v>2943546</v>
      </c>
      <c r="Q262">
        <v>12</v>
      </c>
      <c r="R262">
        <v>4.9000000000000004</v>
      </c>
      <c r="S262" t="s">
        <v>699</v>
      </c>
      <c r="T262" t="s">
        <v>985</v>
      </c>
      <c r="U262">
        <v>2024</v>
      </c>
      <c r="V262" t="s">
        <v>996</v>
      </c>
      <c r="W262" t="s">
        <v>999</v>
      </c>
      <c r="X262" t="s">
        <v>1001</v>
      </c>
      <c r="Y262">
        <v>2</v>
      </c>
      <c r="Z262">
        <v>29</v>
      </c>
    </row>
    <row r="263" spans="1:26" x14ac:dyDescent="0.3">
      <c r="A263" t="s">
        <v>287</v>
      </c>
      <c r="B263" t="s">
        <v>564</v>
      </c>
      <c r="C263" t="s">
        <v>627</v>
      </c>
      <c r="D263">
        <v>59</v>
      </c>
      <c r="E263" t="s">
        <v>630</v>
      </c>
      <c r="F263">
        <v>575</v>
      </c>
      <c r="G263">
        <v>31758</v>
      </c>
      <c r="H263">
        <v>18260850</v>
      </c>
      <c r="I263" t="s">
        <v>657</v>
      </c>
      <c r="J263" t="s">
        <v>671</v>
      </c>
      <c r="K263" t="s">
        <v>675</v>
      </c>
      <c r="L263" t="s">
        <v>682</v>
      </c>
      <c r="M263" t="s">
        <v>683</v>
      </c>
      <c r="N263" t="s">
        <v>690</v>
      </c>
      <c r="O263" t="s">
        <v>693</v>
      </c>
      <c r="P263">
        <v>18260850</v>
      </c>
      <c r="Q263">
        <v>0</v>
      </c>
      <c r="R263">
        <v>7.76</v>
      </c>
      <c r="S263" t="s">
        <v>886</v>
      </c>
      <c r="T263" t="s">
        <v>986</v>
      </c>
      <c r="U263">
        <v>2024</v>
      </c>
      <c r="V263" t="s">
        <v>993</v>
      </c>
      <c r="W263" t="s">
        <v>997</v>
      </c>
      <c r="X263" t="s">
        <v>1001</v>
      </c>
      <c r="Y263">
        <v>4</v>
      </c>
      <c r="Z263">
        <v>13</v>
      </c>
    </row>
    <row r="264" spans="1:26" x14ac:dyDescent="0.3">
      <c r="A264" t="s">
        <v>288</v>
      </c>
      <c r="B264" t="s">
        <v>600</v>
      </c>
      <c r="C264" t="s">
        <v>627</v>
      </c>
      <c r="D264">
        <v>26</v>
      </c>
      <c r="E264" t="s">
        <v>629</v>
      </c>
      <c r="F264">
        <v>984</v>
      </c>
      <c r="G264">
        <v>38140</v>
      </c>
      <c r="H264">
        <v>37529760</v>
      </c>
      <c r="I264" t="s">
        <v>655</v>
      </c>
      <c r="J264" t="s">
        <v>672</v>
      </c>
      <c r="K264" t="s">
        <v>678</v>
      </c>
      <c r="L264" t="s">
        <v>682</v>
      </c>
      <c r="M264" t="s">
        <v>685</v>
      </c>
      <c r="N264" t="s">
        <v>689</v>
      </c>
      <c r="O264" t="s">
        <v>693</v>
      </c>
      <c r="P264">
        <v>37529760</v>
      </c>
      <c r="Q264">
        <v>0</v>
      </c>
      <c r="R264">
        <v>6.13</v>
      </c>
      <c r="S264" t="s">
        <v>887</v>
      </c>
      <c r="T264" t="s">
        <v>982</v>
      </c>
      <c r="U264">
        <v>2024</v>
      </c>
      <c r="V264" t="s">
        <v>996</v>
      </c>
      <c r="W264" t="s">
        <v>999</v>
      </c>
      <c r="X264" t="s">
        <v>1000</v>
      </c>
      <c r="Y264">
        <v>2</v>
      </c>
      <c r="Z264">
        <v>7</v>
      </c>
    </row>
    <row r="265" spans="1:26" x14ac:dyDescent="0.3">
      <c r="A265" t="s">
        <v>289</v>
      </c>
      <c r="B265" t="s">
        <v>603</v>
      </c>
      <c r="C265" t="s">
        <v>627</v>
      </c>
      <c r="D265">
        <v>58</v>
      </c>
      <c r="E265" t="s">
        <v>629</v>
      </c>
      <c r="F265">
        <v>232</v>
      </c>
      <c r="G265">
        <v>39421</v>
      </c>
      <c r="H265">
        <v>9145672</v>
      </c>
      <c r="I265" t="s">
        <v>650</v>
      </c>
      <c r="J265" t="s">
        <v>670</v>
      </c>
      <c r="K265" t="s">
        <v>676</v>
      </c>
      <c r="L265" t="s">
        <v>680</v>
      </c>
      <c r="M265" t="s">
        <v>685</v>
      </c>
      <c r="N265" t="s">
        <v>688</v>
      </c>
      <c r="O265" t="s">
        <v>694</v>
      </c>
      <c r="P265">
        <v>3271831</v>
      </c>
      <c r="Q265">
        <v>24</v>
      </c>
      <c r="R265">
        <v>7.01</v>
      </c>
      <c r="S265" t="s">
        <v>888</v>
      </c>
      <c r="T265" t="s">
        <v>992</v>
      </c>
      <c r="U265">
        <v>2024</v>
      </c>
      <c r="V265" t="s">
        <v>995</v>
      </c>
      <c r="W265" t="s">
        <v>999</v>
      </c>
      <c r="X265" t="s">
        <v>1002</v>
      </c>
      <c r="Y265">
        <v>1</v>
      </c>
      <c r="Z265">
        <v>24</v>
      </c>
    </row>
    <row r="266" spans="1:26" x14ac:dyDescent="0.3">
      <c r="A266" t="s">
        <v>290</v>
      </c>
      <c r="B266" t="s">
        <v>563</v>
      </c>
      <c r="C266" t="s">
        <v>627</v>
      </c>
      <c r="D266">
        <v>39</v>
      </c>
      <c r="E266" t="s">
        <v>628</v>
      </c>
      <c r="F266">
        <v>577</v>
      </c>
      <c r="G266">
        <v>48427</v>
      </c>
      <c r="H266">
        <v>27942379</v>
      </c>
      <c r="I266" t="s">
        <v>655</v>
      </c>
      <c r="J266" t="s">
        <v>672</v>
      </c>
      <c r="K266" t="s">
        <v>640</v>
      </c>
      <c r="L266" t="s">
        <v>680</v>
      </c>
      <c r="M266" t="s">
        <v>686</v>
      </c>
      <c r="N266" t="s">
        <v>689</v>
      </c>
      <c r="O266" t="s">
        <v>693</v>
      </c>
      <c r="P266">
        <v>27942379</v>
      </c>
      <c r="Q266">
        <v>0</v>
      </c>
      <c r="R266">
        <v>8.24</v>
      </c>
      <c r="S266" t="s">
        <v>889</v>
      </c>
      <c r="T266" t="s">
        <v>992</v>
      </c>
      <c r="U266">
        <v>2024</v>
      </c>
      <c r="V266" t="s">
        <v>993</v>
      </c>
      <c r="W266" t="s">
        <v>997</v>
      </c>
      <c r="X266" t="s">
        <v>1000</v>
      </c>
      <c r="Y266">
        <v>5</v>
      </c>
      <c r="Z266">
        <v>25</v>
      </c>
    </row>
    <row r="267" spans="1:26" x14ac:dyDescent="0.3">
      <c r="A267" t="s">
        <v>291</v>
      </c>
      <c r="B267" t="s">
        <v>611</v>
      </c>
      <c r="C267" t="s">
        <v>626</v>
      </c>
      <c r="D267">
        <v>63</v>
      </c>
      <c r="E267" t="s">
        <v>630</v>
      </c>
      <c r="F267">
        <v>872</v>
      </c>
      <c r="G267">
        <v>18302</v>
      </c>
      <c r="H267">
        <v>15959344</v>
      </c>
      <c r="I267" t="s">
        <v>654</v>
      </c>
      <c r="J267" t="s">
        <v>669</v>
      </c>
      <c r="K267" t="s">
        <v>675</v>
      </c>
      <c r="L267" t="s">
        <v>682</v>
      </c>
      <c r="M267" t="s">
        <v>684</v>
      </c>
      <c r="N267" t="s">
        <v>689</v>
      </c>
      <c r="O267" t="s">
        <v>693</v>
      </c>
      <c r="P267">
        <v>15959344</v>
      </c>
      <c r="Q267">
        <v>0</v>
      </c>
      <c r="R267">
        <v>5.58</v>
      </c>
      <c r="S267" t="s">
        <v>890</v>
      </c>
      <c r="T267" t="s">
        <v>985</v>
      </c>
      <c r="U267">
        <v>2024</v>
      </c>
      <c r="V267" t="s">
        <v>996</v>
      </c>
      <c r="W267" t="s">
        <v>999</v>
      </c>
      <c r="X267" t="s">
        <v>1001</v>
      </c>
      <c r="Y267">
        <v>4</v>
      </c>
      <c r="Z267">
        <v>33</v>
      </c>
    </row>
    <row r="268" spans="1:26" x14ac:dyDescent="0.3">
      <c r="A268" t="s">
        <v>292</v>
      </c>
      <c r="B268" t="s">
        <v>618</v>
      </c>
      <c r="C268" t="s">
        <v>626</v>
      </c>
      <c r="D268">
        <v>40</v>
      </c>
      <c r="E268" t="s">
        <v>629</v>
      </c>
      <c r="F268">
        <v>746</v>
      </c>
      <c r="G268">
        <v>41316</v>
      </c>
      <c r="H268">
        <v>30821736</v>
      </c>
      <c r="I268" t="s">
        <v>636</v>
      </c>
      <c r="J268" t="s">
        <v>671</v>
      </c>
      <c r="K268" t="s">
        <v>638</v>
      </c>
      <c r="L268" t="s">
        <v>680</v>
      </c>
      <c r="M268" t="s">
        <v>686</v>
      </c>
      <c r="N268" t="s">
        <v>692</v>
      </c>
      <c r="O268" t="s">
        <v>694</v>
      </c>
      <c r="P268">
        <v>14509193</v>
      </c>
      <c r="Q268">
        <v>12</v>
      </c>
      <c r="R268">
        <v>5.5</v>
      </c>
      <c r="S268" t="s">
        <v>755</v>
      </c>
      <c r="T268" t="s">
        <v>982</v>
      </c>
      <c r="U268">
        <v>2024</v>
      </c>
      <c r="V268" t="s">
        <v>996</v>
      </c>
      <c r="W268" t="s">
        <v>998</v>
      </c>
      <c r="X268" t="s">
        <v>1001</v>
      </c>
      <c r="Y268">
        <v>3</v>
      </c>
      <c r="Z268">
        <v>24</v>
      </c>
    </row>
    <row r="269" spans="1:26" x14ac:dyDescent="0.3">
      <c r="A269" t="s">
        <v>293</v>
      </c>
      <c r="B269" t="s">
        <v>588</v>
      </c>
      <c r="C269" t="s">
        <v>627</v>
      </c>
      <c r="D269">
        <v>39</v>
      </c>
      <c r="E269" t="s">
        <v>628</v>
      </c>
      <c r="F269">
        <v>200</v>
      </c>
      <c r="G269">
        <v>49599</v>
      </c>
      <c r="H269">
        <v>9919800</v>
      </c>
      <c r="I269" t="s">
        <v>666</v>
      </c>
      <c r="J269" t="s">
        <v>670</v>
      </c>
      <c r="K269" t="s">
        <v>640</v>
      </c>
      <c r="L269" t="s">
        <v>681</v>
      </c>
      <c r="M269" t="s">
        <v>683</v>
      </c>
      <c r="N269" t="s">
        <v>688</v>
      </c>
      <c r="O269" t="s">
        <v>693</v>
      </c>
      <c r="P269">
        <v>9919800</v>
      </c>
      <c r="Q269">
        <v>0</v>
      </c>
      <c r="R269">
        <v>9.83</v>
      </c>
      <c r="S269" t="s">
        <v>891</v>
      </c>
      <c r="T269" t="s">
        <v>983</v>
      </c>
      <c r="U269">
        <v>2024</v>
      </c>
      <c r="V269" t="s">
        <v>994</v>
      </c>
      <c r="W269" t="s">
        <v>999</v>
      </c>
      <c r="X269" t="s">
        <v>1001</v>
      </c>
      <c r="Y269">
        <v>3</v>
      </c>
      <c r="Z269">
        <v>36</v>
      </c>
    </row>
    <row r="270" spans="1:26" x14ac:dyDescent="0.3">
      <c r="A270" t="s">
        <v>294</v>
      </c>
      <c r="B270" t="s">
        <v>534</v>
      </c>
      <c r="C270" t="s">
        <v>626</v>
      </c>
      <c r="D270">
        <v>43</v>
      </c>
      <c r="E270" t="s">
        <v>629</v>
      </c>
      <c r="F270">
        <v>785</v>
      </c>
      <c r="G270">
        <v>12139</v>
      </c>
      <c r="H270">
        <v>9529115</v>
      </c>
      <c r="I270" t="s">
        <v>665</v>
      </c>
      <c r="J270" t="s">
        <v>672</v>
      </c>
      <c r="K270" t="s">
        <v>674</v>
      </c>
      <c r="L270" t="s">
        <v>680</v>
      </c>
      <c r="M270" t="s">
        <v>683</v>
      </c>
      <c r="N270" t="s">
        <v>690</v>
      </c>
      <c r="O270" t="s">
        <v>693</v>
      </c>
      <c r="P270">
        <v>9529115</v>
      </c>
      <c r="Q270">
        <v>0</v>
      </c>
      <c r="R270">
        <v>0.38</v>
      </c>
      <c r="S270" t="s">
        <v>892</v>
      </c>
      <c r="T270" t="s">
        <v>991</v>
      </c>
      <c r="U270">
        <v>2024</v>
      </c>
      <c r="V270" t="s">
        <v>994</v>
      </c>
      <c r="W270" t="s">
        <v>999</v>
      </c>
      <c r="X270" t="s">
        <v>1001</v>
      </c>
      <c r="Y270">
        <v>4</v>
      </c>
      <c r="Z270">
        <v>37</v>
      </c>
    </row>
    <row r="271" spans="1:26" x14ac:dyDescent="0.3">
      <c r="A271" t="s">
        <v>295</v>
      </c>
      <c r="B271" t="s">
        <v>611</v>
      </c>
      <c r="C271" t="s">
        <v>627</v>
      </c>
      <c r="D271">
        <v>41</v>
      </c>
      <c r="E271" t="s">
        <v>630</v>
      </c>
      <c r="F271">
        <v>694</v>
      </c>
      <c r="G271">
        <v>13331</v>
      </c>
      <c r="H271">
        <v>9251714</v>
      </c>
      <c r="I271" t="s">
        <v>649</v>
      </c>
      <c r="J271" t="s">
        <v>669</v>
      </c>
      <c r="K271" t="s">
        <v>651</v>
      </c>
      <c r="L271" t="s">
        <v>681</v>
      </c>
      <c r="M271" t="s">
        <v>684</v>
      </c>
      <c r="N271" t="s">
        <v>689</v>
      </c>
      <c r="O271" t="s">
        <v>694</v>
      </c>
      <c r="P271">
        <v>3502415</v>
      </c>
      <c r="Q271">
        <v>3</v>
      </c>
      <c r="R271">
        <v>3</v>
      </c>
      <c r="S271" t="s">
        <v>893</v>
      </c>
      <c r="T271" t="s">
        <v>985</v>
      </c>
      <c r="U271">
        <v>2024</v>
      </c>
      <c r="V271" t="s">
        <v>996</v>
      </c>
      <c r="W271" t="s">
        <v>997</v>
      </c>
      <c r="X271" t="s">
        <v>1001</v>
      </c>
      <c r="Y271">
        <v>5</v>
      </c>
      <c r="Z271">
        <v>1</v>
      </c>
    </row>
    <row r="272" spans="1:26" x14ac:dyDescent="0.3">
      <c r="A272" t="s">
        <v>296</v>
      </c>
      <c r="B272" t="s">
        <v>579</v>
      </c>
      <c r="C272" t="s">
        <v>627</v>
      </c>
      <c r="D272">
        <v>29</v>
      </c>
      <c r="E272" t="s">
        <v>628</v>
      </c>
      <c r="F272">
        <v>255</v>
      </c>
      <c r="G272">
        <v>21974</v>
      </c>
      <c r="H272">
        <v>5603370</v>
      </c>
      <c r="I272" t="s">
        <v>659</v>
      </c>
      <c r="J272" t="s">
        <v>668</v>
      </c>
      <c r="K272" t="s">
        <v>640</v>
      </c>
      <c r="L272" t="s">
        <v>682</v>
      </c>
      <c r="M272" t="s">
        <v>684</v>
      </c>
      <c r="N272" t="s">
        <v>691</v>
      </c>
      <c r="O272" t="s">
        <v>693</v>
      </c>
      <c r="P272">
        <v>5603370</v>
      </c>
      <c r="Q272">
        <v>0</v>
      </c>
      <c r="R272">
        <v>3.19</v>
      </c>
      <c r="S272" t="s">
        <v>894</v>
      </c>
      <c r="T272" t="s">
        <v>985</v>
      </c>
      <c r="U272">
        <v>2024</v>
      </c>
      <c r="V272" t="s">
        <v>993</v>
      </c>
      <c r="W272" t="s">
        <v>999</v>
      </c>
      <c r="X272" t="s">
        <v>1002</v>
      </c>
      <c r="Y272">
        <v>3</v>
      </c>
      <c r="Z272">
        <v>26</v>
      </c>
    </row>
    <row r="273" spans="1:26" x14ac:dyDescent="0.3">
      <c r="A273" t="s">
        <v>297</v>
      </c>
      <c r="B273" t="s">
        <v>541</v>
      </c>
      <c r="C273" t="s">
        <v>626</v>
      </c>
      <c r="D273">
        <v>64</v>
      </c>
      <c r="E273" t="s">
        <v>628</v>
      </c>
      <c r="F273">
        <v>284</v>
      </c>
      <c r="G273">
        <v>33185</v>
      </c>
      <c r="H273">
        <v>9424540</v>
      </c>
      <c r="I273" t="s">
        <v>654</v>
      </c>
      <c r="J273" t="s">
        <v>669</v>
      </c>
      <c r="K273" t="s">
        <v>651</v>
      </c>
      <c r="L273" t="s">
        <v>680</v>
      </c>
      <c r="M273" t="s">
        <v>684</v>
      </c>
      <c r="N273" t="s">
        <v>692</v>
      </c>
      <c r="O273" t="s">
        <v>693</v>
      </c>
      <c r="P273">
        <v>9424540</v>
      </c>
      <c r="Q273">
        <v>0</v>
      </c>
      <c r="R273">
        <v>5.48</v>
      </c>
      <c r="S273" t="s">
        <v>895</v>
      </c>
      <c r="T273" t="s">
        <v>992</v>
      </c>
      <c r="U273">
        <v>2024</v>
      </c>
      <c r="V273" t="s">
        <v>996</v>
      </c>
      <c r="W273" t="s">
        <v>998</v>
      </c>
      <c r="X273" t="s">
        <v>1002</v>
      </c>
      <c r="Y273">
        <v>5</v>
      </c>
      <c r="Z273">
        <v>13</v>
      </c>
    </row>
    <row r="274" spans="1:26" x14ac:dyDescent="0.3">
      <c r="A274" t="s">
        <v>298</v>
      </c>
      <c r="B274" t="s">
        <v>598</v>
      </c>
      <c r="C274" t="s">
        <v>627</v>
      </c>
      <c r="D274">
        <v>27</v>
      </c>
      <c r="E274" t="s">
        <v>629</v>
      </c>
      <c r="F274">
        <v>452</v>
      </c>
      <c r="G274">
        <v>17880</v>
      </c>
      <c r="H274">
        <v>8081760</v>
      </c>
      <c r="I274" t="s">
        <v>665</v>
      </c>
      <c r="J274" t="s">
        <v>672</v>
      </c>
      <c r="K274" t="s">
        <v>675</v>
      </c>
      <c r="L274" t="s">
        <v>681</v>
      </c>
      <c r="M274" t="s">
        <v>684</v>
      </c>
      <c r="N274" t="s">
        <v>690</v>
      </c>
      <c r="O274" t="s">
        <v>693</v>
      </c>
      <c r="P274">
        <v>8081760</v>
      </c>
      <c r="Q274">
        <v>0</v>
      </c>
      <c r="R274">
        <v>2.66</v>
      </c>
      <c r="S274" t="s">
        <v>757</v>
      </c>
      <c r="T274" t="s">
        <v>989</v>
      </c>
      <c r="U274">
        <v>2024</v>
      </c>
      <c r="V274" t="s">
        <v>994</v>
      </c>
      <c r="W274" t="s">
        <v>999</v>
      </c>
      <c r="X274" t="s">
        <v>1002</v>
      </c>
      <c r="Y274">
        <v>3</v>
      </c>
      <c r="Z274">
        <v>39</v>
      </c>
    </row>
    <row r="275" spans="1:26" x14ac:dyDescent="0.3">
      <c r="A275" t="s">
        <v>299</v>
      </c>
      <c r="B275" t="s">
        <v>554</v>
      </c>
      <c r="C275" t="s">
        <v>627</v>
      </c>
      <c r="D275">
        <v>25</v>
      </c>
      <c r="E275" t="s">
        <v>628</v>
      </c>
      <c r="F275">
        <v>373</v>
      </c>
      <c r="G275">
        <v>24919</v>
      </c>
      <c r="H275">
        <v>9294787</v>
      </c>
      <c r="I275" t="s">
        <v>631</v>
      </c>
      <c r="J275" t="s">
        <v>668</v>
      </c>
      <c r="K275" t="s">
        <v>677</v>
      </c>
      <c r="L275" t="s">
        <v>682</v>
      </c>
      <c r="M275" t="s">
        <v>685</v>
      </c>
      <c r="N275" t="s">
        <v>688</v>
      </c>
      <c r="O275" t="s">
        <v>694</v>
      </c>
      <c r="P275">
        <v>3087162</v>
      </c>
      <c r="Q275">
        <v>6</v>
      </c>
      <c r="R275">
        <v>9.24</v>
      </c>
      <c r="S275" t="s">
        <v>896</v>
      </c>
      <c r="T275" t="s">
        <v>990</v>
      </c>
      <c r="U275">
        <v>2024</v>
      </c>
      <c r="V275" t="s">
        <v>996</v>
      </c>
      <c r="W275" t="s">
        <v>998</v>
      </c>
      <c r="X275" t="s">
        <v>1000</v>
      </c>
      <c r="Y275">
        <v>3</v>
      </c>
      <c r="Z275">
        <v>45</v>
      </c>
    </row>
    <row r="276" spans="1:26" x14ac:dyDescent="0.3">
      <c r="A276" t="s">
        <v>300</v>
      </c>
      <c r="B276" t="s">
        <v>539</v>
      </c>
      <c r="C276" t="s">
        <v>626</v>
      </c>
      <c r="D276">
        <v>59</v>
      </c>
      <c r="E276" t="s">
        <v>629</v>
      </c>
      <c r="F276">
        <v>682</v>
      </c>
      <c r="G276">
        <v>3490</v>
      </c>
      <c r="H276">
        <v>2380180</v>
      </c>
      <c r="I276" t="s">
        <v>646</v>
      </c>
      <c r="J276" t="s">
        <v>673</v>
      </c>
      <c r="K276" t="s">
        <v>678</v>
      </c>
      <c r="L276" t="s">
        <v>680</v>
      </c>
      <c r="M276" t="s">
        <v>685</v>
      </c>
      <c r="N276" t="s">
        <v>691</v>
      </c>
      <c r="O276" t="s">
        <v>694</v>
      </c>
      <c r="P276">
        <v>1004445</v>
      </c>
      <c r="Q276">
        <v>6</v>
      </c>
      <c r="R276">
        <v>2.12</v>
      </c>
      <c r="S276" t="s">
        <v>897</v>
      </c>
      <c r="T276" t="s">
        <v>985</v>
      </c>
      <c r="U276">
        <v>2024</v>
      </c>
      <c r="V276" t="s">
        <v>993</v>
      </c>
      <c r="W276" t="s">
        <v>998</v>
      </c>
      <c r="X276" t="s">
        <v>1000</v>
      </c>
      <c r="Y276">
        <v>1</v>
      </c>
      <c r="Z276">
        <v>19</v>
      </c>
    </row>
    <row r="277" spans="1:26" x14ac:dyDescent="0.3">
      <c r="A277" t="s">
        <v>301</v>
      </c>
      <c r="B277" t="s">
        <v>532</v>
      </c>
      <c r="C277" t="s">
        <v>627</v>
      </c>
      <c r="D277">
        <v>21</v>
      </c>
      <c r="E277" t="s">
        <v>630</v>
      </c>
      <c r="F277">
        <v>254</v>
      </c>
      <c r="G277">
        <v>32471</v>
      </c>
      <c r="H277">
        <v>8247634</v>
      </c>
      <c r="I277" t="s">
        <v>656</v>
      </c>
      <c r="J277" t="s">
        <v>669</v>
      </c>
      <c r="K277" t="s">
        <v>677</v>
      </c>
      <c r="L277" t="s">
        <v>682</v>
      </c>
      <c r="M277" t="s">
        <v>684</v>
      </c>
      <c r="N277" t="s">
        <v>688</v>
      </c>
      <c r="O277" t="s">
        <v>693</v>
      </c>
      <c r="P277">
        <v>8247634</v>
      </c>
      <c r="Q277">
        <v>0</v>
      </c>
      <c r="R277">
        <v>0.67</v>
      </c>
      <c r="S277" t="s">
        <v>898</v>
      </c>
      <c r="T277" t="s">
        <v>984</v>
      </c>
      <c r="U277">
        <v>2024</v>
      </c>
      <c r="V277" t="s">
        <v>995</v>
      </c>
      <c r="W277" t="s">
        <v>997</v>
      </c>
      <c r="X277" t="s">
        <v>1001</v>
      </c>
      <c r="Y277">
        <v>1</v>
      </c>
      <c r="Z277">
        <v>21</v>
      </c>
    </row>
    <row r="278" spans="1:26" x14ac:dyDescent="0.3">
      <c r="A278" t="s">
        <v>302</v>
      </c>
      <c r="B278" t="s">
        <v>563</v>
      </c>
      <c r="C278" t="s">
        <v>627</v>
      </c>
      <c r="D278">
        <v>35</v>
      </c>
      <c r="E278" t="s">
        <v>629</v>
      </c>
      <c r="F278">
        <v>744</v>
      </c>
      <c r="G278">
        <v>7768</v>
      </c>
      <c r="H278">
        <v>5779392</v>
      </c>
      <c r="I278" t="s">
        <v>658</v>
      </c>
      <c r="J278" t="s">
        <v>670</v>
      </c>
      <c r="K278" t="s">
        <v>674</v>
      </c>
      <c r="L278" t="s">
        <v>681</v>
      </c>
      <c r="M278" t="s">
        <v>687</v>
      </c>
      <c r="N278" t="s">
        <v>691</v>
      </c>
      <c r="O278" t="s">
        <v>693</v>
      </c>
      <c r="P278">
        <v>5779392</v>
      </c>
      <c r="Q278">
        <v>0</v>
      </c>
      <c r="R278">
        <v>1.99</v>
      </c>
      <c r="S278" t="s">
        <v>899</v>
      </c>
      <c r="T278" t="s">
        <v>989</v>
      </c>
      <c r="U278">
        <v>2024</v>
      </c>
      <c r="V278" t="s">
        <v>995</v>
      </c>
      <c r="W278" t="s">
        <v>997</v>
      </c>
      <c r="X278" t="s">
        <v>1000</v>
      </c>
      <c r="Y278">
        <v>1</v>
      </c>
      <c r="Z278">
        <v>23</v>
      </c>
    </row>
    <row r="279" spans="1:26" x14ac:dyDescent="0.3">
      <c r="A279" t="s">
        <v>303</v>
      </c>
      <c r="B279" t="s">
        <v>584</v>
      </c>
      <c r="C279" t="s">
        <v>626</v>
      </c>
      <c r="D279">
        <v>44</v>
      </c>
      <c r="E279" t="s">
        <v>628</v>
      </c>
      <c r="F279">
        <v>840</v>
      </c>
      <c r="G279">
        <v>21813</v>
      </c>
      <c r="H279">
        <v>18322920</v>
      </c>
      <c r="I279" t="s">
        <v>635</v>
      </c>
      <c r="J279" t="s">
        <v>668</v>
      </c>
      <c r="K279" t="s">
        <v>651</v>
      </c>
      <c r="L279" t="s">
        <v>682</v>
      </c>
      <c r="M279" t="s">
        <v>687</v>
      </c>
      <c r="N279" t="s">
        <v>688</v>
      </c>
      <c r="O279" t="s">
        <v>693</v>
      </c>
      <c r="P279">
        <v>18322920</v>
      </c>
      <c r="Q279">
        <v>0</v>
      </c>
      <c r="R279">
        <v>9.9600000000000009</v>
      </c>
      <c r="S279" t="s">
        <v>900</v>
      </c>
      <c r="T279" t="s">
        <v>986</v>
      </c>
      <c r="U279">
        <v>2024</v>
      </c>
      <c r="V279" t="s">
        <v>996</v>
      </c>
      <c r="W279" t="s">
        <v>998</v>
      </c>
      <c r="X279" t="s">
        <v>1002</v>
      </c>
      <c r="Y279">
        <v>2</v>
      </c>
      <c r="Z279">
        <v>6</v>
      </c>
    </row>
    <row r="280" spans="1:26" x14ac:dyDescent="0.3">
      <c r="A280" t="s">
        <v>304</v>
      </c>
      <c r="B280" t="s">
        <v>537</v>
      </c>
      <c r="C280" t="s">
        <v>626</v>
      </c>
      <c r="D280">
        <v>58</v>
      </c>
      <c r="E280" t="s">
        <v>630</v>
      </c>
      <c r="F280">
        <v>894</v>
      </c>
      <c r="G280">
        <v>42137</v>
      </c>
      <c r="H280">
        <v>37670478</v>
      </c>
      <c r="I280" t="s">
        <v>633</v>
      </c>
      <c r="J280" t="s">
        <v>668</v>
      </c>
      <c r="K280" t="s">
        <v>675</v>
      </c>
      <c r="L280" t="s">
        <v>681</v>
      </c>
      <c r="M280" t="s">
        <v>686</v>
      </c>
      <c r="N280" t="s">
        <v>688</v>
      </c>
      <c r="O280" t="s">
        <v>693</v>
      </c>
      <c r="P280">
        <v>37670478</v>
      </c>
      <c r="Q280">
        <v>0</v>
      </c>
      <c r="R280">
        <v>4.17</v>
      </c>
      <c r="S280" t="s">
        <v>901</v>
      </c>
      <c r="T280" t="s">
        <v>985</v>
      </c>
      <c r="U280">
        <v>2024</v>
      </c>
      <c r="V280" t="s">
        <v>996</v>
      </c>
      <c r="W280" t="s">
        <v>997</v>
      </c>
      <c r="X280" t="s">
        <v>1000</v>
      </c>
      <c r="Y280">
        <v>5</v>
      </c>
      <c r="Z280">
        <v>35</v>
      </c>
    </row>
    <row r="281" spans="1:26" x14ac:dyDescent="0.3">
      <c r="A281" t="s">
        <v>305</v>
      </c>
      <c r="B281" t="s">
        <v>595</v>
      </c>
      <c r="C281" t="s">
        <v>626</v>
      </c>
      <c r="D281">
        <v>24</v>
      </c>
      <c r="E281" t="s">
        <v>629</v>
      </c>
      <c r="F281">
        <v>516</v>
      </c>
      <c r="G281">
        <v>47123</v>
      </c>
      <c r="H281">
        <v>24315468</v>
      </c>
      <c r="I281" t="s">
        <v>653</v>
      </c>
      <c r="J281" t="s">
        <v>668</v>
      </c>
      <c r="K281" t="s">
        <v>638</v>
      </c>
      <c r="L281" t="s">
        <v>682</v>
      </c>
      <c r="M281" t="s">
        <v>685</v>
      </c>
      <c r="N281" t="s">
        <v>688</v>
      </c>
      <c r="O281" t="s">
        <v>693</v>
      </c>
      <c r="P281">
        <v>24315468</v>
      </c>
      <c r="Q281">
        <v>0</v>
      </c>
      <c r="R281">
        <v>4.3</v>
      </c>
      <c r="S281" t="s">
        <v>748</v>
      </c>
      <c r="T281" t="s">
        <v>987</v>
      </c>
      <c r="U281">
        <v>2024</v>
      </c>
      <c r="V281" t="s">
        <v>994</v>
      </c>
      <c r="W281" t="s">
        <v>999</v>
      </c>
      <c r="X281" t="s">
        <v>1001</v>
      </c>
      <c r="Y281">
        <v>1</v>
      </c>
      <c r="Z281">
        <v>49</v>
      </c>
    </row>
    <row r="282" spans="1:26" x14ac:dyDescent="0.3">
      <c r="A282" t="s">
        <v>306</v>
      </c>
      <c r="B282" t="s">
        <v>582</v>
      </c>
      <c r="C282" t="s">
        <v>626</v>
      </c>
      <c r="D282">
        <v>58</v>
      </c>
      <c r="E282" t="s">
        <v>629</v>
      </c>
      <c r="F282">
        <v>510</v>
      </c>
      <c r="G282">
        <v>31032</v>
      </c>
      <c r="H282">
        <v>15826320</v>
      </c>
      <c r="I282" t="s">
        <v>639</v>
      </c>
      <c r="J282" t="s">
        <v>671</v>
      </c>
      <c r="K282" t="s">
        <v>640</v>
      </c>
      <c r="L282" t="s">
        <v>682</v>
      </c>
      <c r="M282" t="s">
        <v>683</v>
      </c>
      <c r="N282" t="s">
        <v>692</v>
      </c>
      <c r="O282" t="s">
        <v>694</v>
      </c>
      <c r="P282">
        <v>6864387</v>
      </c>
      <c r="Q282">
        <v>6</v>
      </c>
      <c r="R282">
        <v>1.07</v>
      </c>
      <c r="S282" t="s">
        <v>902</v>
      </c>
      <c r="T282" t="s">
        <v>990</v>
      </c>
      <c r="U282">
        <v>2024</v>
      </c>
      <c r="V282" t="s">
        <v>996</v>
      </c>
      <c r="W282" t="s">
        <v>999</v>
      </c>
      <c r="X282" t="s">
        <v>1001</v>
      </c>
      <c r="Y282">
        <v>1</v>
      </c>
      <c r="Z282">
        <v>23</v>
      </c>
    </row>
    <row r="283" spans="1:26" x14ac:dyDescent="0.3">
      <c r="A283" t="s">
        <v>307</v>
      </c>
      <c r="B283" t="s">
        <v>534</v>
      </c>
      <c r="C283" t="s">
        <v>627</v>
      </c>
      <c r="D283">
        <v>34</v>
      </c>
      <c r="E283" t="s">
        <v>628</v>
      </c>
      <c r="F283">
        <v>337</v>
      </c>
      <c r="G283">
        <v>34920</v>
      </c>
      <c r="H283">
        <v>11768040</v>
      </c>
      <c r="I283" t="s">
        <v>662</v>
      </c>
      <c r="J283" t="s">
        <v>673</v>
      </c>
      <c r="K283" t="s">
        <v>678</v>
      </c>
      <c r="L283" t="s">
        <v>681</v>
      </c>
      <c r="M283" t="s">
        <v>685</v>
      </c>
      <c r="N283" t="s">
        <v>690</v>
      </c>
      <c r="O283" t="s">
        <v>694</v>
      </c>
      <c r="P283">
        <v>3003121</v>
      </c>
      <c r="Q283">
        <v>12</v>
      </c>
      <c r="R283">
        <v>3.87</v>
      </c>
      <c r="S283" t="s">
        <v>903</v>
      </c>
      <c r="T283" t="s">
        <v>989</v>
      </c>
      <c r="U283">
        <v>2024</v>
      </c>
      <c r="V283" t="s">
        <v>995</v>
      </c>
      <c r="W283" t="s">
        <v>999</v>
      </c>
      <c r="X283" t="s">
        <v>1001</v>
      </c>
      <c r="Y283">
        <v>2</v>
      </c>
      <c r="Z283">
        <v>49</v>
      </c>
    </row>
    <row r="284" spans="1:26" x14ac:dyDescent="0.3">
      <c r="A284" t="s">
        <v>308</v>
      </c>
      <c r="B284" t="s">
        <v>538</v>
      </c>
      <c r="C284" t="s">
        <v>626</v>
      </c>
      <c r="D284">
        <v>40</v>
      </c>
      <c r="E284" t="s">
        <v>630</v>
      </c>
      <c r="F284">
        <v>649</v>
      </c>
      <c r="G284">
        <v>42439</v>
      </c>
      <c r="H284">
        <v>27542911</v>
      </c>
      <c r="I284" t="s">
        <v>649</v>
      </c>
      <c r="J284" t="s">
        <v>669</v>
      </c>
      <c r="K284" t="s">
        <v>638</v>
      </c>
      <c r="L284" t="s">
        <v>682</v>
      </c>
      <c r="M284" t="s">
        <v>686</v>
      </c>
      <c r="N284" t="s">
        <v>692</v>
      </c>
      <c r="O284" t="s">
        <v>694</v>
      </c>
      <c r="P284">
        <v>12670633</v>
      </c>
      <c r="Q284">
        <v>12</v>
      </c>
      <c r="R284">
        <v>8.8800000000000008</v>
      </c>
      <c r="S284" t="s">
        <v>904</v>
      </c>
      <c r="T284" t="s">
        <v>989</v>
      </c>
      <c r="U284">
        <v>2024</v>
      </c>
      <c r="V284" t="s">
        <v>993</v>
      </c>
      <c r="W284" t="s">
        <v>997</v>
      </c>
      <c r="X284" t="s">
        <v>1000</v>
      </c>
      <c r="Y284">
        <v>4</v>
      </c>
      <c r="Z284">
        <v>30</v>
      </c>
    </row>
    <row r="285" spans="1:26" x14ac:dyDescent="0.3">
      <c r="A285" t="s">
        <v>309</v>
      </c>
      <c r="B285" t="s">
        <v>574</v>
      </c>
      <c r="C285" t="s">
        <v>626</v>
      </c>
      <c r="D285">
        <v>48</v>
      </c>
      <c r="E285" t="s">
        <v>630</v>
      </c>
      <c r="F285">
        <v>750</v>
      </c>
      <c r="G285">
        <v>27926</v>
      </c>
      <c r="H285">
        <v>20944500</v>
      </c>
      <c r="I285" t="s">
        <v>641</v>
      </c>
      <c r="J285" t="s">
        <v>673</v>
      </c>
      <c r="K285" t="s">
        <v>675</v>
      </c>
      <c r="L285" t="s">
        <v>681</v>
      </c>
      <c r="M285" t="s">
        <v>687</v>
      </c>
      <c r="N285" t="s">
        <v>691</v>
      </c>
      <c r="O285" t="s">
        <v>693</v>
      </c>
      <c r="P285">
        <v>20944500</v>
      </c>
      <c r="Q285">
        <v>0</v>
      </c>
      <c r="R285">
        <v>5.58</v>
      </c>
      <c r="S285" t="s">
        <v>905</v>
      </c>
      <c r="T285" t="s">
        <v>986</v>
      </c>
      <c r="U285">
        <v>2024</v>
      </c>
      <c r="V285" t="s">
        <v>996</v>
      </c>
      <c r="W285" t="s">
        <v>998</v>
      </c>
      <c r="X285" t="s">
        <v>1002</v>
      </c>
      <c r="Y285">
        <v>5</v>
      </c>
      <c r="Z285">
        <v>4</v>
      </c>
    </row>
    <row r="286" spans="1:26" x14ac:dyDescent="0.3">
      <c r="A286" t="s">
        <v>310</v>
      </c>
      <c r="B286" t="s">
        <v>619</v>
      </c>
      <c r="C286" t="s">
        <v>626</v>
      </c>
      <c r="D286">
        <v>46</v>
      </c>
      <c r="E286" t="s">
        <v>630</v>
      </c>
      <c r="F286">
        <v>674</v>
      </c>
      <c r="G286">
        <v>44342</v>
      </c>
      <c r="H286">
        <v>29886508</v>
      </c>
      <c r="I286" t="s">
        <v>644</v>
      </c>
      <c r="J286" t="s">
        <v>668</v>
      </c>
      <c r="K286" t="s">
        <v>638</v>
      </c>
      <c r="L286" t="s">
        <v>681</v>
      </c>
      <c r="M286" t="s">
        <v>685</v>
      </c>
      <c r="N286" t="s">
        <v>688</v>
      </c>
      <c r="O286" t="s">
        <v>694</v>
      </c>
      <c r="P286">
        <v>12456518</v>
      </c>
      <c r="Q286">
        <v>3</v>
      </c>
      <c r="R286">
        <v>1.1299999999999999</v>
      </c>
      <c r="S286" t="s">
        <v>906</v>
      </c>
      <c r="T286" t="s">
        <v>985</v>
      </c>
      <c r="U286">
        <v>2024</v>
      </c>
      <c r="V286" t="s">
        <v>995</v>
      </c>
      <c r="W286" t="s">
        <v>997</v>
      </c>
      <c r="X286" t="s">
        <v>1001</v>
      </c>
      <c r="Y286">
        <v>2</v>
      </c>
      <c r="Z286">
        <v>30</v>
      </c>
    </row>
    <row r="287" spans="1:26" x14ac:dyDescent="0.3">
      <c r="A287" t="s">
        <v>311</v>
      </c>
      <c r="B287" t="s">
        <v>569</v>
      </c>
      <c r="C287" t="s">
        <v>626</v>
      </c>
      <c r="D287">
        <v>60</v>
      </c>
      <c r="E287" t="s">
        <v>630</v>
      </c>
      <c r="F287">
        <v>908</v>
      </c>
      <c r="G287">
        <v>44505</v>
      </c>
      <c r="H287">
        <v>40410540</v>
      </c>
      <c r="I287" t="s">
        <v>646</v>
      </c>
      <c r="J287" t="s">
        <v>673</v>
      </c>
      <c r="K287" t="s">
        <v>651</v>
      </c>
      <c r="L287" t="s">
        <v>680</v>
      </c>
      <c r="M287" t="s">
        <v>686</v>
      </c>
      <c r="N287" t="s">
        <v>691</v>
      </c>
      <c r="O287" t="s">
        <v>693</v>
      </c>
      <c r="P287">
        <v>40410540</v>
      </c>
      <c r="Q287">
        <v>0</v>
      </c>
      <c r="R287">
        <v>7.18</v>
      </c>
      <c r="S287" t="s">
        <v>907</v>
      </c>
      <c r="T287" t="s">
        <v>987</v>
      </c>
      <c r="U287">
        <v>2024</v>
      </c>
      <c r="V287" t="s">
        <v>996</v>
      </c>
      <c r="W287" t="s">
        <v>998</v>
      </c>
      <c r="X287" t="s">
        <v>1001</v>
      </c>
      <c r="Y287">
        <v>4</v>
      </c>
      <c r="Z287">
        <v>3</v>
      </c>
    </row>
    <row r="288" spans="1:26" x14ac:dyDescent="0.3">
      <c r="A288" t="s">
        <v>312</v>
      </c>
      <c r="B288" t="s">
        <v>576</v>
      </c>
      <c r="C288" t="s">
        <v>626</v>
      </c>
      <c r="D288">
        <v>39</v>
      </c>
      <c r="E288" t="s">
        <v>629</v>
      </c>
      <c r="F288">
        <v>875</v>
      </c>
      <c r="G288">
        <v>11836</v>
      </c>
      <c r="H288">
        <v>10356500</v>
      </c>
      <c r="I288" t="s">
        <v>651</v>
      </c>
      <c r="J288" t="s">
        <v>669</v>
      </c>
      <c r="K288" t="s">
        <v>674</v>
      </c>
      <c r="L288" t="s">
        <v>681</v>
      </c>
      <c r="M288" t="s">
        <v>687</v>
      </c>
      <c r="N288" t="s">
        <v>688</v>
      </c>
      <c r="O288" t="s">
        <v>693</v>
      </c>
      <c r="P288">
        <v>10356500</v>
      </c>
      <c r="Q288">
        <v>0</v>
      </c>
      <c r="R288">
        <v>8.69</v>
      </c>
      <c r="S288" t="s">
        <v>864</v>
      </c>
      <c r="T288" t="s">
        <v>990</v>
      </c>
      <c r="U288">
        <v>2024</v>
      </c>
      <c r="V288" t="s">
        <v>993</v>
      </c>
      <c r="W288" t="s">
        <v>999</v>
      </c>
      <c r="X288" t="s">
        <v>1000</v>
      </c>
      <c r="Y288">
        <v>1</v>
      </c>
      <c r="Z288">
        <v>40</v>
      </c>
    </row>
    <row r="289" spans="1:26" x14ac:dyDescent="0.3">
      <c r="A289" t="s">
        <v>313</v>
      </c>
      <c r="B289" t="s">
        <v>592</v>
      </c>
      <c r="C289" t="s">
        <v>626</v>
      </c>
      <c r="D289">
        <v>49</v>
      </c>
      <c r="E289" t="s">
        <v>630</v>
      </c>
      <c r="F289">
        <v>709</v>
      </c>
      <c r="G289">
        <v>34679</v>
      </c>
      <c r="H289">
        <v>24587411</v>
      </c>
      <c r="I289" t="s">
        <v>643</v>
      </c>
      <c r="J289" t="s">
        <v>671</v>
      </c>
      <c r="K289" t="s">
        <v>678</v>
      </c>
      <c r="L289" t="s">
        <v>681</v>
      </c>
      <c r="M289" t="s">
        <v>685</v>
      </c>
      <c r="N289" t="s">
        <v>692</v>
      </c>
      <c r="O289" t="s">
        <v>693</v>
      </c>
      <c r="P289">
        <v>24587411</v>
      </c>
      <c r="Q289">
        <v>0</v>
      </c>
      <c r="R289">
        <v>6.08</v>
      </c>
      <c r="S289" t="s">
        <v>908</v>
      </c>
      <c r="T289" t="s">
        <v>986</v>
      </c>
      <c r="U289">
        <v>2024</v>
      </c>
      <c r="V289" t="s">
        <v>993</v>
      </c>
      <c r="W289" t="s">
        <v>999</v>
      </c>
      <c r="X289" t="s">
        <v>1001</v>
      </c>
      <c r="Y289">
        <v>3</v>
      </c>
      <c r="Z289">
        <v>40</v>
      </c>
    </row>
    <row r="290" spans="1:26" x14ac:dyDescent="0.3">
      <c r="A290" t="s">
        <v>314</v>
      </c>
      <c r="B290" t="s">
        <v>606</v>
      </c>
      <c r="C290" t="s">
        <v>627</v>
      </c>
      <c r="D290">
        <v>62</v>
      </c>
      <c r="E290" t="s">
        <v>629</v>
      </c>
      <c r="F290">
        <v>250</v>
      </c>
      <c r="G290">
        <v>14113</v>
      </c>
      <c r="H290">
        <v>3528250</v>
      </c>
      <c r="I290" t="s">
        <v>644</v>
      </c>
      <c r="J290" t="s">
        <v>668</v>
      </c>
      <c r="K290" t="s">
        <v>679</v>
      </c>
      <c r="L290" t="s">
        <v>682</v>
      </c>
      <c r="M290" t="s">
        <v>687</v>
      </c>
      <c r="N290" t="s">
        <v>690</v>
      </c>
      <c r="O290" t="s">
        <v>693</v>
      </c>
      <c r="P290">
        <v>3528250</v>
      </c>
      <c r="Q290">
        <v>0</v>
      </c>
      <c r="R290">
        <v>0.55000000000000004</v>
      </c>
      <c r="S290" t="s">
        <v>765</v>
      </c>
      <c r="T290" t="s">
        <v>982</v>
      </c>
      <c r="U290">
        <v>2024</v>
      </c>
      <c r="V290" t="s">
        <v>993</v>
      </c>
      <c r="W290" t="s">
        <v>999</v>
      </c>
      <c r="X290" t="s">
        <v>1000</v>
      </c>
      <c r="Y290">
        <v>4</v>
      </c>
      <c r="Z290">
        <v>12</v>
      </c>
    </row>
    <row r="291" spans="1:26" x14ac:dyDescent="0.3">
      <c r="A291" t="s">
        <v>315</v>
      </c>
      <c r="B291" t="s">
        <v>542</v>
      </c>
      <c r="C291" t="s">
        <v>627</v>
      </c>
      <c r="D291">
        <v>39</v>
      </c>
      <c r="E291" t="s">
        <v>630</v>
      </c>
      <c r="F291">
        <v>876</v>
      </c>
      <c r="G291">
        <v>47319</v>
      </c>
      <c r="H291">
        <v>41451444</v>
      </c>
      <c r="I291" t="s">
        <v>651</v>
      </c>
      <c r="J291" t="s">
        <v>669</v>
      </c>
      <c r="K291" t="s">
        <v>674</v>
      </c>
      <c r="L291" t="s">
        <v>681</v>
      </c>
      <c r="M291" t="s">
        <v>684</v>
      </c>
      <c r="N291" t="s">
        <v>689</v>
      </c>
      <c r="O291" t="s">
        <v>693</v>
      </c>
      <c r="P291">
        <v>41451444</v>
      </c>
      <c r="Q291">
        <v>0</v>
      </c>
      <c r="R291">
        <v>9.66</v>
      </c>
      <c r="S291" t="s">
        <v>909</v>
      </c>
      <c r="T291" t="s">
        <v>985</v>
      </c>
      <c r="U291">
        <v>2024</v>
      </c>
      <c r="V291" t="s">
        <v>995</v>
      </c>
      <c r="W291" t="s">
        <v>997</v>
      </c>
      <c r="X291" t="s">
        <v>1000</v>
      </c>
      <c r="Y291">
        <v>3</v>
      </c>
      <c r="Z291">
        <v>31</v>
      </c>
    </row>
    <row r="292" spans="1:26" x14ac:dyDescent="0.3">
      <c r="A292" t="s">
        <v>316</v>
      </c>
      <c r="B292" t="s">
        <v>535</v>
      </c>
      <c r="C292" t="s">
        <v>627</v>
      </c>
      <c r="D292">
        <v>50</v>
      </c>
      <c r="E292" t="s">
        <v>629</v>
      </c>
      <c r="F292">
        <v>537</v>
      </c>
      <c r="G292">
        <v>36540</v>
      </c>
      <c r="H292">
        <v>19621980</v>
      </c>
      <c r="I292" t="s">
        <v>649</v>
      </c>
      <c r="J292" t="s">
        <v>669</v>
      </c>
      <c r="K292" t="s">
        <v>677</v>
      </c>
      <c r="L292" t="s">
        <v>682</v>
      </c>
      <c r="M292" t="s">
        <v>686</v>
      </c>
      <c r="N292" t="s">
        <v>690</v>
      </c>
      <c r="O292" t="s">
        <v>694</v>
      </c>
      <c r="P292">
        <v>8020462</v>
      </c>
      <c r="Q292">
        <v>6</v>
      </c>
      <c r="R292">
        <v>6.12</v>
      </c>
      <c r="S292" t="s">
        <v>910</v>
      </c>
      <c r="T292" t="s">
        <v>981</v>
      </c>
      <c r="U292">
        <v>2024</v>
      </c>
      <c r="V292" t="s">
        <v>995</v>
      </c>
      <c r="W292" t="s">
        <v>997</v>
      </c>
      <c r="X292" t="s">
        <v>1002</v>
      </c>
      <c r="Y292">
        <v>3</v>
      </c>
      <c r="Z292">
        <v>34</v>
      </c>
    </row>
    <row r="293" spans="1:26" x14ac:dyDescent="0.3">
      <c r="A293" t="s">
        <v>317</v>
      </c>
      <c r="B293" t="s">
        <v>546</v>
      </c>
      <c r="C293" t="s">
        <v>627</v>
      </c>
      <c r="D293">
        <v>20</v>
      </c>
      <c r="E293" t="s">
        <v>628</v>
      </c>
      <c r="F293">
        <v>332</v>
      </c>
      <c r="G293">
        <v>42258</v>
      </c>
      <c r="H293">
        <v>14029656</v>
      </c>
      <c r="I293" t="s">
        <v>665</v>
      </c>
      <c r="J293" t="s">
        <v>672</v>
      </c>
      <c r="K293" t="s">
        <v>651</v>
      </c>
      <c r="L293" t="s">
        <v>680</v>
      </c>
      <c r="M293" t="s">
        <v>684</v>
      </c>
      <c r="N293" t="s">
        <v>689</v>
      </c>
      <c r="O293" t="s">
        <v>694</v>
      </c>
      <c r="P293">
        <v>4878832</v>
      </c>
      <c r="Q293">
        <v>24</v>
      </c>
      <c r="R293">
        <v>1.8</v>
      </c>
      <c r="S293" t="s">
        <v>763</v>
      </c>
      <c r="T293" t="s">
        <v>983</v>
      </c>
      <c r="U293">
        <v>2024</v>
      </c>
      <c r="V293" t="s">
        <v>996</v>
      </c>
      <c r="W293" t="s">
        <v>997</v>
      </c>
      <c r="X293" t="s">
        <v>1002</v>
      </c>
      <c r="Y293">
        <v>4</v>
      </c>
      <c r="Z293">
        <v>3</v>
      </c>
    </row>
    <row r="294" spans="1:26" x14ac:dyDescent="0.3">
      <c r="A294" t="s">
        <v>318</v>
      </c>
      <c r="B294" t="s">
        <v>575</v>
      </c>
      <c r="C294" t="s">
        <v>627</v>
      </c>
      <c r="D294">
        <v>39</v>
      </c>
      <c r="E294" t="s">
        <v>630</v>
      </c>
      <c r="F294">
        <v>852</v>
      </c>
      <c r="G294">
        <v>15915</v>
      </c>
      <c r="H294">
        <v>13559580</v>
      </c>
      <c r="I294" t="s">
        <v>657</v>
      </c>
      <c r="J294" t="s">
        <v>671</v>
      </c>
      <c r="K294" t="s">
        <v>675</v>
      </c>
      <c r="L294" t="s">
        <v>682</v>
      </c>
      <c r="M294" t="s">
        <v>686</v>
      </c>
      <c r="N294" t="s">
        <v>690</v>
      </c>
      <c r="O294" t="s">
        <v>693</v>
      </c>
      <c r="P294">
        <v>13559580</v>
      </c>
      <c r="Q294">
        <v>0</v>
      </c>
      <c r="R294">
        <v>6.41</v>
      </c>
      <c r="S294" t="s">
        <v>836</v>
      </c>
      <c r="T294" t="s">
        <v>984</v>
      </c>
      <c r="U294">
        <v>2024</v>
      </c>
      <c r="V294" t="s">
        <v>993</v>
      </c>
      <c r="W294" t="s">
        <v>999</v>
      </c>
      <c r="X294" t="s">
        <v>1001</v>
      </c>
      <c r="Y294">
        <v>3</v>
      </c>
      <c r="Z294">
        <v>22</v>
      </c>
    </row>
    <row r="295" spans="1:26" x14ac:dyDescent="0.3">
      <c r="A295" t="s">
        <v>319</v>
      </c>
      <c r="B295" t="s">
        <v>555</v>
      </c>
      <c r="C295" t="s">
        <v>627</v>
      </c>
      <c r="D295">
        <v>61</v>
      </c>
      <c r="E295" t="s">
        <v>628</v>
      </c>
      <c r="F295">
        <v>830</v>
      </c>
      <c r="G295">
        <v>3908</v>
      </c>
      <c r="H295">
        <v>3243640</v>
      </c>
      <c r="I295" t="s">
        <v>634</v>
      </c>
      <c r="J295" t="s">
        <v>670</v>
      </c>
      <c r="K295" t="s">
        <v>674</v>
      </c>
      <c r="L295" t="s">
        <v>681</v>
      </c>
      <c r="M295" t="s">
        <v>683</v>
      </c>
      <c r="N295" t="s">
        <v>691</v>
      </c>
      <c r="O295" t="s">
        <v>693</v>
      </c>
      <c r="P295">
        <v>3243640</v>
      </c>
      <c r="Q295">
        <v>0</v>
      </c>
      <c r="R295">
        <v>1.94</v>
      </c>
      <c r="S295" t="s">
        <v>911</v>
      </c>
      <c r="T295" t="s">
        <v>982</v>
      </c>
      <c r="U295">
        <v>2024</v>
      </c>
      <c r="V295" t="s">
        <v>994</v>
      </c>
      <c r="W295" t="s">
        <v>998</v>
      </c>
      <c r="X295" t="s">
        <v>1002</v>
      </c>
      <c r="Y295">
        <v>1</v>
      </c>
      <c r="Z295">
        <v>34</v>
      </c>
    </row>
    <row r="296" spans="1:26" x14ac:dyDescent="0.3">
      <c r="A296" t="s">
        <v>320</v>
      </c>
      <c r="B296" t="s">
        <v>553</v>
      </c>
      <c r="C296" t="s">
        <v>627</v>
      </c>
      <c r="D296">
        <v>29</v>
      </c>
      <c r="E296" t="s">
        <v>630</v>
      </c>
      <c r="F296">
        <v>768</v>
      </c>
      <c r="G296">
        <v>37119</v>
      </c>
      <c r="H296">
        <v>28507392</v>
      </c>
      <c r="I296" t="s">
        <v>667</v>
      </c>
      <c r="J296" t="s">
        <v>671</v>
      </c>
      <c r="K296" t="s">
        <v>651</v>
      </c>
      <c r="L296" t="s">
        <v>680</v>
      </c>
      <c r="M296" t="s">
        <v>687</v>
      </c>
      <c r="N296" t="s">
        <v>691</v>
      </c>
      <c r="O296" t="s">
        <v>693</v>
      </c>
      <c r="P296">
        <v>28507392</v>
      </c>
      <c r="Q296">
        <v>0</v>
      </c>
      <c r="R296">
        <v>2.08</v>
      </c>
      <c r="S296" t="s">
        <v>762</v>
      </c>
      <c r="T296" t="s">
        <v>984</v>
      </c>
      <c r="U296">
        <v>2024</v>
      </c>
      <c r="V296" t="s">
        <v>996</v>
      </c>
      <c r="W296" t="s">
        <v>997</v>
      </c>
      <c r="X296" t="s">
        <v>1001</v>
      </c>
      <c r="Y296">
        <v>4</v>
      </c>
      <c r="Z296">
        <v>12</v>
      </c>
    </row>
    <row r="297" spans="1:26" x14ac:dyDescent="0.3">
      <c r="A297" t="s">
        <v>321</v>
      </c>
      <c r="B297" t="s">
        <v>572</v>
      </c>
      <c r="C297" t="s">
        <v>626</v>
      </c>
      <c r="D297">
        <v>48</v>
      </c>
      <c r="E297" t="s">
        <v>630</v>
      </c>
      <c r="F297">
        <v>922</v>
      </c>
      <c r="G297">
        <v>22611</v>
      </c>
      <c r="H297">
        <v>20847342</v>
      </c>
      <c r="I297" t="s">
        <v>638</v>
      </c>
      <c r="J297" t="s">
        <v>672</v>
      </c>
      <c r="K297" t="s">
        <v>677</v>
      </c>
      <c r="L297" t="s">
        <v>680</v>
      </c>
      <c r="M297" t="s">
        <v>686</v>
      </c>
      <c r="N297" t="s">
        <v>690</v>
      </c>
      <c r="O297" t="s">
        <v>693</v>
      </c>
      <c r="P297">
        <v>20847342</v>
      </c>
      <c r="Q297">
        <v>0</v>
      </c>
      <c r="R297">
        <v>2.71</v>
      </c>
      <c r="S297" t="s">
        <v>726</v>
      </c>
      <c r="T297" t="s">
        <v>981</v>
      </c>
      <c r="U297">
        <v>2024</v>
      </c>
      <c r="V297" t="s">
        <v>996</v>
      </c>
      <c r="W297" t="s">
        <v>999</v>
      </c>
      <c r="X297" t="s">
        <v>1002</v>
      </c>
      <c r="Y297">
        <v>1</v>
      </c>
      <c r="Z297">
        <v>50</v>
      </c>
    </row>
    <row r="298" spans="1:26" x14ac:dyDescent="0.3">
      <c r="A298" t="s">
        <v>322</v>
      </c>
      <c r="B298" t="s">
        <v>532</v>
      </c>
      <c r="C298" t="s">
        <v>627</v>
      </c>
      <c r="D298">
        <v>26</v>
      </c>
      <c r="E298" t="s">
        <v>629</v>
      </c>
      <c r="F298">
        <v>718</v>
      </c>
      <c r="G298">
        <v>3634</v>
      </c>
      <c r="H298">
        <v>2609212</v>
      </c>
      <c r="I298" t="s">
        <v>649</v>
      </c>
      <c r="J298" t="s">
        <v>669</v>
      </c>
      <c r="K298" t="s">
        <v>678</v>
      </c>
      <c r="L298" t="s">
        <v>682</v>
      </c>
      <c r="M298" t="s">
        <v>683</v>
      </c>
      <c r="N298" t="s">
        <v>688</v>
      </c>
      <c r="O298" t="s">
        <v>694</v>
      </c>
      <c r="P298">
        <v>670733</v>
      </c>
      <c r="Q298">
        <v>6</v>
      </c>
      <c r="R298">
        <v>9.24</v>
      </c>
      <c r="S298" t="s">
        <v>912</v>
      </c>
      <c r="T298" t="s">
        <v>986</v>
      </c>
      <c r="U298">
        <v>2024</v>
      </c>
      <c r="V298" t="s">
        <v>993</v>
      </c>
      <c r="W298" t="s">
        <v>998</v>
      </c>
      <c r="X298" t="s">
        <v>1002</v>
      </c>
      <c r="Y298">
        <v>5</v>
      </c>
      <c r="Z298">
        <v>8</v>
      </c>
    </row>
    <row r="299" spans="1:26" x14ac:dyDescent="0.3">
      <c r="A299" t="s">
        <v>323</v>
      </c>
      <c r="B299" t="s">
        <v>540</v>
      </c>
      <c r="C299" t="s">
        <v>626</v>
      </c>
      <c r="D299">
        <v>21</v>
      </c>
      <c r="E299" t="s">
        <v>629</v>
      </c>
      <c r="F299">
        <v>903</v>
      </c>
      <c r="G299">
        <v>40947</v>
      </c>
      <c r="H299">
        <v>36975141</v>
      </c>
      <c r="I299" t="s">
        <v>646</v>
      </c>
      <c r="J299" t="s">
        <v>673</v>
      </c>
      <c r="K299" t="s">
        <v>664</v>
      </c>
      <c r="L299" t="s">
        <v>681</v>
      </c>
      <c r="M299" t="s">
        <v>683</v>
      </c>
      <c r="N299" t="s">
        <v>690</v>
      </c>
      <c r="O299" t="s">
        <v>693</v>
      </c>
      <c r="P299">
        <v>36975141</v>
      </c>
      <c r="Q299">
        <v>0</v>
      </c>
      <c r="R299">
        <v>3.33</v>
      </c>
      <c r="S299" t="s">
        <v>842</v>
      </c>
      <c r="T299" t="s">
        <v>988</v>
      </c>
      <c r="U299">
        <v>2024</v>
      </c>
      <c r="V299" t="s">
        <v>996</v>
      </c>
      <c r="W299" t="s">
        <v>999</v>
      </c>
      <c r="X299" t="s">
        <v>1002</v>
      </c>
      <c r="Y299">
        <v>3</v>
      </c>
      <c r="Z299">
        <v>35</v>
      </c>
    </row>
    <row r="300" spans="1:26" x14ac:dyDescent="0.3">
      <c r="A300" t="s">
        <v>324</v>
      </c>
      <c r="B300" t="s">
        <v>535</v>
      </c>
      <c r="C300" t="s">
        <v>627</v>
      </c>
      <c r="D300">
        <v>33</v>
      </c>
      <c r="E300" t="s">
        <v>629</v>
      </c>
      <c r="F300">
        <v>479</v>
      </c>
      <c r="G300">
        <v>11785</v>
      </c>
      <c r="H300">
        <v>5645015</v>
      </c>
      <c r="I300" t="s">
        <v>639</v>
      </c>
      <c r="J300" t="s">
        <v>671</v>
      </c>
      <c r="K300" t="s">
        <v>676</v>
      </c>
      <c r="L300" t="s">
        <v>681</v>
      </c>
      <c r="M300" t="s">
        <v>686</v>
      </c>
      <c r="N300" t="s">
        <v>690</v>
      </c>
      <c r="O300" t="s">
        <v>693</v>
      </c>
      <c r="P300">
        <v>5645015</v>
      </c>
      <c r="Q300">
        <v>0</v>
      </c>
      <c r="R300">
        <v>2.74</v>
      </c>
      <c r="S300" t="s">
        <v>913</v>
      </c>
      <c r="T300" t="s">
        <v>988</v>
      </c>
      <c r="U300">
        <v>2024</v>
      </c>
      <c r="V300" t="s">
        <v>994</v>
      </c>
      <c r="W300" t="s">
        <v>999</v>
      </c>
      <c r="X300" t="s">
        <v>1001</v>
      </c>
      <c r="Y300">
        <v>3</v>
      </c>
      <c r="Z300">
        <v>37</v>
      </c>
    </row>
    <row r="301" spans="1:26" x14ac:dyDescent="0.3">
      <c r="A301" t="s">
        <v>325</v>
      </c>
      <c r="B301" t="s">
        <v>620</v>
      </c>
      <c r="C301" t="s">
        <v>626</v>
      </c>
      <c r="D301">
        <v>23</v>
      </c>
      <c r="E301" t="s">
        <v>628</v>
      </c>
      <c r="F301">
        <v>518</v>
      </c>
      <c r="G301">
        <v>42190</v>
      </c>
      <c r="H301">
        <v>21854420</v>
      </c>
      <c r="I301" t="s">
        <v>654</v>
      </c>
      <c r="J301" t="s">
        <v>669</v>
      </c>
      <c r="K301" t="s">
        <v>676</v>
      </c>
      <c r="L301" t="s">
        <v>681</v>
      </c>
      <c r="M301" t="s">
        <v>684</v>
      </c>
      <c r="N301" t="s">
        <v>688</v>
      </c>
      <c r="O301" t="s">
        <v>694</v>
      </c>
      <c r="P301">
        <v>4703461</v>
      </c>
      <c r="Q301">
        <v>24</v>
      </c>
      <c r="R301">
        <v>0.28999999999999998</v>
      </c>
      <c r="S301" t="s">
        <v>914</v>
      </c>
      <c r="T301" t="s">
        <v>984</v>
      </c>
      <c r="U301">
        <v>2024</v>
      </c>
      <c r="V301" t="s">
        <v>995</v>
      </c>
      <c r="W301" t="s">
        <v>997</v>
      </c>
      <c r="X301" t="s">
        <v>1002</v>
      </c>
      <c r="Y301">
        <v>3</v>
      </c>
      <c r="Z301">
        <v>22</v>
      </c>
    </row>
    <row r="302" spans="1:26" x14ac:dyDescent="0.3">
      <c r="A302" t="s">
        <v>326</v>
      </c>
      <c r="B302" t="s">
        <v>531</v>
      </c>
      <c r="C302" t="s">
        <v>626</v>
      </c>
      <c r="D302">
        <v>39</v>
      </c>
      <c r="E302" t="s">
        <v>629</v>
      </c>
      <c r="F302">
        <v>973</v>
      </c>
      <c r="G302">
        <v>32519</v>
      </c>
      <c r="H302">
        <v>31640987</v>
      </c>
      <c r="I302" t="s">
        <v>656</v>
      </c>
      <c r="J302" t="s">
        <v>669</v>
      </c>
      <c r="K302" t="s">
        <v>676</v>
      </c>
      <c r="L302" t="s">
        <v>682</v>
      </c>
      <c r="M302" t="s">
        <v>684</v>
      </c>
      <c r="N302" t="s">
        <v>691</v>
      </c>
      <c r="O302" t="s">
        <v>693</v>
      </c>
      <c r="P302">
        <v>31640987</v>
      </c>
      <c r="Q302">
        <v>0</v>
      </c>
      <c r="R302">
        <v>0.93</v>
      </c>
      <c r="S302" t="s">
        <v>737</v>
      </c>
      <c r="T302" t="s">
        <v>984</v>
      </c>
      <c r="U302">
        <v>2024</v>
      </c>
      <c r="V302" t="s">
        <v>996</v>
      </c>
      <c r="W302" t="s">
        <v>999</v>
      </c>
      <c r="X302" t="s">
        <v>1000</v>
      </c>
      <c r="Y302">
        <v>5</v>
      </c>
      <c r="Z302">
        <v>17</v>
      </c>
    </row>
    <row r="303" spans="1:26" x14ac:dyDescent="0.3">
      <c r="A303" t="s">
        <v>327</v>
      </c>
      <c r="B303" t="s">
        <v>571</v>
      </c>
      <c r="C303" t="s">
        <v>626</v>
      </c>
      <c r="D303">
        <v>49</v>
      </c>
      <c r="E303" t="s">
        <v>628</v>
      </c>
      <c r="F303">
        <v>916</v>
      </c>
      <c r="G303">
        <v>45593</v>
      </c>
      <c r="H303">
        <v>41763188</v>
      </c>
      <c r="I303" t="s">
        <v>639</v>
      </c>
      <c r="J303" t="s">
        <v>671</v>
      </c>
      <c r="K303" t="s">
        <v>638</v>
      </c>
      <c r="L303" t="s">
        <v>681</v>
      </c>
      <c r="M303" t="s">
        <v>687</v>
      </c>
      <c r="N303" t="s">
        <v>692</v>
      </c>
      <c r="O303" t="s">
        <v>694</v>
      </c>
      <c r="P303">
        <v>14031801</v>
      </c>
      <c r="Q303">
        <v>12</v>
      </c>
      <c r="R303">
        <v>0.3</v>
      </c>
      <c r="S303" t="s">
        <v>915</v>
      </c>
      <c r="T303" t="s">
        <v>989</v>
      </c>
      <c r="U303">
        <v>2024</v>
      </c>
      <c r="V303" t="s">
        <v>996</v>
      </c>
      <c r="W303" t="s">
        <v>997</v>
      </c>
      <c r="X303" t="s">
        <v>1000</v>
      </c>
      <c r="Y303">
        <v>4</v>
      </c>
      <c r="Z303">
        <v>46</v>
      </c>
    </row>
    <row r="304" spans="1:26" x14ac:dyDescent="0.3">
      <c r="A304" t="s">
        <v>328</v>
      </c>
      <c r="B304" t="s">
        <v>583</v>
      </c>
      <c r="C304" t="s">
        <v>627</v>
      </c>
      <c r="D304">
        <v>50</v>
      </c>
      <c r="E304" t="s">
        <v>630</v>
      </c>
      <c r="F304">
        <v>865</v>
      </c>
      <c r="G304">
        <v>6648</v>
      </c>
      <c r="H304">
        <v>5750520</v>
      </c>
      <c r="I304" t="s">
        <v>646</v>
      </c>
      <c r="J304" t="s">
        <v>673</v>
      </c>
      <c r="K304" t="s">
        <v>675</v>
      </c>
      <c r="L304" t="s">
        <v>680</v>
      </c>
      <c r="M304" t="s">
        <v>687</v>
      </c>
      <c r="N304" t="s">
        <v>688</v>
      </c>
      <c r="O304" t="s">
        <v>694</v>
      </c>
      <c r="P304">
        <v>1841575</v>
      </c>
      <c r="Q304">
        <v>24</v>
      </c>
      <c r="R304">
        <v>4.13</v>
      </c>
      <c r="S304" t="s">
        <v>916</v>
      </c>
      <c r="T304" t="s">
        <v>983</v>
      </c>
      <c r="U304">
        <v>2024</v>
      </c>
      <c r="V304" t="s">
        <v>995</v>
      </c>
      <c r="W304" t="s">
        <v>998</v>
      </c>
      <c r="X304" t="s">
        <v>1001</v>
      </c>
      <c r="Y304">
        <v>3</v>
      </c>
      <c r="Z304">
        <v>35</v>
      </c>
    </row>
    <row r="305" spans="1:26" x14ac:dyDescent="0.3">
      <c r="A305" t="s">
        <v>329</v>
      </c>
      <c r="B305" t="s">
        <v>536</v>
      </c>
      <c r="C305" t="s">
        <v>627</v>
      </c>
      <c r="D305">
        <v>57</v>
      </c>
      <c r="E305" t="s">
        <v>629</v>
      </c>
      <c r="F305">
        <v>878</v>
      </c>
      <c r="G305">
        <v>45883</v>
      </c>
      <c r="H305">
        <v>40285274</v>
      </c>
      <c r="I305" t="s">
        <v>653</v>
      </c>
      <c r="J305" t="s">
        <v>668</v>
      </c>
      <c r="K305" t="s">
        <v>638</v>
      </c>
      <c r="L305" t="s">
        <v>681</v>
      </c>
      <c r="M305" t="s">
        <v>687</v>
      </c>
      <c r="N305" t="s">
        <v>692</v>
      </c>
      <c r="O305" t="s">
        <v>693</v>
      </c>
      <c r="P305">
        <v>40285274</v>
      </c>
      <c r="Q305">
        <v>0</v>
      </c>
      <c r="R305">
        <v>7.39</v>
      </c>
      <c r="S305" t="s">
        <v>917</v>
      </c>
      <c r="T305" t="s">
        <v>984</v>
      </c>
      <c r="U305">
        <v>2024</v>
      </c>
      <c r="V305" t="s">
        <v>993</v>
      </c>
      <c r="W305" t="s">
        <v>998</v>
      </c>
      <c r="X305" t="s">
        <v>1000</v>
      </c>
      <c r="Y305">
        <v>3</v>
      </c>
      <c r="Z305">
        <v>26</v>
      </c>
    </row>
    <row r="306" spans="1:26" x14ac:dyDescent="0.3">
      <c r="A306" t="s">
        <v>330</v>
      </c>
      <c r="B306" t="s">
        <v>613</v>
      </c>
      <c r="C306" t="s">
        <v>627</v>
      </c>
      <c r="D306">
        <v>29</v>
      </c>
      <c r="E306" t="s">
        <v>629</v>
      </c>
      <c r="F306">
        <v>901</v>
      </c>
      <c r="G306">
        <v>41086</v>
      </c>
      <c r="H306">
        <v>37018486</v>
      </c>
      <c r="I306" t="s">
        <v>642</v>
      </c>
      <c r="J306" t="s">
        <v>673</v>
      </c>
      <c r="K306" t="s">
        <v>676</v>
      </c>
      <c r="L306" t="s">
        <v>680</v>
      </c>
      <c r="M306" t="s">
        <v>684</v>
      </c>
      <c r="N306" t="s">
        <v>692</v>
      </c>
      <c r="O306" t="s">
        <v>694</v>
      </c>
      <c r="P306">
        <v>12893115</v>
      </c>
      <c r="Q306">
        <v>12</v>
      </c>
      <c r="R306">
        <v>6.6</v>
      </c>
      <c r="S306" t="s">
        <v>918</v>
      </c>
      <c r="T306" t="s">
        <v>981</v>
      </c>
      <c r="U306">
        <v>2024</v>
      </c>
      <c r="V306" t="s">
        <v>994</v>
      </c>
      <c r="W306" t="s">
        <v>998</v>
      </c>
      <c r="X306" t="s">
        <v>1001</v>
      </c>
      <c r="Y306">
        <v>5</v>
      </c>
      <c r="Z306">
        <v>29</v>
      </c>
    </row>
    <row r="307" spans="1:26" x14ac:dyDescent="0.3">
      <c r="A307" t="s">
        <v>331</v>
      </c>
      <c r="B307" t="s">
        <v>547</v>
      </c>
      <c r="C307" t="s">
        <v>626</v>
      </c>
      <c r="D307">
        <v>28</v>
      </c>
      <c r="E307" t="s">
        <v>630</v>
      </c>
      <c r="F307">
        <v>506</v>
      </c>
      <c r="G307">
        <v>39373</v>
      </c>
      <c r="H307">
        <v>19922738</v>
      </c>
      <c r="I307" t="s">
        <v>654</v>
      </c>
      <c r="J307" t="s">
        <v>669</v>
      </c>
      <c r="K307" t="s">
        <v>651</v>
      </c>
      <c r="L307" t="s">
        <v>680</v>
      </c>
      <c r="M307" t="s">
        <v>687</v>
      </c>
      <c r="N307" t="s">
        <v>692</v>
      </c>
      <c r="O307" t="s">
        <v>694</v>
      </c>
      <c r="P307">
        <v>8274658</v>
      </c>
      <c r="Q307">
        <v>24</v>
      </c>
      <c r="R307">
        <v>9.15</v>
      </c>
      <c r="S307" t="s">
        <v>919</v>
      </c>
      <c r="T307" t="s">
        <v>981</v>
      </c>
      <c r="U307">
        <v>2024</v>
      </c>
      <c r="V307" t="s">
        <v>993</v>
      </c>
      <c r="W307" t="s">
        <v>999</v>
      </c>
      <c r="X307" t="s">
        <v>1001</v>
      </c>
      <c r="Y307">
        <v>5</v>
      </c>
      <c r="Z307">
        <v>23</v>
      </c>
    </row>
    <row r="308" spans="1:26" x14ac:dyDescent="0.3">
      <c r="A308" t="s">
        <v>332</v>
      </c>
      <c r="B308" t="s">
        <v>570</v>
      </c>
      <c r="C308" t="s">
        <v>627</v>
      </c>
      <c r="D308">
        <v>50</v>
      </c>
      <c r="E308" t="s">
        <v>628</v>
      </c>
      <c r="F308">
        <v>440</v>
      </c>
      <c r="G308">
        <v>30292</v>
      </c>
      <c r="H308">
        <v>13328480</v>
      </c>
      <c r="I308" t="s">
        <v>646</v>
      </c>
      <c r="J308" t="s">
        <v>673</v>
      </c>
      <c r="K308" t="s">
        <v>664</v>
      </c>
      <c r="L308" t="s">
        <v>680</v>
      </c>
      <c r="M308" t="s">
        <v>686</v>
      </c>
      <c r="N308" t="s">
        <v>691</v>
      </c>
      <c r="O308" t="s">
        <v>694</v>
      </c>
      <c r="P308">
        <v>5511754</v>
      </c>
      <c r="Q308">
        <v>12</v>
      </c>
      <c r="R308">
        <v>4.0599999999999996</v>
      </c>
      <c r="S308" t="s">
        <v>817</v>
      </c>
      <c r="T308" t="s">
        <v>989</v>
      </c>
      <c r="U308">
        <v>2024</v>
      </c>
      <c r="V308" t="s">
        <v>994</v>
      </c>
      <c r="W308" t="s">
        <v>998</v>
      </c>
      <c r="X308" t="s">
        <v>1000</v>
      </c>
      <c r="Y308">
        <v>3</v>
      </c>
      <c r="Z308">
        <v>43</v>
      </c>
    </row>
    <row r="309" spans="1:26" x14ac:dyDescent="0.3">
      <c r="A309" t="s">
        <v>333</v>
      </c>
      <c r="B309" t="s">
        <v>564</v>
      </c>
      <c r="C309" t="s">
        <v>627</v>
      </c>
      <c r="D309">
        <v>28</v>
      </c>
      <c r="E309" t="s">
        <v>629</v>
      </c>
      <c r="F309">
        <v>273</v>
      </c>
      <c r="G309">
        <v>44492</v>
      </c>
      <c r="H309">
        <v>12146316</v>
      </c>
      <c r="I309" t="s">
        <v>654</v>
      </c>
      <c r="J309" t="s">
        <v>669</v>
      </c>
      <c r="K309" t="s">
        <v>664</v>
      </c>
      <c r="L309" t="s">
        <v>681</v>
      </c>
      <c r="M309" t="s">
        <v>684</v>
      </c>
      <c r="N309" t="s">
        <v>692</v>
      </c>
      <c r="O309" t="s">
        <v>693</v>
      </c>
      <c r="P309">
        <v>12146316</v>
      </c>
      <c r="Q309">
        <v>0</v>
      </c>
      <c r="R309">
        <v>1.44</v>
      </c>
      <c r="S309" t="s">
        <v>739</v>
      </c>
      <c r="T309" t="s">
        <v>986</v>
      </c>
      <c r="U309">
        <v>2024</v>
      </c>
      <c r="V309" t="s">
        <v>995</v>
      </c>
      <c r="W309" t="s">
        <v>997</v>
      </c>
      <c r="X309" t="s">
        <v>1000</v>
      </c>
      <c r="Y309">
        <v>4</v>
      </c>
      <c r="Z309">
        <v>33</v>
      </c>
    </row>
    <row r="310" spans="1:26" x14ac:dyDescent="0.3">
      <c r="A310" t="s">
        <v>334</v>
      </c>
      <c r="B310" t="s">
        <v>582</v>
      </c>
      <c r="C310" t="s">
        <v>626</v>
      </c>
      <c r="D310">
        <v>35</v>
      </c>
      <c r="E310" t="s">
        <v>629</v>
      </c>
      <c r="F310">
        <v>593</v>
      </c>
      <c r="G310">
        <v>25285</v>
      </c>
      <c r="H310">
        <v>14994005</v>
      </c>
      <c r="I310" t="s">
        <v>647</v>
      </c>
      <c r="J310" t="s">
        <v>670</v>
      </c>
      <c r="K310" t="s">
        <v>678</v>
      </c>
      <c r="L310" t="s">
        <v>682</v>
      </c>
      <c r="M310" t="s">
        <v>687</v>
      </c>
      <c r="N310" t="s">
        <v>691</v>
      </c>
      <c r="O310" t="s">
        <v>693</v>
      </c>
      <c r="P310">
        <v>14994005</v>
      </c>
      <c r="Q310">
        <v>0</v>
      </c>
      <c r="R310">
        <v>1.86</v>
      </c>
      <c r="S310" t="s">
        <v>764</v>
      </c>
      <c r="T310" t="s">
        <v>983</v>
      </c>
      <c r="U310">
        <v>2024</v>
      </c>
      <c r="V310" t="s">
        <v>994</v>
      </c>
      <c r="W310" t="s">
        <v>999</v>
      </c>
      <c r="X310" t="s">
        <v>1000</v>
      </c>
      <c r="Y310">
        <v>5</v>
      </c>
      <c r="Z310">
        <v>31</v>
      </c>
    </row>
    <row r="311" spans="1:26" x14ac:dyDescent="0.3">
      <c r="A311" t="s">
        <v>335</v>
      </c>
      <c r="B311" t="s">
        <v>551</v>
      </c>
      <c r="C311" t="s">
        <v>627</v>
      </c>
      <c r="D311">
        <v>53</v>
      </c>
      <c r="E311" t="s">
        <v>629</v>
      </c>
      <c r="F311">
        <v>794</v>
      </c>
      <c r="G311">
        <v>33557</v>
      </c>
      <c r="H311">
        <v>26644258</v>
      </c>
      <c r="I311" t="s">
        <v>635</v>
      </c>
      <c r="J311" t="s">
        <v>668</v>
      </c>
      <c r="K311" t="s">
        <v>676</v>
      </c>
      <c r="L311" t="s">
        <v>680</v>
      </c>
      <c r="M311" t="s">
        <v>683</v>
      </c>
      <c r="N311" t="s">
        <v>691</v>
      </c>
      <c r="O311" t="s">
        <v>693</v>
      </c>
      <c r="P311">
        <v>26644258</v>
      </c>
      <c r="Q311">
        <v>0</v>
      </c>
      <c r="R311">
        <v>1.42</v>
      </c>
      <c r="S311" t="s">
        <v>920</v>
      </c>
      <c r="T311" t="s">
        <v>986</v>
      </c>
      <c r="U311">
        <v>2024</v>
      </c>
      <c r="V311" t="s">
        <v>993</v>
      </c>
      <c r="W311" t="s">
        <v>997</v>
      </c>
      <c r="X311" t="s">
        <v>1001</v>
      </c>
      <c r="Y311">
        <v>5</v>
      </c>
      <c r="Z311">
        <v>38</v>
      </c>
    </row>
    <row r="312" spans="1:26" x14ac:dyDescent="0.3">
      <c r="A312" t="s">
        <v>336</v>
      </c>
      <c r="B312" t="s">
        <v>596</v>
      </c>
      <c r="C312" t="s">
        <v>626</v>
      </c>
      <c r="D312">
        <v>46</v>
      </c>
      <c r="E312" t="s">
        <v>630</v>
      </c>
      <c r="F312">
        <v>551</v>
      </c>
      <c r="G312">
        <v>37063</v>
      </c>
      <c r="H312">
        <v>20421713</v>
      </c>
      <c r="I312" t="s">
        <v>667</v>
      </c>
      <c r="J312" t="s">
        <v>671</v>
      </c>
      <c r="K312" t="s">
        <v>664</v>
      </c>
      <c r="L312" t="s">
        <v>681</v>
      </c>
      <c r="M312" t="s">
        <v>687</v>
      </c>
      <c r="N312" t="s">
        <v>688</v>
      </c>
      <c r="O312" t="s">
        <v>693</v>
      </c>
      <c r="P312">
        <v>20421713</v>
      </c>
      <c r="Q312">
        <v>0</v>
      </c>
      <c r="R312">
        <v>4.6900000000000004</v>
      </c>
      <c r="S312" t="s">
        <v>788</v>
      </c>
      <c r="T312" t="s">
        <v>986</v>
      </c>
      <c r="U312">
        <v>2024</v>
      </c>
      <c r="V312" t="s">
        <v>993</v>
      </c>
      <c r="W312" t="s">
        <v>997</v>
      </c>
      <c r="X312" t="s">
        <v>1001</v>
      </c>
      <c r="Y312">
        <v>3</v>
      </c>
      <c r="Z312">
        <v>47</v>
      </c>
    </row>
    <row r="313" spans="1:26" x14ac:dyDescent="0.3">
      <c r="A313" t="s">
        <v>337</v>
      </c>
      <c r="B313" t="s">
        <v>566</v>
      </c>
      <c r="C313" t="s">
        <v>627</v>
      </c>
      <c r="D313">
        <v>38</v>
      </c>
      <c r="E313" t="s">
        <v>630</v>
      </c>
      <c r="F313">
        <v>844</v>
      </c>
      <c r="G313">
        <v>33009</v>
      </c>
      <c r="H313">
        <v>27859596</v>
      </c>
      <c r="I313" t="s">
        <v>637</v>
      </c>
      <c r="J313" t="s">
        <v>672</v>
      </c>
      <c r="K313" t="s">
        <v>664</v>
      </c>
      <c r="L313" t="s">
        <v>680</v>
      </c>
      <c r="M313" t="s">
        <v>683</v>
      </c>
      <c r="N313" t="s">
        <v>692</v>
      </c>
      <c r="O313" t="s">
        <v>693</v>
      </c>
      <c r="P313">
        <v>27859596</v>
      </c>
      <c r="Q313">
        <v>0</v>
      </c>
      <c r="R313">
        <v>5.73</v>
      </c>
      <c r="S313" t="s">
        <v>921</v>
      </c>
      <c r="T313" t="s">
        <v>984</v>
      </c>
      <c r="U313">
        <v>2024</v>
      </c>
      <c r="V313" t="s">
        <v>993</v>
      </c>
      <c r="W313" t="s">
        <v>998</v>
      </c>
      <c r="X313" t="s">
        <v>1002</v>
      </c>
      <c r="Y313">
        <v>2</v>
      </c>
      <c r="Z313">
        <v>40</v>
      </c>
    </row>
    <row r="314" spans="1:26" x14ac:dyDescent="0.3">
      <c r="A314" t="s">
        <v>338</v>
      </c>
      <c r="B314" t="s">
        <v>594</v>
      </c>
      <c r="C314" t="s">
        <v>627</v>
      </c>
      <c r="D314">
        <v>36</v>
      </c>
      <c r="E314" t="s">
        <v>629</v>
      </c>
      <c r="F314">
        <v>214</v>
      </c>
      <c r="G314">
        <v>9310</v>
      </c>
      <c r="H314">
        <v>1992340</v>
      </c>
      <c r="I314" t="s">
        <v>657</v>
      </c>
      <c r="J314" t="s">
        <v>671</v>
      </c>
      <c r="K314" t="s">
        <v>677</v>
      </c>
      <c r="L314" t="s">
        <v>680</v>
      </c>
      <c r="M314" t="s">
        <v>684</v>
      </c>
      <c r="N314" t="s">
        <v>688</v>
      </c>
      <c r="O314" t="s">
        <v>693</v>
      </c>
      <c r="P314">
        <v>1992340</v>
      </c>
      <c r="Q314">
        <v>0</v>
      </c>
      <c r="R314">
        <v>9.1</v>
      </c>
      <c r="S314" t="s">
        <v>814</v>
      </c>
      <c r="T314" t="s">
        <v>987</v>
      </c>
      <c r="U314">
        <v>2024</v>
      </c>
      <c r="V314" t="s">
        <v>993</v>
      </c>
      <c r="W314" t="s">
        <v>998</v>
      </c>
      <c r="X314" t="s">
        <v>1000</v>
      </c>
      <c r="Y314">
        <v>2</v>
      </c>
      <c r="Z314">
        <v>39</v>
      </c>
    </row>
    <row r="315" spans="1:26" x14ac:dyDescent="0.3">
      <c r="A315" t="s">
        <v>339</v>
      </c>
      <c r="B315" t="s">
        <v>590</v>
      </c>
      <c r="C315" t="s">
        <v>626</v>
      </c>
      <c r="D315">
        <v>23</v>
      </c>
      <c r="E315" t="s">
        <v>629</v>
      </c>
      <c r="F315">
        <v>988</v>
      </c>
      <c r="G315">
        <v>27111</v>
      </c>
      <c r="H315">
        <v>26785668</v>
      </c>
      <c r="I315" t="s">
        <v>632</v>
      </c>
      <c r="J315" t="s">
        <v>669</v>
      </c>
      <c r="K315" t="s">
        <v>640</v>
      </c>
      <c r="L315" t="s">
        <v>681</v>
      </c>
      <c r="M315" t="s">
        <v>685</v>
      </c>
      <c r="N315" t="s">
        <v>689</v>
      </c>
      <c r="O315" t="s">
        <v>693</v>
      </c>
      <c r="P315">
        <v>26785668</v>
      </c>
      <c r="Q315">
        <v>0</v>
      </c>
      <c r="R315">
        <v>6.61</v>
      </c>
      <c r="S315" t="s">
        <v>922</v>
      </c>
      <c r="T315" t="s">
        <v>983</v>
      </c>
      <c r="U315">
        <v>2024</v>
      </c>
      <c r="V315" t="s">
        <v>996</v>
      </c>
      <c r="W315" t="s">
        <v>998</v>
      </c>
      <c r="X315" t="s">
        <v>1002</v>
      </c>
      <c r="Y315">
        <v>4</v>
      </c>
      <c r="Z315">
        <v>20</v>
      </c>
    </row>
    <row r="316" spans="1:26" x14ac:dyDescent="0.3">
      <c r="A316" t="s">
        <v>340</v>
      </c>
      <c r="B316" t="s">
        <v>591</v>
      </c>
      <c r="C316" t="s">
        <v>626</v>
      </c>
      <c r="D316">
        <v>44</v>
      </c>
      <c r="E316" t="s">
        <v>629</v>
      </c>
      <c r="F316">
        <v>439</v>
      </c>
      <c r="G316">
        <v>26890</v>
      </c>
      <c r="H316">
        <v>11804710</v>
      </c>
      <c r="I316" t="s">
        <v>634</v>
      </c>
      <c r="J316" t="s">
        <v>670</v>
      </c>
      <c r="K316" t="s">
        <v>675</v>
      </c>
      <c r="L316" t="s">
        <v>681</v>
      </c>
      <c r="M316" t="s">
        <v>686</v>
      </c>
      <c r="N316" t="s">
        <v>689</v>
      </c>
      <c r="O316" t="s">
        <v>694</v>
      </c>
      <c r="P316">
        <v>3291006</v>
      </c>
      <c r="Q316">
        <v>24</v>
      </c>
      <c r="R316">
        <v>5.3</v>
      </c>
      <c r="S316" t="s">
        <v>817</v>
      </c>
      <c r="T316" t="s">
        <v>989</v>
      </c>
      <c r="U316">
        <v>2024</v>
      </c>
      <c r="V316" t="s">
        <v>993</v>
      </c>
      <c r="W316" t="s">
        <v>997</v>
      </c>
      <c r="X316" t="s">
        <v>1001</v>
      </c>
      <c r="Y316">
        <v>3</v>
      </c>
      <c r="Z316">
        <v>28</v>
      </c>
    </row>
    <row r="317" spans="1:26" x14ac:dyDescent="0.3">
      <c r="A317" t="s">
        <v>341</v>
      </c>
      <c r="B317" t="s">
        <v>562</v>
      </c>
      <c r="C317" t="s">
        <v>627</v>
      </c>
      <c r="D317">
        <v>53</v>
      </c>
      <c r="E317" t="s">
        <v>630</v>
      </c>
      <c r="F317">
        <v>543</v>
      </c>
      <c r="G317">
        <v>19716</v>
      </c>
      <c r="H317">
        <v>10705788</v>
      </c>
      <c r="I317" t="s">
        <v>655</v>
      </c>
      <c r="J317" t="s">
        <v>672</v>
      </c>
      <c r="K317" t="s">
        <v>677</v>
      </c>
      <c r="L317" t="s">
        <v>682</v>
      </c>
      <c r="M317" t="s">
        <v>683</v>
      </c>
      <c r="N317" t="s">
        <v>690</v>
      </c>
      <c r="O317" t="s">
        <v>694</v>
      </c>
      <c r="P317">
        <v>2961255</v>
      </c>
      <c r="Q317">
        <v>3</v>
      </c>
      <c r="R317">
        <v>5.84</v>
      </c>
      <c r="S317" t="s">
        <v>923</v>
      </c>
      <c r="T317" t="s">
        <v>989</v>
      </c>
      <c r="U317">
        <v>2024</v>
      </c>
      <c r="V317" t="s">
        <v>993</v>
      </c>
      <c r="W317" t="s">
        <v>997</v>
      </c>
      <c r="X317" t="s">
        <v>1000</v>
      </c>
      <c r="Y317">
        <v>1</v>
      </c>
      <c r="Z317">
        <v>1</v>
      </c>
    </row>
    <row r="318" spans="1:26" x14ac:dyDescent="0.3">
      <c r="A318" t="s">
        <v>342</v>
      </c>
      <c r="B318" t="s">
        <v>610</v>
      </c>
      <c r="C318" t="s">
        <v>627</v>
      </c>
      <c r="D318">
        <v>23</v>
      </c>
      <c r="E318" t="s">
        <v>629</v>
      </c>
      <c r="F318">
        <v>306</v>
      </c>
      <c r="G318">
        <v>46924</v>
      </c>
      <c r="H318">
        <v>14358744</v>
      </c>
      <c r="I318" t="s">
        <v>663</v>
      </c>
      <c r="J318" t="s">
        <v>670</v>
      </c>
      <c r="K318" t="s">
        <v>675</v>
      </c>
      <c r="L318" t="s">
        <v>682</v>
      </c>
      <c r="M318" t="s">
        <v>683</v>
      </c>
      <c r="N318" t="s">
        <v>692</v>
      </c>
      <c r="O318" t="s">
        <v>694</v>
      </c>
      <c r="P318">
        <v>3816912</v>
      </c>
      <c r="Q318">
        <v>12</v>
      </c>
      <c r="R318">
        <v>2.83</v>
      </c>
      <c r="S318" t="s">
        <v>859</v>
      </c>
      <c r="T318" t="s">
        <v>990</v>
      </c>
      <c r="U318">
        <v>2024</v>
      </c>
      <c r="V318" t="s">
        <v>993</v>
      </c>
      <c r="W318" t="s">
        <v>997</v>
      </c>
      <c r="X318" t="s">
        <v>1000</v>
      </c>
      <c r="Y318">
        <v>1</v>
      </c>
      <c r="Z318">
        <v>39</v>
      </c>
    </row>
    <row r="319" spans="1:26" x14ac:dyDescent="0.3">
      <c r="A319" t="s">
        <v>343</v>
      </c>
      <c r="B319" t="s">
        <v>589</v>
      </c>
      <c r="C319" t="s">
        <v>626</v>
      </c>
      <c r="D319">
        <v>47</v>
      </c>
      <c r="E319" t="s">
        <v>629</v>
      </c>
      <c r="F319">
        <v>389</v>
      </c>
      <c r="G319">
        <v>9264</v>
      </c>
      <c r="H319">
        <v>3603696</v>
      </c>
      <c r="I319" t="s">
        <v>632</v>
      </c>
      <c r="J319" t="s">
        <v>669</v>
      </c>
      <c r="K319" t="s">
        <v>674</v>
      </c>
      <c r="L319" t="s">
        <v>682</v>
      </c>
      <c r="M319" t="s">
        <v>687</v>
      </c>
      <c r="N319" t="s">
        <v>690</v>
      </c>
      <c r="O319" t="s">
        <v>693</v>
      </c>
      <c r="P319">
        <v>3603696</v>
      </c>
      <c r="Q319">
        <v>0</v>
      </c>
      <c r="R319">
        <v>2.5299999999999998</v>
      </c>
      <c r="S319" t="s">
        <v>924</v>
      </c>
      <c r="T319" t="s">
        <v>989</v>
      </c>
      <c r="U319">
        <v>2024</v>
      </c>
      <c r="V319" t="s">
        <v>996</v>
      </c>
      <c r="W319" t="s">
        <v>999</v>
      </c>
      <c r="X319" t="s">
        <v>1002</v>
      </c>
      <c r="Y319">
        <v>1</v>
      </c>
      <c r="Z319">
        <v>25</v>
      </c>
    </row>
    <row r="320" spans="1:26" x14ac:dyDescent="0.3">
      <c r="A320" t="s">
        <v>344</v>
      </c>
      <c r="B320" t="s">
        <v>562</v>
      </c>
      <c r="C320" t="s">
        <v>626</v>
      </c>
      <c r="D320">
        <v>31</v>
      </c>
      <c r="E320" t="s">
        <v>629</v>
      </c>
      <c r="F320">
        <v>464</v>
      </c>
      <c r="G320">
        <v>19345</v>
      </c>
      <c r="H320">
        <v>8976080</v>
      </c>
      <c r="I320" t="s">
        <v>645</v>
      </c>
      <c r="J320" t="s">
        <v>670</v>
      </c>
      <c r="K320" t="s">
        <v>664</v>
      </c>
      <c r="L320" t="s">
        <v>681</v>
      </c>
      <c r="M320" t="s">
        <v>685</v>
      </c>
      <c r="N320" t="s">
        <v>688</v>
      </c>
      <c r="O320" t="s">
        <v>693</v>
      </c>
      <c r="P320">
        <v>8976080</v>
      </c>
      <c r="Q320">
        <v>0</v>
      </c>
      <c r="R320">
        <v>4.41</v>
      </c>
      <c r="S320" t="s">
        <v>925</v>
      </c>
      <c r="T320" t="s">
        <v>986</v>
      </c>
      <c r="U320">
        <v>2024</v>
      </c>
      <c r="V320" t="s">
        <v>995</v>
      </c>
      <c r="W320" t="s">
        <v>999</v>
      </c>
      <c r="X320" t="s">
        <v>1001</v>
      </c>
      <c r="Y320">
        <v>1</v>
      </c>
      <c r="Z320">
        <v>29</v>
      </c>
    </row>
    <row r="321" spans="1:26" x14ac:dyDescent="0.3">
      <c r="A321" t="s">
        <v>345</v>
      </c>
      <c r="B321" t="s">
        <v>605</v>
      </c>
      <c r="C321" t="s">
        <v>626</v>
      </c>
      <c r="D321">
        <v>29</v>
      </c>
      <c r="E321" t="s">
        <v>629</v>
      </c>
      <c r="F321">
        <v>235</v>
      </c>
      <c r="G321">
        <v>6778</v>
      </c>
      <c r="H321">
        <v>1592830</v>
      </c>
      <c r="I321" t="s">
        <v>635</v>
      </c>
      <c r="J321" t="s">
        <v>668</v>
      </c>
      <c r="K321" t="s">
        <v>676</v>
      </c>
      <c r="L321" t="s">
        <v>682</v>
      </c>
      <c r="M321" t="s">
        <v>685</v>
      </c>
      <c r="N321" t="s">
        <v>689</v>
      </c>
      <c r="O321" t="s">
        <v>693</v>
      </c>
      <c r="P321">
        <v>1592830</v>
      </c>
      <c r="Q321">
        <v>0</v>
      </c>
      <c r="R321">
        <v>5.71</v>
      </c>
      <c r="S321" t="s">
        <v>883</v>
      </c>
      <c r="T321" t="s">
        <v>992</v>
      </c>
      <c r="U321">
        <v>2024</v>
      </c>
      <c r="V321" t="s">
        <v>995</v>
      </c>
      <c r="W321" t="s">
        <v>998</v>
      </c>
      <c r="X321" t="s">
        <v>1000</v>
      </c>
      <c r="Y321">
        <v>3</v>
      </c>
      <c r="Z321">
        <v>26</v>
      </c>
    </row>
    <row r="322" spans="1:26" x14ac:dyDescent="0.3">
      <c r="A322" t="s">
        <v>346</v>
      </c>
      <c r="B322" t="s">
        <v>570</v>
      </c>
      <c r="C322" t="s">
        <v>627</v>
      </c>
      <c r="D322">
        <v>44</v>
      </c>
      <c r="E322" t="s">
        <v>629</v>
      </c>
      <c r="F322">
        <v>924</v>
      </c>
      <c r="G322">
        <v>34157</v>
      </c>
      <c r="H322">
        <v>31561068</v>
      </c>
      <c r="I322" t="s">
        <v>638</v>
      </c>
      <c r="J322" t="s">
        <v>672</v>
      </c>
      <c r="K322" t="s">
        <v>675</v>
      </c>
      <c r="L322" t="s">
        <v>681</v>
      </c>
      <c r="M322" t="s">
        <v>685</v>
      </c>
      <c r="N322" t="s">
        <v>692</v>
      </c>
      <c r="O322" t="s">
        <v>694</v>
      </c>
      <c r="P322">
        <v>10136589</v>
      </c>
      <c r="Q322">
        <v>24</v>
      </c>
      <c r="R322">
        <v>7.28</v>
      </c>
      <c r="S322" t="s">
        <v>871</v>
      </c>
      <c r="T322" t="s">
        <v>981</v>
      </c>
      <c r="U322">
        <v>2024</v>
      </c>
      <c r="V322" t="s">
        <v>994</v>
      </c>
      <c r="W322" t="s">
        <v>998</v>
      </c>
      <c r="X322" t="s">
        <v>1001</v>
      </c>
      <c r="Y322">
        <v>3</v>
      </c>
      <c r="Z322">
        <v>26</v>
      </c>
    </row>
    <row r="323" spans="1:26" x14ac:dyDescent="0.3">
      <c r="A323" t="s">
        <v>347</v>
      </c>
      <c r="B323" t="s">
        <v>613</v>
      </c>
      <c r="C323" t="s">
        <v>627</v>
      </c>
      <c r="D323">
        <v>44</v>
      </c>
      <c r="E323" t="s">
        <v>629</v>
      </c>
      <c r="F323">
        <v>574</v>
      </c>
      <c r="G323">
        <v>37037</v>
      </c>
      <c r="H323">
        <v>21259238</v>
      </c>
      <c r="I323" t="s">
        <v>662</v>
      </c>
      <c r="J323" t="s">
        <v>673</v>
      </c>
      <c r="K323" t="s">
        <v>676</v>
      </c>
      <c r="L323" t="s">
        <v>680</v>
      </c>
      <c r="M323" t="s">
        <v>687</v>
      </c>
      <c r="N323" t="s">
        <v>691</v>
      </c>
      <c r="O323" t="s">
        <v>694</v>
      </c>
      <c r="P323">
        <v>9616711</v>
      </c>
      <c r="Q323">
        <v>3</v>
      </c>
      <c r="R323">
        <v>7.6</v>
      </c>
      <c r="S323" t="s">
        <v>926</v>
      </c>
      <c r="T323" t="s">
        <v>992</v>
      </c>
      <c r="U323">
        <v>2024</v>
      </c>
      <c r="V323" t="s">
        <v>993</v>
      </c>
      <c r="W323" t="s">
        <v>997</v>
      </c>
      <c r="X323" t="s">
        <v>1001</v>
      </c>
      <c r="Y323">
        <v>3</v>
      </c>
      <c r="Z323">
        <v>32</v>
      </c>
    </row>
    <row r="324" spans="1:26" x14ac:dyDescent="0.3">
      <c r="A324" t="s">
        <v>348</v>
      </c>
      <c r="B324" t="s">
        <v>550</v>
      </c>
      <c r="C324" t="s">
        <v>626</v>
      </c>
      <c r="D324">
        <v>44</v>
      </c>
      <c r="E324" t="s">
        <v>628</v>
      </c>
      <c r="F324">
        <v>952</v>
      </c>
      <c r="G324">
        <v>14416</v>
      </c>
      <c r="H324">
        <v>13724032</v>
      </c>
      <c r="I324" t="s">
        <v>662</v>
      </c>
      <c r="J324" t="s">
        <v>673</v>
      </c>
      <c r="K324" t="s">
        <v>678</v>
      </c>
      <c r="L324" t="s">
        <v>682</v>
      </c>
      <c r="M324" t="s">
        <v>687</v>
      </c>
      <c r="N324" t="s">
        <v>691</v>
      </c>
      <c r="O324" t="s">
        <v>693</v>
      </c>
      <c r="P324">
        <v>13724032</v>
      </c>
      <c r="Q324">
        <v>0</v>
      </c>
      <c r="R324">
        <v>0.36</v>
      </c>
      <c r="S324" t="s">
        <v>927</v>
      </c>
      <c r="T324" t="s">
        <v>988</v>
      </c>
      <c r="U324">
        <v>2024</v>
      </c>
      <c r="V324" t="s">
        <v>995</v>
      </c>
      <c r="W324" t="s">
        <v>999</v>
      </c>
      <c r="X324" t="s">
        <v>1000</v>
      </c>
      <c r="Y324">
        <v>3</v>
      </c>
      <c r="Z324">
        <v>4</v>
      </c>
    </row>
    <row r="325" spans="1:26" x14ac:dyDescent="0.3">
      <c r="A325" t="s">
        <v>349</v>
      </c>
      <c r="B325" t="s">
        <v>621</v>
      </c>
      <c r="C325" t="s">
        <v>627</v>
      </c>
      <c r="D325">
        <v>57</v>
      </c>
      <c r="E325" t="s">
        <v>628</v>
      </c>
      <c r="F325">
        <v>615</v>
      </c>
      <c r="G325">
        <v>9745</v>
      </c>
      <c r="H325">
        <v>5993175</v>
      </c>
      <c r="I325" t="s">
        <v>636</v>
      </c>
      <c r="J325" t="s">
        <v>671</v>
      </c>
      <c r="K325" t="s">
        <v>664</v>
      </c>
      <c r="L325" t="s">
        <v>680</v>
      </c>
      <c r="M325" t="s">
        <v>685</v>
      </c>
      <c r="N325" t="s">
        <v>688</v>
      </c>
      <c r="O325" t="s">
        <v>693</v>
      </c>
      <c r="P325">
        <v>5993175</v>
      </c>
      <c r="Q325">
        <v>0</v>
      </c>
      <c r="R325">
        <v>8.07</v>
      </c>
      <c r="S325" t="s">
        <v>719</v>
      </c>
      <c r="T325" t="s">
        <v>984</v>
      </c>
      <c r="U325">
        <v>2024</v>
      </c>
      <c r="V325" t="s">
        <v>995</v>
      </c>
      <c r="W325" t="s">
        <v>997</v>
      </c>
      <c r="X325" t="s">
        <v>1000</v>
      </c>
      <c r="Y325">
        <v>4</v>
      </c>
      <c r="Z325">
        <v>40</v>
      </c>
    </row>
    <row r="326" spans="1:26" x14ac:dyDescent="0.3">
      <c r="A326" t="s">
        <v>350</v>
      </c>
      <c r="B326" t="s">
        <v>596</v>
      </c>
      <c r="C326" t="s">
        <v>627</v>
      </c>
      <c r="D326">
        <v>57</v>
      </c>
      <c r="E326" t="s">
        <v>628</v>
      </c>
      <c r="F326">
        <v>214</v>
      </c>
      <c r="G326">
        <v>13288</v>
      </c>
      <c r="H326">
        <v>2843632</v>
      </c>
      <c r="I326" t="s">
        <v>641</v>
      </c>
      <c r="J326" t="s">
        <v>673</v>
      </c>
      <c r="K326" t="s">
        <v>638</v>
      </c>
      <c r="L326" t="s">
        <v>680</v>
      </c>
      <c r="M326" t="s">
        <v>685</v>
      </c>
      <c r="N326" t="s">
        <v>691</v>
      </c>
      <c r="O326" t="s">
        <v>693</v>
      </c>
      <c r="P326">
        <v>2843632</v>
      </c>
      <c r="Q326">
        <v>0</v>
      </c>
      <c r="R326">
        <v>9.0500000000000007</v>
      </c>
      <c r="S326" t="s">
        <v>928</v>
      </c>
      <c r="T326" t="s">
        <v>981</v>
      </c>
      <c r="U326">
        <v>2024</v>
      </c>
      <c r="V326" t="s">
        <v>996</v>
      </c>
      <c r="W326" t="s">
        <v>999</v>
      </c>
      <c r="X326" t="s">
        <v>1000</v>
      </c>
      <c r="Y326">
        <v>4</v>
      </c>
      <c r="Z326">
        <v>22</v>
      </c>
    </row>
    <row r="327" spans="1:26" x14ac:dyDescent="0.3">
      <c r="A327" t="s">
        <v>351</v>
      </c>
      <c r="B327" t="s">
        <v>582</v>
      </c>
      <c r="C327" t="s">
        <v>627</v>
      </c>
      <c r="D327">
        <v>41</v>
      </c>
      <c r="E327" t="s">
        <v>628</v>
      </c>
      <c r="F327">
        <v>532</v>
      </c>
      <c r="G327">
        <v>9916</v>
      </c>
      <c r="H327">
        <v>5275312</v>
      </c>
      <c r="I327" t="s">
        <v>659</v>
      </c>
      <c r="J327" t="s">
        <v>668</v>
      </c>
      <c r="K327" t="s">
        <v>640</v>
      </c>
      <c r="L327" t="s">
        <v>680</v>
      </c>
      <c r="M327" t="s">
        <v>687</v>
      </c>
      <c r="N327" t="s">
        <v>688</v>
      </c>
      <c r="O327" t="s">
        <v>693</v>
      </c>
      <c r="P327">
        <v>5275312</v>
      </c>
      <c r="Q327">
        <v>0</v>
      </c>
      <c r="R327">
        <v>3.22</v>
      </c>
      <c r="S327" t="s">
        <v>710</v>
      </c>
      <c r="T327" t="s">
        <v>990</v>
      </c>
      <c r="U327">
        <v>2024</v>
      </c>
      <c r="V327" t="s">
        <v>995</v>
      </c>
      <c r="W327" t="s">
        <v>999</v>
      </c>
      <c r="X327" t="s">
        <v>1001</v>
      </c>
      <c r="Y327">
        <v>3</v>
      </c>
      <c r="Z327">
        <v>36</v>
      </c>
    </row>
    <row r="328" spans="1:26" x14ac:dyDescent="0.3">
      <c r="A328" t="s">
        <v>352</v>
      </c>
      <c r="B328" t="s">
        <v>578</v>
      </c>
      <c r="C328" t="s">
        <v>627</v>
      </c>
      <c r="D328">
        <v>21</v>
      </c>
      <c r="E328" t="s">
        <v>630</v>
      </c>
      <c r="F328">
        <v>795</v>
      </c>
      <c r="G328">
        <v>4667</v>
      </c>
      <c r="H328">
        <v>3710265</v>
      </c>
      <c r="I328" t="s">
        <v>632</v>
      </c>
      <c r="J328" t="s">
        <v>669</v>
      </c>
      <c r="K328" t="s">
        <v>679</v>
      </c>
      <c r="L328" t="s">
        <v>680</v>
      </c>
      <c r="M328" t="s">
        <v>685</v>
      </c>
      <c r="N328" t="s">
        <v>689</v>
      </c>
      <c r="O328" t="s">
        <v>693</v>
      </c>
      <c r="P328">
        <v>3710265</v>
      </c>
      <c r="Q328">
        <v>0</v>
      </c>
      <c r="R328">
        <v>1</v>
      </c>
      <c r="S328" t="s">
        <v>929</v>
      </c>
      <c r="T328" t="s">
        <v>983</v>
      </c>
      <c r="U328">
        <v>2024</v>
      </c>
      <c r="V328" t="s">
        <v>996</v>
      </c>
      <c r="W328" t="s">
        <v>999</v>
      </c>
      <c r="X328" t="s">
        <v>1001</v>
      </c>
      <c r="Y328">
        <v>5</v>
      </c>
      <c r="Z328">
        <v>19</v>
      </c>
    </row>
    <row r="329" spans="1:26" x14ac:dyDescent="0.3">
      <c r="A329" t="s">
        <v>353</v>
      </c>
      <c r="B329" t="s">
        <v>621</v>
      </c>
      <c r="C329" t="s">
        <v>626</v>
      </c>
      <c r="D329">
        <v>35</v>
      </c>
      <c r="E329" t="s">
        <v>628</v>
      </c>
      <c r="F329">
        <v>908</v>
      </c>
      <c r="G329">
        <v>10316</v>
      </c>
      <c r="H329">
        <v>9366928</v>
      </c>
      <c r="I329" t="s">
        <v>634</v>
      </c>
      <c r="J329" t="s">
        <v>670</v>
      </c>
      <c r="K329" t="s">
        <v>678</v>
      </c>
      <c r="L329" t="s">
        <v>682</v>
      </c>
      <c r="M329" t="s">
        <v>685</v>
      </c>
      <c r="N329" t="s">
        <v>692</v>
      </c>
      <c r="O329" t="s">
        <v>693</v>
      </c>
      <c r="P329">
        <v>9366928</v>
      </c>
      <c r="Q329">
        <v>0</v>
      </c>
      <c r="R329">
        <v>1.43</v>
      </c>
      <c r="S329" t="s">
        <v>930</v>
      </c>
      <c r="T329" t="s">
        <v>992</v>
      </c>
      <c r="U329">
        <v>2024</v>
      </c>
      <c r="V329" t="s">
        <v>996</v>
      </c>
      <c r="W329" t="s">
        <v>997</v>
      </c>
      <c r="X329" t="s">
        <v>1002</v>
      </c>
      <c r="Y329">
        <v>5</v>
      </c>
      <c r="Z329">
        <v>6</v>
      </c>
    </row>
    <row r="330" spans="1:26" x14ac:dyDescent="0.3">
      <c r="A330" t="s">
        <v>354</v>
      </c>
      <c r="B330" t="s">
        <v>529</v>
      </c>
      <c r="C330" t="s">
        <v>626</v>
      </c>
      <c r="D330">
        <v>54</v>
      </c>
      <c r="E330" t="s">
        <v>629</v>
      </c>
      <c r="F330">
        <v>628</v>
      </c>
      <c r="G330">
        <v>2299</v>
      </c>
      <c r="H330">
        <v>1443772</v>
      </c>
      <c r="I330" t="s">
        <v>635</v>
      </c>
      <c r="J330" t="s">
        <v>668</v>
      </c>
      <c r="K330" t="s">
        <v>651</v>
      </c>
      <c r="L330" t="s">
        <v>680</v>
      </c>
      <c r="M330" t="s">
        <v>684</v>
      </c>
      <c r="N330" t="s">
        <v>688</v>
      </c>
      <c r="O330" t="s">
        <v>693</v>
      </c>
      <c r="P330">
        <v>1443772</v>
      </c>
      <c r="Q330">
        <v>0</v>
      </c>
      <c r="R330">
        <v>1.92</v>
      </c>
      <c r="S330" t="s">
        <v>868</v>
      </c>
      <c r="T330" t="s">
        <v>986</v>
      </c>
      <c r="U330">
        <v>2024</v>
      </c>
      <c r="V330" t="s">
        <v>994</v>
      </c>
      <c r="W330" t="s">
        <v>999</v>
      </c>
      <c r="X330" t="s">
        <v>1000</v>
      </c>
      <c r="Y330">
        <v>1</v>
      </c>
      <c r="Z330">
        <v>10</v>
      </c>
    </row>
    <row r="331" spans="1:26" x14ac:dyDescent="0.3">
      <c r="A331" t="s">
        <v>355</v>
      </c>
      <c r="B331" t="s">
        <v>609</v>
      </c>
      <c r="C331" t="s">
        <v>626</v>
      </c>
      <c r="D331">
        <v>36</v>
      </c>
      <c r="E331" t="s">
        <v>630</v>
      </c>
      <c r="F331">
        <v>380</v>
      </c>
      <c r="G331">
        <v>12470</v>
      </c>
      <c r="H331">
        <v>4738600</v>
      </c>
      <c r="I331" t="s">
        <v>633</v>
      </c>
      <c r="J331" t="s">
        <v>668</v>
      </c>
      <c r="K331" t="s">
        <v>678</v>
      </c>
      <c r="L331" t="s">
        <v>682</v>
      </c>
      <c r="M331" t="s">
        <v>684</v>
      </c>
      <c r="N331" t="s">
        <v>689</v>
      </c>
      <c r="O331" t="s">
        <v>693</v>
      </c>
      <c r="P331">
        <v>4738600</v>
      </c>
      <c r="Q331">
        <v>0</v>
      </c>
      <c r="R331">
        <v>0.54</v>
      </c>
      <c r="S331" t="s">
        <v>802</v>
      </c>
      <c r="T331" t="s">
        <v>991</v>
      </c>
      <c r="U331">
        <v>2024</v>
      </c>
      <c r="V331" t="s">
        <v>993</v>
      </c>
      <c r="W331" t="s">
        <v>997</v>
      </c>
      <c r="X331" t="s">
        <v>1000</v>
      </c>
      <c r="Y331">
        <v>5</v>
      </c>
      <c r="Z331">
        <v>12</v>
      </c>
    </row>
    <row r="332" spans="1:26" x14ac:dyDescent="0.3">
      <c r="A332" t="s">
        <v>356</v>
      </c>
      <c r="B332" t="s">
        <v>573</v>
      </c>
      <c r="C332" t="s">
        <v>626</v>
      </c>
      <c r="D332">
        <v>46</v>
      </c>
      <c r="E332" t="s">
        <v>628</v>
      </c>
      <c r="F332">
        <v>727</v>
      </c>
      <c r="G332">
        <v>9606</v>
      </c>
      <c r="H332">
        <v>6983562</v>
      </c>
      <c r="I332" t="s">
        <v>649</v>
      </c>
      <c r="J332" t="s">
        <v>669</v>
      </c>
      <c r="K332" t="s">
        <v>678</v>
      </c>
      <c r="L332" t="s">
        <v>682</v>
      </c>
      <c r="M332" t="s">
        <v>687</v>
      </c>
      <c r="N332" t="s">
        <v>688</v>
      </c>
      <c r="O332" t="s">
        <v>693</v>
      </c>
      <c r="P332">
        <v>6983562</v>
      </c>
      <c r="Q332">
        <v>0</v>
      </c>
      <c r="R332">
        <v>8.9499999999999993</v>
      </c>
      <c r="S332" t="s">
        <v>750</v>
      </c>
      <c r="T332" t="s">
        <v>989</v>
      </c>
      <c r="U332">
        <v>2024</v>
      </c>
      <c r="V332" t="s">
        <v>993</v>
      </c>
      <c r="W332" t="s">
        <v>998</v>
      </c>
      <c r="X332" t="s">
        <v>1000</v>
      </c>
      <c r="Y332">
        <v>1</v>
      </c>
      <c r="Z332">
        <v>16</v>
      </c>
    </row>
    <row r="333" spans="1:26" x14ac:dyDescent="0.3">
      <c r="A333" t="s">
        <v>357</v>
      </c>
      <c r="B333" t="s">
        <v>576</v>
      </c>
      <c r="C333" t="s">
        <v>627</v>
      </c>
      <c r="D333">
        <v>33</v>
      </c>
      <c r="E333" t="s">
        <v>629</v>
      </c>
      <c r="F333">
        <v>584</v>
      </c>
      <c r="G333">
        <v>16461</v>
      </c>
      <c r="H333">
        <v>9613224</v>
      </c>
      <c r="I333" t="s">
        <v>633</v>
      </c>
      <c r="J333" t="s">
        <v>668</v>
      </c>
      <c r="K333" t="s">
        <v>679</v>
      </c>
      <c r="L333" t="s">
        <v>681</v>
      </c>
      <c r="M333" t="s">
        <v>683</v>
      </c>
      <c r="N333" t="s">
        <v>691</v>
      </c>
      <c r="O333" t="s">
        <v>693</v>
      </c>
      <c r="P333">
        <v>9613224</v>
      </c>
      <c r="Q333">
        <v>0</v>
      </c>
      <c r="R333">
        <v>4.71</v>
      </c>
      <c r="S333" t="s">
        <v>931</v>
      </c>
      <c r="T333" t="s">
        <v>986</v>
      </c>
      <c r="U333">
        <v>2024</v>
      </c>
      <c r="V333" t="s">
        <v>994</v>
      </c>
      <c r="W333" t="s">
        <v>999</v>
      </c>
      <c r="X333" t="s">
        <v>1002</v>
      </c>
      <c r="Y333">
        <v>2</v>
      </c>
      <c r="Z333">
        <v>41</v>
      </c>
    </row>
    <row r="334" spans="1:26" x14ac:dyDescent="0.3">
      <c r="A334" t="s">
        <v>358</v>
      </c>
      <c r="B334" t="s">
        <v>527</v>
      </c>
      <c r="C334" t="s">
        <v>627</v>
      </c>
      <c r="D334">
        <v>49</v>
      </c>
      <c r="E334" t="s">
        <v>630</v>
      </c>
      <c r="F334">
        <v>543</v>
      </c>
      <c r="G334">
        <v>10336</v>
      </c>
      <c r="H334">
        <v>5612448</v>
      </c>
      <c r="I334" t="s">
        <v>657</v>
      </c>
      <c r="J334" t="s">
        <v>671</v>
      </c>
      <c r="K334" t="s">
        <v>679</v>
      </c>
      <c r="L334" t="s">
        <v>681</v>
      </c>
      <c r="M334" t="s">
        <v>683</v>
      </c>
      <c r="N334" t="s">
        <v>690</v>
      </c>
      <c r="O334" t="s">
        <v>693</v>
      </c>
      <c r="P334">
        <v>5612448</v>
      </c>
      <c r="Q334">
        <v>0</v>
      </c>
      <c r="R334">
        <v>6.92</v>
      </c>
      <c r="S334" t="s">
        <v>789</v>
      </c>
      <c r="T334" t="s">
        <v>988</v>
      </c>
      <c r="U334">
        <v>2024</v>
      </c>
      <c r="V334" t="s">
        <v>996</v>
      </c>
      <c r="W334" t="s">
        <v>998</v>
      </c>
      <c r="X334" t="s">
        <v>1001</v>
      </c>
      <c r="Y334">
        <v>2</v>
      </c>
      <c r="Z334">
        <v>41</v>
      </c>
    </row>
    <row r="335" spans="1:26" x14ac:dyDescent="0.3">
      <c r="A335" t="s">
        <v>359</v>
      </c>
      <c r="B335" t="s">
        <v>572</v>
      </c>
      <c r="C335" t="s">
        <v>626</v>
      </c>
      <c r="D335">
        <v>49</v>
      </c>
      <c r="E335" t="s">
        <v>630</v>
      </c>
      <c r="F335">
        <v>766</v>
      </c>
      <c r="G335">
        <v>17053</v>
      </c>
      <c r="H335">
        <v>13062598</v>
      </c>
      <c r="I335" t="s">
        <v>640</v>
      </c>
      <c r="J335" t="s">
        <v>672</v>
      </c>
      <c r="K335" t="s">
        <v>674</v>
      </c>
      <c r="L335" t="s">
        <v>680</v>
      </c>
      <c r="M335" t="s">
        <v>684</v>
      </c>
      <c r="N335" t="s">
        <v>688</v>
      </c>
      <c r="O335" t="s">
        <v>693</v>
      </c>
      <c r="P335">
        <v>13062598</v>
      </c>
      <c r="Q335">
        <v>0</v>
      </c>
      <c r="R335">
        <v>4.12</v>
      </c>
      <c r="S335" t="s">
        <v>932</v>
      </c>
      <c r="T335" t="s">
        <v>986</v>
      </c>
      <c r="U335">
        <v>2024</v>
      </c>
      <c r="V335" t="s">
        <v>996</v>
      </c>
      <c r="W335" t="s">
        <v>998</v>
      </c>
      <c r="X335" t="s">
        <v>1002</v>
      </c>
      <c r="Y335">
        <v>5</v>
      </c>
      <c r="Z335">
        <v>15</v>
      </c>
    </row>
    <row r="336" spans="1:26" x14ac:dyDescent="0.3">
      <c r="A336" t="s">
        <v>360</v>
      </c>
      <c r="B336" t="s">
        <v>563</v>
      </c>
      <c r="C336" t="s">
        <v>626</v>
      </c>
      <c r="D336">
        <v>53</v>
      </c>
      <c r="E336" t="s">
        <v>630</v>
      </c>
      <c r="F336">
        <v>205</v>
      </c>
      <c r="G336">
        <v>29379</v>
      </c>
      <c r="H336">
        <v>6022695</v>
      </c>
      <c r="I336" t="s">
        <v>640</v>
      </c>
      <c r="J336" t="s">
        <v>672</v>
      </c>
      <c r="K336" t="s">
        <v>674</v>
      </c>
      <c r="L336" t="s">
        <v>681</v>
      </c>
      <c r="M336" t="s">
        <v>685</v>
      </c>
      <c r="N336" t="s">
        <v>691</v>
      </c>
      <c r="O336" t="s">
        <v>693</v>
      </c>
      <c r="P336">
        <v>6022695</v>
      </c>
      <c r="Q336">
        <v>0</v>
      </c>
      <c r="R336">
        <v>0.4</v>
      </c>
      <c r="S336" t="s">
        <v>795</v>
      </c>
      <c r="T336" t="s">
        <v>989</v>
      </c>
      <c r="U336">
        <v>2024</v>
      </c>
      <c r="V336" t="s">
        <v>995</v>
      </c>
      <c r="W336" t="s">
        <v>999</v>
      </c>
      <c r="X336" t="s">
        <v>1000</v>
      </c>
      <c r="Y336">
        <v>5</v>
      </c>
      <c r="Z336">
        <v>49</v>
      </c>
    </row>
    <row r="337" spans="1:26" x14ac:dyDescent="0.3">
      <c r="A337" t="s">
        <v>361</v>
      </c>
      <c r="B337" t="s">
        <v>558</v>
      </c>
      <c r="C337" t="s">
        <v>627</v>
      </c>
      <c r="D337">
        <v>65</v>
      </c>
      <c r="E337" t="s">
        <v>630</v>
      </c>
      <c r="F337">
        <v>423</v>
      </c>
      <c r="G337">
        <v>10697</v>
      </c>
      <c r="H337">
        <v>4524831</v>
      </c>
      <c r="I337" t="s">
        <v>662</v>
      </c>
      <c r="J337" t="s">
        <v>673</v>
      </c>
      <c r="K337" t="s">
        <v>640</v>
      </c>
      <c r="L337" t="s">
        <v>682</v>
      </c>
      <c r="M337" t="s">
        <v>686</v>
      </c>
      <c r="N337" t="s">
        <v>689</v>
      </c>
      <c r="O337" t="s">
        <v>694</v>
      </c>
      <c r="P337">
        <v>1229481</v>
      </c>
      <c r="Q337">
        <v>12</v>
      </c>
      <c r="R337">
        <v>9.99</v>
      </c>
      <c r="S337" t="s">
        <v>933</v>
      </c>
      <c r="T337" t="s">
        <v>988</v>
      </c>
      <c r="U337">
        <v>2024</v>
      </c>
      <c r="V337" t="s">
        <v>995</v>
      </c>
      <c r="W337" t="s">
        <v>998</v>
      </c>
      <c r="X337" t="s">
        <v>1000</v>
      </c>
      <c r="Y337">
        <v>4</v>
      </c>
      <c r="Z337">
        <v>12</v>
      </c>
    </row>
    <row r="338" spans="1:26" x14ac:dyDescent="0.3">
      <c r="A338" t="s">
        <v>362</v>
      </c>
      <c r="B338" t="s">
        <v>600</v>
      </c>
      <c r="C338" t="s">
        <v>627</v>
      </c>
      <c r="D338">
        <v>38</v>
      </c>
      <c r="E338" t="s">
        <v>630</v>
      </c>
      <c r="F338">
        <v>920</v>
      </c>
      <c r="G338">
        <v>43510</v>
      </c>
      <c r="H338">
        <v>40029200</v>
      </c>
      <c r="I338" t="s">
        <v>636</v>
      </c>
      <c r="J338" t="s">
        <v>671</v>
      </c>
      <c r="K338" t="s">
        <v>678</v>
      </c>
      <c r="L338" t="s">
        <v>681</v>
      </c>
      <c r="M338" t="s">
        <v>686</v>
      </c>
      <c r="N338" t="s">
        <v>692</v>
      </c>
      <c r="O338" t="s">
        <v>693</v>
      </c>
      <c r="P338">
        <v>40029200</v>
      </c>
      <c r="Q338">
        <v>0</v>
      </c>
      <c r="R338">
        <v>8.6</v>
      </c>
      <c r="S338" t="s">
        <v>877</v>
      </c>
      <c r="T338" t="s">
        <v>981</v>
      </c>
      <c r="U338">
        <v>2024</v>
      </c>
      <c r="V338" t="s">
        <v>996</v>
      </c>
      <c r="W338" t="s">
        <v>997</v>
      </c>
      <c r="X338" t="s">
        <v>1000</v>
      </c>
      <c r="Y338">
        <v>5</v>
      </c>
      <c r="Z338">
        <v>22</v>
      </c>
    </row>
    <row r="339" spans="1:26" x14ac:dyDescent="0.3">
      <c r="A339" t="s">
        <v>363</v>
      </c>
      <c r="B339" t="s">
        <v>596</v>
      </c>
      <c r="C339" t="s">
        <v>627</v>
      </c>
      <c r="D339">
        <v>43</v>
      </c>
      <c r="E339" t="s">
        <v>630</v>
      </c>
      <c r="F339">
        <v>890</v>
      </c>
      <c r="G339">
        <v>25854</v>
      </c>
      <c r="H339">
        <v>23010060</v>
      </c>
      <c r="I339" t="s">
        <v>631</v>
      </c>
      <c r="J339" t="s">
        <v>668</v>
      </c>
      <c r="K339" t="s">
        <v>675</v>
      </c>
      <c r="L339" t="s">
        <v>680</v>
      </c>
      <c r="M339" t="s">
        <v>686</v>
      </c>
      <c r="N339" t="s">
        <v>689</v>
      </c>
      <c r="O339" t="s">
        <v>693</v>
      </c>
      <c r="P339">
        <v>23010060</v>
      </c>
      <c r="Q339">
        <v>0</v>
      </c>
      <c r="R339">
        <v>1.1100000000000001</v>
      </c>
      <c r="S339" t="s">
        <v>934</v>
      </c>
      <c r="T339" t="s">
        <v>991</v>
      </c>
      <c r="U339">
        <v>2024</v>
      </c>
      <c r="V339" t="s">
        <v>996</v>
      </c>
      <c r="W339" t="s">
        <v>999</v>
      </c>
      <c r="X339" t="s">
        <v>1002</v>
      </c>
      <c r="Y339">
        <v>2</v>
      </c>
      <c r="Z339">
        <v>35</v>
      </c>
    </row>
    <row r="340" spans="1:26" x14ac:dyDescent="0.3">
      <c r="A340" t="s">
        <v>364</v>
      </c>
      <c r="B340" t="s">
        <v>553</v>
      </c>
      <c r="C340" t="s">
        <v>626</v>
      </c>
      <c r="D340">
        <v>52</v>
      </c>
      <c r="E340" t="s">
        <v>629</v>
      </c>
      <c r="F340">
        <v>955</v>
      </c>
      <c r="G340">
        <v>40018</v>
      </c>
      <c r="H340">
        <v>38217190</v>
      </c>
      <c r="I340" t="s">
        <v>662</v>
      </c>
      <c r="J340" t="s">
        <v>673</v>
      </c>
      <c r="K340" t="s">
        <v>678</v>
      </c>
      <c r="L340" t="s">
        <v>681</v>
      </c>
      <c r="M340" t="s">
        <v>687</v>
      </c>
      <c r="N340" t="s">
        <v>689</v>
      </c>
      <c r="O340" t="s">
        <v>693</v>
      </c>
      <c r="P340">
        <v>38217190</v>
      </c>
      <c r="Q340">
        <v>0</v>
      </c>
      <c r="R340">
        <v>7.53</v>
      </c>
      <c r="S340" t="s">
        <v>935</v>
      </c>
      <c r="T340" t="s">
        <v>990</v>
      </c>
      <c r="U340">
        <v>2024</v>
      </c>
      <c r="V340" t="s">
        <v>993</v>
      </c>
      <c r="W340" t="s">
        <v>998</v>
      </c>
      <c r="X340" t="s">
        <v>1002</v>
      </c>
      <c r="Y340">
        <v>4</v>
      </c>
      <c r="Z340">
        <v>32</v>
      </c>
    </row>
    <row r="341" spans="1:26" x14ac:dyDescent="0.3">
      <c r="A341" t="s">
        <v>365</v>
      </c>
      <c r="B341" t="s">
        <v>565</v>
      </c>
      <c r="C341" t="s">
        <v>626</v>
      </c>
      <c r="D341">
        <v>25</v>
      </c>
      <c r="E341" t="s">
        <v>628</v>
      </c>
      <c r="F341">
        <v>681</v>
      </c>
      <c r="G341">
        <v>48519</v>
      </c>
      <c r="H341">
        <v>33041439</v>
      </c>
      <c r="I341" t="s">
        <v>665</v>
      </c>
      <c r="J341" t="s">
        <v>672</v>
      </c>
      <c r="K341" t="s">
        <v>676</v>
      </c>
      <c r="L341" t="s">
        <v>681</v>
      </c>
      <c r="M341" t="s">
        <v>683</v>
      </c>
      <c r="N341" t="s">
        <v>690</v>
      </c>
      <c r="O341" t="s">
        <v>694</v>
      </c>
      <c r="P341">
        <v>12763425</v>
      </c>
      <c r="Q341">
        <v>24</v>
      </c>
      <c r="R341">
        <v>8</v>
      </c>
      <c r="S341" t="s">
        <v>936</v>
      </c>
      <c r="T341" t="s">
        <v>984</v>
      </c>
      <c r="U341">
        <v>2024</v>
      </c>
      <c r="V341" t="s">
        <v>993</v>
      </c>
      <c r="W341" t="s">
        <v>999</v>
      </c>
      <c r="X341" t="s">
        <v>1000</v>
      </c>
      <c r="Y341">
        <v>3</v>
      </c>
      <c r="Z341">
        <v>8</v>
      </c>
    </row>
    <row r="342" spans="1:26" x14ac:dyDescent="0.3">
      <c r="A342" t="s">
        <v>366</v>
      </c>
      <c r="B342" t="s">
        <v>619</v>
      </c>
      <c r="C342" t="s">
        <v>626</v>
      </c>
      <c r="D342">
        <v>42</v>
      </c>
      <c r="E342" t="s">
        <v>630</v>
      </c>
      <c r="F342">
        <v>354</v>
      </c>
      <c r="G342">
        <v>15386</v>
      </c>
      <c r="H342">
        <v>5446644</v>
      </c>
      <c r="I342" t="s">
        <v>653</v>
      </c>
      <c r="J342" t="s">
        <v>668</v>
      </c>
      <c r="K342" t="s">
        <v>678</v>
      </c>
      <c r="L342" t="s">
        <v>681</v>
      </c>
      <c r="M342" t="s">
        <v>685</v>
      </c>
      <c r="N342" t="s">
        <v>690</v>
      </c>
      <c r="O342" t="s">
        <v>693</v>
      </c>
      <c r="P342">
        <v>5446644</v>
      </c>
      <c r="Q342">
        <v>0</v>
      </c>
      <c r="R342">
        <v>2.93</v>
      </c>
      <c r="S342" t="s">
        <v>698</v>
      </c>
      <c r="T342" t="s">
        <v>984</v>
      </c>
      <c r="U342">
        <v>2024</v>
      </c>
      <c r="V342" t="s">
        <v>996</v>
      </c>
      <c r="W342" t="s">
        <v>999</v>
      </c>
      <c r="X342" t="s">
        <v>1000</v>
      </c>
      <c r="Y342">
        <v>2</v>
      </c>
      <c r="Z342">
        <v>34</v>
      </c>
    </row>
    <row r="343" spans="1:26" x14ac:dyDescent="0.3">
      <c r="A343" t="s">
        <v>367</v>
      </c>
      <c r="B343" t="s">
        <v>555</v>
      </c>
      <c r="C343" t="s">
        <v>626</v>
      </c>
      <c r="D343">
        <v>56</v>
      </c>
      <c r="E343" t="s">
        <v>628</v>
      </c>
      <c r="F343">
        <v>792</v>
      </c>
      <c r="G343">
        <v>24465</v>
      </c>
      <c r="H343">
        <v>19376280</v>
      </c>
      <c r="I343" t="s">
        <v>635</v>
      </c>
      <c r="J343" t="s">
        <v>668</v>
      </c>
      <c r="K343" t="s">
        <v>640</v>
      </c>
      <c r="L343" t="s">
        <v>681</v>
      </c>
      <c r="M343" t="s">
        <v>683</v>
      </c>
      <c r="N343" t="s">
        <v>690</v>
      </c>
      <c r="O343" t="s">
        <v>694</v>
      </c>
      <c r="P343">
        <v>7324373</v>
      </c>
      <c r="Q343">
        <v>24</v>
      </c>
      <c r="R343">
        <v>6.97</v>
      </c>
      <c r="S343" t="s">
        <v>937</v>
      </c>
      <c r="T343" t="s">
        <v>985</v>
      </c>
      <c r="U343">
        <v>2024</v>
      </c>
      <c r="V343" t="s">
        <v>996</v>
      </c>
      <c r="W343" t="s">
        <v>998</v>
      </c>
      <c r="X343" t="s">
        <v>1002</v>
      </c>
      <c r="Y343">
        <v>3</v>
      </c>
      <c r="Z343">
        <v>50</v>
      </c>
    </row>
    <row r="344" spans="1:26" x14ac:dyDescent="0.3">
      <c r="A344" t="s">
        <v>368</v>
      </c>
      <c r="B344" t="s">
        <v>539</v>
      </c>
      <c r="C344" t="s">
        <v>627</v>
      </c>
      <c r="D344">
        <v>31</v>
      </c>
      <c r="E344" t="s">
        <v>629</v>
      </c>
      <c r="F344">
        <v>491</v>
      </c>
      <c r="G344">
        <v>31879</v>
      </c>
      <c r="H344">
        <v>15652589</v>
      </c>
      <c r="I344" t="s">
        <v>641</v>
      </c>
      <c r="J344" t="s">
        <v>673</v>
      </c>
      <c r="K344" t="s">
        <v>651</v>
      </c>
      <c r="L344" t="s">
        <v>682</v>
      </c>
      <c r="M344" t="s">
        <v>683</v>
      </c>
      <c r="N344" t="s">
        <v>688</v>
      </c>
      <c r="O344" t="s">
        <v>693</v>
      </c>
      <c r="P344">
        <v>15652589</v>
      </c>
      <c r="Q344">
        <v>0</v>
      </c>
      <c r="R344">
        <v>6.19</v>
      </c>
      <c r="S344" t="s">
        <v>702</v>
      </c>
      <c r="T344" t="s">
        <v>987</v>
      </c>
      <c r="U344">
        <v>2024</v>
      </c>
      <c r="V344" t="s">
        <v>996</v>
      </c>
      <c r="W344" t="s">
        <v>999</v>
      </c>
      <c r="X344" t="s">
        <v>1000</v>
      </c>
      <c r="Y344">
        <v>3</v>
      </c>
      <c r="Z344">
        <v>37</v>
      </c>
    </row>
    <row r="345" spans="1:26" x14ac:dyDescent="0.3">
      <c r="A345" t="s">
        <v>369</v>
      </c>
      <c r="B345" t="s">
        <v>553</v>
      </c>
      <c r="C345" t="s">
        <v>627</v>
      </c>
      <c r="D345">
        <v>43</v>
      </c>
      <c r="E345" t="s">
        <v>630</v>
      </c>
      <c r="F345">
        <v>578</v>
      </c>
      <c r="G345">
        <v>14091</v>
      </c>
      <c r="H345">
        <v>8144598</v>
      </c>
      <c r="I345" t="s">
        <v>632</v>
      </c>
      <c r="J345" t="s">
        <v>669</v>
      </c>
      <c r="K345" t="s">
        <v>677</v>
      </c>
      <c r="L345" t="s">
        <v>682</v>
      </c>
      <c r="M345" t="s">
        <v>683</v>
      </c>
      <c r="N345" t="s">
        <v>692</v>
      </c>
      <c r="O345" t="s">
        <v>693</v>
      </c>
      <c r="P345">
        <v>8144598</v>
      </c>
      <c r="Q345">
        <v>0</v>
      </c>
      <c r="R345">
        <v>5.62</v>
      </c>
      <c r="S345" t="s">
        <v>938</v>
      </c>
      <c r="T345" t="s">
        <v>988</v>
      </c>
      <c r="U345">
        <v>2024</v>
      </c>
      <c r="V345" t="s">
        <v>994</v>
      </c>
      <c r="W345" t="s">
        <v>999</v>
      </c>
      <c r="X345" t="s">
        <v>1000</v>
      </c>
      <c r="Y345">
        <v>4</v>
      </c>
      <c r="Z345">
        <v>32</v>
      </c>
    </row>
    <row r="346" spans="1:26" x14ac:dyDescent="0.3">
      <c r="A346" t="s">
        <v>370</v>
      </c>
      <c r="B346" t="s">
        <v>543</v>
      </c>
      <c r="C346" t="s">
        <v>626</v>
      </c>
      <c r="D346">
        <v>41</v>
      </c>
      <c r="E346" t="s">
        <v>629</v>
      </c>
      <c r="F346">
        <v>359</v>
      </c>
      <c r="G346">
        <v>2281</v>
      </c>
      <c r="H346">
        <v>818879</v>
      </c>
      <c r="I346" t="s">
        <v>632</v>
      </c>
      <c r="J346" t="s">
        <v>669</v>
      </c>
      <c r="K346" t="s">
        <v>651</v>
      </c>
      <c r="L346" t="s">
        <v>680</v>
      </c>
      <c r="M346" t="s">
        <v>684</v>
      </c>
      <c r="N346" t="s">
        <v>689</v>
      </c>
      <c r="O346" t="s">
        <v>694</v>
      </c>
      <c r="P346">
        <v>280198</v>
      </c>
      <c r="Q346">
        <v>12</v>
      </c>
      <c r="R346">
        <v>2.9</v>
      </c>
      <c r="S346" t="s">
        <v>901</v>
      </c>
      <c r="T346" t="s">
        <v>985</v>
      </c>
      <c r="U346">
        <v>2024</v>
      </c>
      <c r="V346" t="s">
        <v>996</v>
      </c>
      <c r="W346" t="s">
        <v>997</v>
      </c>
      <c r="X346" t="s">
        <v>1001</v>
      </c>
      <c r="Y346">
        <v>1</v>
      </c>
      <c r="Z346">
        <v>20</v>
      </c>
    </row>
    <row r="347" spans="1:26" x14ac:dyDescent="0.3">
      <c r="A347" t="s">
        <v>371</v>
      </c>
      <c r="B347" t="s">
        <v>535</v>
      </c>
      <c r="C347" t="s">
        <v>627</v>
      </c>
      <c r="D347">
        <v>37</v>
      </c>
      <c r="E347" t="s">
        <v>628</v>
      </c>
      <c r="F347">
        <v>425</v>
      </c>
      <c r="G347">
        <v>31227</v>
      </c>
      <c r="H347">
        <v>13271475</v>
      </c>
      <c r="I347" t="s">
        <v>661</v>
      </c>
      <c r="J347" t="s">
        <v>673</v>
      </c>
      <c r="K347" t="s">
        <v>674</v>
      </c>
      <c r="L347" t="s">
        <v>680</v>
      </c>
      <c r="M347" t="s">
        <v>685</v>
      </c>
      <c r="N347" t="s">
        <v>692</v>
      </c>
      <c r="O347" t="s">
        <v>694</v>
      </c>
      <c r="P347">
        <v>3953704</v>
      </c>
      <c r="Q347">
        <v>3</v>
      </c>
      <c r="R347">
        <v>6.08</v>
      </c>
      <c r="S347" t="s">
        <v>939</v>
      </c>
      <c r="T347" t="s">
        <v>990</v>
      </c>
      <c r="U347">
        <v>2024</v>
      </c>
      <c r="V347" t="s">
        <v>995</v>
      </c>
      <c r="W347" t="s">
        <v>997</v>
      </c>
      <c r="X347" t="s">
        <v>1001</v>
      </c>
      <c r="Y347">
        <v>1</v>
      </c>
      <c r="Z347">
        <v>33</v>
      </c>
    </row>
    <row r="348" spans="1:26" x14ac:dyDescent="0.3">
      <c r="A348" t="s">
        <v>372</v>
      </c>
      <c r="B348" t="s">
        <v>564</v>
      </c>
      <c r="C348" t="s">
        <v>626</v>
      </c>
      <c r="D348">
        <v>43</v>
      </c>
      <c r="E348" t="s">
        <v>630</v>
      </c>
      <c r="F348">
        <v>525</v>
      </c>
      <c r="G348">
        <v>41529</v>
      </c>
      <c r="H348">
        <v>21802725</v>
      </c>
      <c r="I348" t="s">
        <v>650</v>
      </c>
      <c r="J348" t="s">
        <v>670</v>
      </c>
      <c r="K348" t="s">
        <v>678</v>
      </c>
      <c r="L348" t="s">
        <v>681</v>
      </c>
      <c r="M348" t="s">
        <v>685</v>
      </c>
      <c r="N348" t="s">
        <v>690</v>
      </c>
      <c r="O348" t="s">
        <v>693</v>
      </c>
      <c r="P348">
        <v>21802725</v>
      </c>
      <c r="Q348">
        <v>0</v>
      </c>
      <c r="R348">
        <v>9.08</v>
      </c>
      <c r="S348" t="s">
        <v>768</v>
      </c>
      <c r="T348" t="s">
        <v>991</v>
      </c>
      <c r="U348">
        <v>2024</v>
      </c>
      <c r="V348" t="s">
        <v>994</v>
      </c>
      <c r="W348" t="s">
        <v>998</v>
      </c>
      <c r="X348" t="s">
        <v>1002</v>
      </c>
      <c r="Y348">
        <v>4</v>
      </c>
      <c r="Z348">
        <v>36</v>
      </c>
    </row>
    <row r="349" spans="1:26" x14ac:dyDescent="0.3">
      <c r="A349" t="s">
        <v>373</v>
      </c>
      <c r="B349" t="s">
        <v>564</v>
      </c>
      <c r="C349" t="s">
        <v>627</v>
      </c>
      <c r="D349">
        <v>29</v>
      </c>
      <c r="E349" t="s">
        <v>628</v>
      </c>
      <c r="F349">
        <v>959</v>
      </c>
      <c r="G349">
        <v>29237</v>
      </c>
      <c r="H349">
        <v>28038283</v>
      </c>
      <c r="I349" t="s">
        <v>641</v>
      </c>
      <c r="J349" t="s">
        <v>673</v>
      </c>
      <c r="K349" t="s">
        <v>678</v>
      </c>
      <c r="L349" t="s">
        <v>681</v>
      </c>
      <c r="M349" t="s">
        <v>684</v>
      </c>
      <c r="N349" t="s">
        <v>692</v>
      </c>
      <c r="O349" t="s">
        <v>694</v>
      </c>
      <c r="P349">
        <v>6985377</v>
      </c>
      <c r="Q349">
        <v>12</v>
      </c>
      <c r="R349">
        <v>7.28</v>
      </c>
      <c r="S349" t="s">
        <v>940</v>
      </c>
      <c r="T349" t="s">
        <v>989</v>
      </c>
      <c r="U349">
        <v>2024</v>
      </c>
      <c r="V349" t="s">
        <v>994</v>
      </c>
      <c r="W349" t="s">
        <v>999</v>
      </c>
      <c r="X349" t="s">
        <v>1001</v>
      </c>
      <c r="Y349">
        <v>4</v>
      </c>
      <c r="Z349">
        <v>6</v>
      </c>
    </row>
    <row r="350" spans="1:26" x14ac:dyDescent="0.3">
      <c r="A350" t="s">
        <v>374</v>
      </c>
      <c r="B350" t="s">
        <v>621</v>
      </c>
      <c r="C350" t="s">
        <v>627</v>
      </c>
      <c r="D350">
        <v>39</v>
      </c>
      <c r="E350" t="s">
        <v>629</v>
      </c>
      <c r="F350">
        <v>624</v>
      </c>
      <c r="G350">
        <v>13461</v>
      </c>
      <c r="H350">
        <v>8399664</v>
      </c>
      <c r="I350" t="s">
        <v>661</v>
      </c>
      <c r="J350" t="s">
        <v>673</v>
      </c>
      <c r="K350" t="s">
        <v>677</v>
      </c>
      <c r="L350" t="s">
        <v>681</v>
      </c>
      <c r="M350" t="s">
        <v>684</v>
      </c>
      <c r="N350" t="s">
        <v>692</v>
      </c>
      <c r="O350" t="s">
        <v>694</v>
      </c>
      <c r="P350">
        <v>2182042</v>
      </c>
      <c r="Q350">
        <v>6</v>
      </c>
      <c r="R350">
        <v>8.32</v>
      </c>
      <c r="S350" t="s">
        <v>926</v>
      </c>
      <c r="T350" t="s">
        <v>992</v>
      </c>
      <c r="U350">
        <v>2024</v>
      </c>
      <c r="V350" t="s">
        <v>995</v>
      </c>
      <c r="W350" t="s">
        <v>999</v>
      </c>
      <c r="X350" t="s">
        <v>1000</v>
      </c>
      <c r="Y350">
        <v>1</v>
      </c>
      <c r="Z350">
        <v>10</v>
      </c>
    </row>
    <row r="351" spans="1:26" x14ac:dyDescent="0.3">
      <c r="A351" t="s">
        <v>375</v>
      </c>
      <c r="B351" t="s">
        <v>607</v>
      </c>
      <c r="C351" t="s">
        <v>627</v>
      </c>
      <c r="D351">
        <v>37</v>
      </c>
      <c r="E351" t="s">
        <v>630</v>
      </c>
      <c r="F351">
        <v>327</v>
      </c>
      <c r="G351">
        <v>44848</v>
      </c>
      <c r="H351">
        <v>14665296</v>
      </c>
      <c r="I351" t="s">
        <v>657</v>
      </c>
      <c r="J351" t="s">
        <v>671</v>
      </c>
      <c r="K351" t="s">
        <v>678</v>
      </c>
      <c r="L351" t="s">
        <v>680</v>
      </c>
      <c r="M351" t="s">
        <v>686</v>
      </c>
      <c r="N351" t="s">
        <v>690</v>
      </c>
      <c r="O351" t="s">
        <v>694</v>
      </c>
      <c r="P351">
        <v>3722224</v>
      </c>
      <c r="Q351">
        <v>24</v>
      </c>
      <c r="R351">
        <v>9.07</v>
      </c>
      <c r="S351" t="s">
        <v>824</v>
      </c>
      <c r="T351" t="s">
        <v>983</v>
      </c>
      <c r="U351">
        <v>2024</v>
      </c>
      <c r="V351" t="s">
        <v>995</v>
      </c>
      <c r="W351" t="s">
        <v>997</v>
      </c>
      <c r="X351" t="s">
        <v>1002</v>
      </c>
      <c r="Y351">
        <v>3</v>
      </c>
      <c r="Z351">
        <v>41</v>
      </c>
    </row>
    <row r="352" spans="1:26" x14ac:dyDescent="0.3">
      <c r="A352" t="s">
        <v>376</v>
      </c>
      <c r="B352" t="s">
        <v>547</v>
      </c>
      <c r="C352" t="s">
        <v>627</v>
      </c>
      <c r="D352">
        <v>40</v>
      </c>
      <c r="E352" t="s">
        <v>630</v>
      </c>
      <c r="F352">
        <v>582</v>
      </c>
      <c r="G352">
        <v>35588</v>
      </c>
      <c r="H352">
        <v>20712216</v>
      </c>
      <c r="I352" t="s">
        <v>633</v>
      </c>
      <c r="J352" t="s">
        <v>668</v>
      </c>
      <c r="K352" t="s">
        <v>676</v>
      </c>
      <c r="L352" t="s">
        <v>682</v>
      </c>
      <c r="M352" t="s">
        <v>683</v>
      </c>
      <c r="N352" t="s">
        <v>690</v>
      </c>
      <c r="O352" t="s">
        <v>693</v>
      </c>
      <c r="P352">
        <v>20712216</v>
      </c>
      <c r="Q352">
        <v>0</v>
      </c>
      <c r="R352">
        <v>8.4499999999999993</v>
      </c>
      <c r="S352" t="s">
        <v>941</v>
      </c>
      <c r="T352" t="s">
        <v>987</v>
      </c>
      <c r="U352">
        <v>2024</v>
      </c>
      <c r="V352" t="s">
        <v>996</v>
      </c>
      <c r="W352" t="s">
        <v>999</v>
      </c>
      <c r="X352" t="s">
        <v>1002</v>
      </c>
      <c r="Y352">
        <v>3</v>
      </c>
      <c r="Z352">
        <v>27</v>
      </c>
    </row>
    <row r="353" spans="1:26" x14ac:dyDescent="0.3">
      <c r="A353" t="s">
        <v>377</v>
      </c>
      <c r="B353" t="s">
        <v>615</v>
      </c>
      <c r="C353" t="s">
        <v>627</v>
      </c>
      <c r="D353">
        <v>54</v>
      </c>
      <c r="E353" t="s">
        <v>630</v>
      </c>
      <c r="F353">
        <v>496</v>
      </c>
      <c r="G353">
        <v>21114</v>
      </c>
      <c r="H353">
        <v>10472544</v>
      </c>
      <c r="I353" t="s">
        <v>635</v>
      </c>
      <c r="J353" t="s">
        <v>668</v>
      </c>
      <c r="K353" t="s">
        <v>664</v>
      </c>
      <c r="L353" t="s">
        <v>681</v>
      </c>
      <c r="M353" t="s">
        <v>687</v>
      </c>
      <c r="N353" t="s">
        <v>690</v>
      </c>
      <c r="O353" t="s">
        <v>693</v>
      </c>
      <c r="P353">
        <v>10472544</v>
      </c>
      <c r="Q353">
        <v>0</v>
      </c>
      <c r="R353">
        <v>5.14</v>
      </c>
      <c r="S353" t="s">
        <v>697</v>
      </c>
      <c r="T353" t="s">
        <v>983</v>
      </c>
      <c r="U353">
        <v>2024</v>
      </c>
      <c r="V353" t="s">
        <v>994</v>
      </c>
      <c r="W353" t="s">
        <v>999</v>
      </c>
      <c r="X353" t="s">
        <v>1001</v>
      </c>
      <c r="Y353">
        <v>5</v>
      </c>
      <c r="Z353">
        <v>23</v>
      </c>
    </row>
    <row r="354" spans="1:26" x14ac:dyDescent="0.3">
      <c r="A354" t="s">
        <v>378</v>
      </c>
      <c r="B354" t="s">
        <v>565</v>
      </c>
      <c r="C354" t="s">
        <v>627</v>
      </c>
      <c r="D354">
        <v>52</v>
      </c>
      <c r="E354" t="s">
        <v>628</v>
      </c>
      <c r="F354">
        <v>730</v>
      </c>
      <c r="G354">
        <v>20442</v>
      </c>
      <c r="H354">
        <v>14922660</v>
      </c>
      <c r="I354" t="s">
        <v>649</v>
      </c>
      <c r="J354" t="s">
        <v>669</v>
      </c>
      <c r="K354" t="s">
        <v>638</v>
      </c>
      <c r="L354" t="s">
        <v>680</v>
      </c>
      <c r="M354" t="s">
        <v>686</v>
      </c>
      <c r="N354" t="s">
        <v>692</v>
      </c>
      <c r="O354" t="s">
        <v>694</v>
      </c>
      <c r="P354">
        <v>4828948</v>
      </c>
      <c r="Q354">
        <v>24</v>
      </c>
      <c r="R354">
        <v>9.2100000000000009</v>
      </c>
      <c r="S354" t="s">
        <v>941</v>
      </c>
      <c r="T354" t="s">
        <v>987</v>
      </c>
      <c r="U354">
        <v>2024</v>
      </c>
      <c r="V354" t="s">
        <v>993</v>
      </c>
      <c r="W354" t="s">
        <v>998</v>
      </c>
      <c r="X354" t="s">
        <v>1002</v>
      </c>
      <c r="Y354">
        <v>1</v>
      </c>
      <c r="Z354">
        <v>8</v>
      </c>
    </row>
    <row r="355" spans="1:26" x14ac:dyDescent="0.3">
      <c r="A355" t="s">
        <v>379</v>
      </c>
      <c r="B355" t="s">
        <v>597</v>
      </c>
      <c r="C355" t="s">
        <v>627</v>
      </c>
      <c r="D355">
        <v>65</v>
      </c>
      <c r="E355" t="s">
        <v>630</v>
      </c>
      <c r="F355">
        <v>556</v>
      </c>
      <c r="G355">
        <v>22419</v>
      </c>
      <c r="H355">
        <v>12464964</v>
      </c>
      <c r="I355" t="s">
        <v>649</v>
      </c>
      <c r="J355" t="s">
        <v>669</v>
      </c>
      <c r="K355" t="s">
        <v>678</v>
      </c>
      <c r="L355" t="s">
        <v>680</v>
      </c>
      <c r="M355" t="s">
        <v>685</v>
      </c>
      <c r="N355" t="s">
        <v>688</v>
      </c>
      <c r="O355" t="s">
        <v>694</v>
      </c>
      <c r="P355">
        <v>5548300</v>
      </c>
      <c r="Q355">
        <v>6</v>
      </c>
      <c r="R355">
        <v>8.9</v>
      </c>
      <c r="S355" t="s">
        <v>891</v>
      </c>
      <c r="T355" t="s">
        <v>983</v>
      </c>
      <c r="U355">
        <v>2024</v>
      </c>
      <c r="V355" t="s">
        <v>996</v>
      </c>
      <c r="W355" t="s">
        <v>997</v>
      </c>
      <c r="X355" t="s">
        <v>1000</v>
      </c>
      <c r="Y355">
        <v>2</v>
      </c>
      <c r="Z355">
        <v>20</v>
      </c>
    </row>
    <row r="356" spans="1:26" x14ac:dyDescent="0.3">
      <c r="A356" t="s">
        <v>380</v>
      </c>
      <c r="B356" t="s">
        <v>538</v>
      </c>
      <c r="C356" t="s">
        <v>627</v>
      </c>
      <c r="D356">
        <v>26</v>
      </c>
      <c r="E356" t="s">
        <v>628</v>
      </c>
      <c r="F356">
        <v>280</v>
      </c>
      <c r="G356">
        <v>29840</v>
      </c>
      <c r="H356">
        <v>8355200</v>
      </c>
      <c r="I356" t="s">
        <v>654</v>
      </c>
      <c r="J356" t="s">
        <v>669</v>
      </c>
      <c r="K356" t="s">
        <v>638</v>
      </c>
      <c r="L356" t="s">
        <v>682</v>
      </c>
      <c r="M356" t="s">
        <v>686</v>
      </c>
      <c r="N356" t="s">
        <v>692</v>
      </c>
      <c r="O356" t="s">
        <v>693</v>
      </c>
      <c r="P356">
        <v>8355200</v>
      </c>
      <c r="Q356">
        <v>0</v>
      </c>
      <c r="R356">
        <v>0.78</v>
      </c>
      <c r="S356" t="s">
        <v>742</v>
      </c>
      <c r="T356" t="s">
        <v>986</v>
      </c>
      <c r="U356">
        <v>2024</v>
      </c>
      <c r="V356" t="s">
        <v>993</v>
      </c>
      <c r="W356" t="s">
        <v>998</v>
      </c>
      <c r="X356" t="s">
        <v>1000</v>
      </c>
      <c r="Y356">
        <v>3</v>
      </c>
      <c r="Z356">
        <v>3</v>
      </c>
    </row>
    <row r="357" spans="1:26" x14ac:dyDescent="0.3">
      <c r="A357" t="s">
        <v>381</v>
      </c>
      <c r="B357" t="s">
        <v>550</v>
      </c>
      <c r="C357" t="s">
        <v>627</v>
      </c>
      <c r="D357">
        <v>62</v>
      </c>
      <c r="E357" t="s">
        <v>630</v>
      </c>
      <c r="F357">
        <v>972</v>
      </c>
      <c r="G357">
        <v>8324</v>
      </c>
      <c r="H357">
        <v>8090928</v>
      </c>
      <c r="I357" t="s">
        <v>646</v>
      </c>
      <c r="J357" t="s">
        <v>673</v>
      </c>
      <c r="K357" t="s">
        <v>664</v>
      </c>
      <c r="L357" t="s">
        <v>680</v>
      </c>
      <c r="M357" t="s">
        <v>685</v>
      </c>
      <c r="N357" t="s">
        <v>688</v>
      </c>
      <c r="O357" t="s">
        <v>693</v>
      </c>
      <c r="P357">
        <v>8090928</v>
      </c>
      <c r="Q357">
        <v>0</v>
      </c>
      <c r="R357">
        <v>9.1999999999999993</v>
      </c>
      <c r="S357" t="s">
        <v>942</v>
      </c>
      <c r="T357" t="s">
        <v>990</v>
      </c>
      <c r="U357">
        <v>2024</v>
      </c>
      <c r="V357" t="s">
        <v>994</v>
      </c>
      <c r="W357" t="s">
        <v>997</v>
      </c>
      <c r="X357" t="s">
        <v>1002</v>
      </c>
      <c r="Y357">
        <v>3</v>
      </c>
      <c r="Z357">
        <v>11</v>
      </c>
    </row>
    <row r="358" spans="1:26" x14ac:dyDescent="0.3">
      <c r="A358" t="s">
        <v>382</v>
      </c>
      <c r="B358" t="s">
        <v>588</v>
      </c>
      <c r="C358" t="s">
        <v>627</v>
      </c>
      <c r="D358">
        <v>65</v>
      </c>
      <c r="E358" t="s">
        <v>628</v>
      </c>
      <c r="F358">
        <v>447</v>
      </c>
      <c r="G358">
        <v>35089</v>
      </c>
      <c r="H358">
        <v>15684783</v>
      </c>
      <c r="I358" t="s">
        <v>652</v>
      </c>
      <c r="J358" t="s">
        <v>672</v>
      </c>
      <c r="K358" t="s">
        <v>674</v>
      </c>
      <c r="L358" t="s">
        <v>681</v>
      </c>
      <c r="M358" t="s">
        <v>683</v>
      </c>
      <c r="N358" t="s">
        <v>692</v>
      </c>
      <c r="O358" t="s">
        <v>693</v>
      </c>
      <c r="P358">
        <v>15684783</v>
      </c>
      <c r="Q358">
        <v>0</v>
      </c>
      <c r="R358">
        <v>0.99</v>
      </c>
      <c r="S358" t="s">
        <v>909</v>
      </c>
      <c r="T358" t="s">
        <v>985</v>
      </c>
      <c r="U358">
        <v>2024</v>
      </c>
      <c r="V358" t="s">
        <v>993</v>
      </c>
      <c r="W358" t="s">
        <v>997</v>
      </c>
      <c r="X358" t="s">
        <v>1000</v>
      </c>
      <c r="Y358">
        <v>2</v>
      </c>
      <c r="Z358">
        <v>33</v>
      </c>
    </row>
    <row r="359" spans="1:26" x14ac:dyDescent="0.3">
      <c r="A359" t="s">
        <v>383</v>
      </c>
      <c r="B359" t="s">
        <v>579</v>
      </c>
      <c r="C359" t="s">
        <v>626</v>
      </c>
      <c r="D359">
        <v>47</v>
      </c>
      <c r="E359" t="s">
        <v>628</v>
      </c>
      <c r="F359">
        <v>914</v>
      </c>
      <c r="G359">
        <v>40625</v>
      </c>
      <c r="H359">
        <v>37131250</v>
      </c>
      <c r="I359" t="s">
        <v>633</v>
      </c>
      <c r="J359" t="s">
        <v>668</v>
      </c>
      <c r="K359" t="s">
        <v>651</v>
      </c>
      <c r="L359" t="s">
        <v>682</v>
      </c>
      <c r="M359" t="s">
        <v>683</v>
      </c>
      <c r="N359" t="s">
        <v>691</v>
      </c>
      <c r="O359" t="s">
        <v>693</v>
      </c>
      <c r="P359">
        <v>37131250</v>
      </c>
      <c r="Q359">
        <v>0</v>
      </c>
      <c r="R359">
        <v>4.4000000000000004</v>
      </c>
      <c r="S359" t="s">
        <v>885</v>
      </c>
      <c r="T359" t="s">
        <v>981</v>
      </c>
      <c r="U359">
        <v>2024</v>
      </c>
      <c r="V359" t="s">
        <v>993</v>
      </c>
      <c r="W359" t="s">
        <v>998</v>
      </c>
      <c r="X359" t="s">
        <v>1000</v>
      </c>
      <c r="Y359">
        <v>4</v>
      </c>
      <c r="Z359">
        <v>8</v>
      </c>
    </row>
    <row r="360" spans="1:26" x14ac:dyDescent="0.3">
      <c r="A360" t="s">
        <v>384</v>
      </c>
      <c r="B360" t="s">
        <v>551</v>
      </c>
      <c r="C360" t="s">
        <v>626</v>
      </c>
      <c r="D360">
        <v>63</v>
      </c>
      <c r="E360" t="s">
        <v>630</v>
      </c>
      <c r="F360">
        <v>980</v>
      </c>
      <c r="G360">
        <v>25674</v>
      </c>
      <c r="H360">
        <v>25160520</v>
      </c>
      <c r="I360" t="s">
        <v>640</v>
      </c>
      <c r="J360" t="s">
        <v>672</v>
      </c>
      <c r="K360" t="s">
        <v>678</v>
      </c>
      <c r="L360" t="s">
        <v>680</v>
      </c>
      <c r="M360" t="s">
        <v>686</v>
      </c>
      <c r="N360" t="s">
        <v>691</v>
      </c>
      <c r="O360" t="s">
        <v>694</v>
      </c>
      <c r="P360">
        <v>5652924</v>
      </c>
      <c r="Q360">
        <v>3</v>
      </c>
      <c r="R360">
        <v>4.9400000000000004</v>
      </c>
      <c r="S360" t="s">
        <v>761</v>
      </c>
      <c r="T360" t="s">
        <v>991</v>
      </c>
      <c r="U360">
        <v>2024</v>
      </c>
      <c r="V360" t="s">
        <v>994</v>
      </c>
      <c r="W360" t="s">
        <v>998</v>
      </c>
      <c r="X360" t="s">
        <v>1000</v>
      </c>
      <c r="Y360">
        <v>1</v>
      </c>
      <c r="Z360">
        <v>31</v>
      </c>
    </row>
    <row r="361" spans="1:26" x14ac:dyDescent="0.3">
      <c r="A361" t="s">
        <v>385</v>
      </c>
      <c r="B361" t="s">
        <v>569</v>
      </c>
      <c r="C361" t="s">
        <v>627</v>
      </c>
      <c r="D361">
        <v>45</v>
      </c>
      <c r="E361" t="s">
        <v>630</v>
      </c>
      <c r="F361">
        <v>213</v>
      </c>
      <c r="G361">
        <v>46181</v>
      </c>
      <c r="H361">
        <v>9836553</v>
      </c>
      <c r="I361" t="s">
        <v>635</v>
      </c>
      <c r="J361" t="s">
        <v>668</v>
      </c>
      <c r="K361" t="s">
        <v>638</v>
      </c>
      <c r="L361" t="s">
        <v>682</v>
      </c>
      <c r="M361" t="s">
        <v>686</v>
      </c>
      <c r="N361" t="s">
        <v>689</v>
      </c>
      <c r="O361" t="s">
        <v>694</v>
      </c>
      <c r="P361">
        <v>3136984</v>
      </c>
      <c r="Q361">
        <v>3</v>
      </c>
      <c r="R361">
        <v>5.23</v>
      </c>
      <c r="S361" t="s">
        <v>839</v>
      </c>
      <c r="T361" t="s">
        <v>984</v>
      </c>
      <c r="U361">
        <v>2024</v>
      </c>
      <c r="V361" t="s">
        <v>996</v>
      </c>
      <c r="W361" t="s">
        <v>999</v>
      </c>
      <c r="X361" t="s">
        <v>1002</v>
      </c>
      <c r="Y361">
        <v>2</v>
      </c>
      <c r="Z361">
        <v>22</v>
      </c>
    </row>
    <row r="362" spans="1:26" x14ac:dyDescent="0.3">
      <c r="A362" t="s">
        <v>386</v>
      </c>
      <c r="B362" t="s">
        <v>622</v>
      </c>
      <c r="C362" t="s">
        <v>626</v>
      </c>
      <c r="D362">
        <v>42</v>
      </c>
      <c r="E362" t="s">
        <v>630</v>
      </c>
      <c r="F362">
        <v>325</v>
      </c>
      <c r="G362">
        <v>17261</v>
      </c>
      <c r="H362">
        <v>5609825</v>
      </c>
      <c r="I362" t="s">
        <v>656</v>
      </c>
      <c r="J362" t="s">
        <v>669</v>
      </c>
      <c r="K362" t="s">
        <v>640</v>
      </c>
      <c r="L362" t="s">
        <v>682</v>
      </c>
      <c r="M362" t="s">
        <v>686</v>
      </c>
      <c r="N362" t="s">
        <v>691</v>
      </c>
      <c r="O362" t="s">
        <v>694</v>
      </c>
      <c r="P362">
        <v>1590697</v>
      </c>
      <c r="Q362">
        <v>24</v>
      </c>
      <c r="R362">
        <v>7.13</v>
      </c>
      <c r="S362" t="s">
        <v>775</v>
      </c>
      <c r="T362" t="s">
        <v>985</v>
      </c>
      <c r="U362">
        <v>2024</v>
      </c>
      <c r="V362" t="s">
        <v>995</v>
      </c>
      <c r="W362" t="s">
        <v>997</v>
      </c>
      <c r="X362" t="s">
        <v>1002</v>
      </c>
      <c r="Y362">
        <v>2</v>
      </c>
      <c r="Z362">
        <v>50</v>
      </c>
    </row>
    <row r="363" spans="1:26" x14ac:dyDescent="0.3">
      <c r="A363" t="s">
        <v>387</v>
      </c>
      <c r="B363" t="s">
        <v>620</v>
      </c>
      <c r="C363" t="s">
        <v>626</v>
      </c>
      <c r="D363">
        <v>63</v>
      </c>
      <c r="E363" t="s">
        <v>628</v>
      </c>
      <c r="F363">
        <v>456</v>
      </c>
      <c r="G363">
        <v>34069</v>
      </c>
      <c r="H363">
        <v>15535464</v>
      </c>
      <c r="I363" t="s">
        <v>663</v>
      </c>
      <c r="J363" t="s">
        <v>670</v>
      </c>
      <c r="K363" t="s">
        <v>676</v>
      </c>
      <c r="L363" t="s">
        <v>680</v>
      </c>
      <c r="M363" t="s">
        <v>684</v>
      </c>
      <c r="N363" t="s">
        <v>692</v>
      </c>
      <c r="O363" t="s">
        <v>694</v>
      </c>
      <c r="P363">
        <v>6035703</v>
      </c>
      <c r="Q363">
        <v>6</v>
      </c>
      <c r="R363">
        <v>1.35</v>
      </c>
      <c r="S363" t="s">
        <v>943</v>
      </c>
      <c r="T363" t="s">
        <v>981</v>
      </c>
      <c r="U363">
        <v>2024</v>
      </c>
      <c r="V363" t="s">
        <v>994</v>
      </c>
      <c r="W363" t="s">
        <v>999</v>
      </c>
      <c r="X363" t="s">
        <v>1002</v>
      </c>
      <c r="Y363">
        <v>5</v>
      </c>
      <c r="Z363">
        <v>40</v>
      </c>
    </row>
    <row r="364" spans="1:26" x14ac:dyDescent="0.3">
      <c r="A364" t="s">
        <v>388</v>
      </c>
      <c r="B364" t="s">
        <v>623</v>
      </c>
      <c r="C364" t="s">
        <v>626</v>
      </c>
      <c r="D364">
        <v>54</v>
      </c>
      <c r="E364" t="s">
        <v>629</v>
      </c>
      <c r="F364">
        <v>985</v>
      </c>
      <c r="G364">
        <v>34256</v>
      </c>
      <c r="H364">
        <v>33742160</v>
      </c>
      <c r="I364" t="s">
        <v>664</v>
      </c>
      <c r="J364" t="s">
        <v>673</v>
      </c>
      <c r="K364" t="s">
        <v>675</v>
      </c>
      <c r="L364" t="s">
        <v>680</v>
      </c>
      <c r="M364" t="s">
        <v>685</v>
      </c>
      <c r="N364" t="s">
        <v>691</v>
      </c>
      <c r="O364" t="s">
        <v>694</v>
      </c>
      <c r="P364">
        <v>9720066</v>
      </c>
      <c r="Q364">
        <v>6</v>
      </c>
      <c r="R364">
        <v>4.9800000000000004</v>
      </c>
      <c r="S364" t="s">
        <v>857</v>
      </c>
      <c r="T364" t="s">
        <v>986</v>
      </c>
      <c r="U364">
        <v>2024</v>
      </c>
      <c r="V364" t="s">
        <v>993</v>
      </c>
      <c r="W364" t="s">
        <v>998</v>
      </c>
      <c r="X364" t="s">
        <v>1002</v>
      </c>
      <c r="Y364">
        <v>3</v>
      </c>
      <c r="Z364">
        <v>25</v>
      </c>
    </row>
    <row r="365" spans="1:26" x14ac:dyDescent="0.3">
      <c r="A365" t="s">
        <v>389</v>
      </c>
      <c r="B365" t="s">
        <v>531</v>
      </c>
      <c r="C365" t="s">
        <v>626</v>
      </c>
      <c r="D365">
        <v>62</v>
      </c>
      <c r="E365" t="s">
        <v>629</v>
      </c>
      <c r="F365">
        <v>233</v>
      </c>
      <c r="G365">
        <v>13591</v>
      </c>
      <c r="H365">
        <v>3166703</v>
      </c>
      <c r="I365" t="s">
        <v>666</v>
      </c>
      <c r="J365" t="s">
        <v>670</v>
      </c>
      <c r="K365" t="s">
        <v>664</v>
      </c>
      <c r="L365" t="s">
        <v>682</v>
      </c>
      <c r="M365" t="s">
        <v>686</v>
      </c>
      <c r="N365" t="s">
        <v>692</v>
      </c>
      <c r="O365" t="s">
        <v>694</v>
      </c>
      <c r="P365">
        <v>1100252</v>
      </c>
      <c r="Q365">
        <v>6</v>
      </c>
      <c r="R365">
        <v>1.34</v>
      </c>
      <c r="S365" t="s">
        <v>721</v>
      </c>
      <c r="T365" t="s">
        <v>991</v>
      </c>
      <c r="U365">
        <v>2024</v>
      </c>
      <c r="V365" t="s">
        <v>995</v>
      </c>
      <c r="W365" t="s">
        <v>998</v>
      </c>
      <c r="X365" t="s">
        <v>1001</v>
      </c>
      <c r="Y365">
        <v>2</v>
      </c>
      <c r="Z365">
        <v>33</v>
      </c>
    </row>
    <row r="366" spans="1:26" x14ac:dyDescent="0.3">
      <c r="A366" t="s">
        <v>390</v>
      </c>
      <c r="B366" t="s">
        <v>582</v>
      </c>
      <c r="C366" t="s">
        <v>627</v>
      </c>
      <c r="D366">
        <v>28</v>
      </c>
      <c r="E366" t="s">
        <v>630</v>
      </c>
      <c r="F366">
        <v>706</v>
      </c>
      <c r="G366">
        <v>40734</v>
      </c>
      <c r="H366">
        <v>28758204</v>
      </c>
      <c r="I366" t="s">
        <v>661</v>
      </c>
      <c r="J366" t="s">
        <v>673</v>
      </c>
      <c r="K366" t="s">
        <v>677</v>
      </c>
      <c r="L366" t="s">
        <v>681</v>
      </c>
      <c r="M366" t="s">
        <v>686</v>
      </c>
      <c r="N366" t="s">
        <v>689</v>
      </c>
      <c r="O366" t="s">
        <v>694</v>
      </c>
      <c r="P366">
        <v>12364338</v>
      </c>
      <c r="Q366">
        <v>12</v>
      </c>
      <c r="R366">
        <v>2.84</v>
      </c>
      <c r="S366" t="s">
        <v>944</v>
      </c>
      <c r="T366" t="s">
        <v>981</v>
      </c>
      <c r="U366">
        <v>2024</v>
      </c>
      <c r="V366" t="s">
        <v>994</v>
      </c>
      <c r="W366" t="s">
        <v>998</v>
      </c>
      <c r="X366" t="s">
        <v>1000</v>
      </c>
      <c r="Y366">
        <v>4</v>
      </c>
      <c r="Z366">
        <v>23</v>
      </c>
    </row>
    <row r="367" spans="1:26" x14ac:dyDescent="0.3">
      <c r="A367" t="s">
        <v>391</v>
      </c>
      <c r="B367" t="s">
        <v>566</v>
      </c>
      <c r="C367" t="s">
        <v>627</v>
      </c>
      <c r="D367">
        <v>64</v>
      </c>
      <c r="E367" t="s">
        <v>628</v>
      </c>
      <c r="F367">
        <v>257</v>
      </c>
      <c r="G367">
        <v>45335</v>
      </c>
      <c r="H367">
        <v>11651095</v>
      </c>
      <c r="I367" t="s">
        <v>639</v>
      </c>
      <c r="J367" t="s">
        <v>671</v>
      </c>
      <c r="K367" t="s">
        <v>651</v>
      </c>
      <c r="L367" t="s">
        <v>681</v>
      </c>
      <c r="M367" t="s">
        <v>685</v>
      </c>
      <c r="N367" t="s">
        <v>690</v>
      </c>
      <c r="O367" t="s">
        <v>693</v>
      </c>
      <c r="P367">
        <v>11651095</v>
      </c>
      <c r="Q367">
        <v>0</v>
      </c>
      <c r="R367">
        <v>2.48</v>
      </c>
      <c r="S367" t="s">
        <v>855</v>
      </c>
      <c r="T367" t="s">
        <v>983</v>
      </c>
      <c r="U367">
        <v>2024</v>
      </c>
      <c r="V367" t="s">
        <v>996</v>
      </c>
      <c r="W367" t="s">
        <v>999</v>
      </c>
      <c r="X367" t="s">
        <v>1001</v>
      </c>
      <c r="Y367">
        <v>3</v>
      </c>
      <c r="Z367">
        <v>3</v>
      </c>
    </row>
    <row r="368" spans="1:26" x14ac:dyDescent="0.3">
      <c r="A368" t="s">
        <v>392</v>
      </c>
      <c r="B368" t="s">
        <v>618</v>
      </c>
      <c r="C368" t="s">
        <v>626</v>
      </c>
      <c r="D368">
        <v>40</v>
      </c>
      <c r="E368" t="s">
        <v>629</v>
      </c>
      <c r="F368">
        <v>781</v>
      </c>
      <c r="G368">
        <v>35735</v>
      </c>
      <c r="H368">
        <v>27909035</v>
      </c>
      <c r="I368" t="s">
        <v>634</v>
      </c>
      <c r="J368" t="s">
        <v>670</v>
      </c>
      <c r="K368" t="s">
        <v>640</v>
      </c>
      <c r="L368" t="s">
        <v>680</v>
      </c>
      <c r="M368" t="s">
        <v>684</v>
      </c>
      <c r="N368" t="s">
        <v>689</v>
      </c>
      <c r="O368" t="s">
        <v>694</v>
      </c>
      <c r="P368">
        <v>5752629</v>
      </c>
      <c r="Q368">
        <v>12</v>
      </c>
      <c r="R368">
        <v>4.7</v>
      </c>
      <c r="S368" t="s">
        <v>945</v>
      </c>
      <c r="T368" t="s">
        <v>988</v>
      </c>
      <c r="U368">
        <v>2024</v>
      </c>
      <c r="V368" t="s">
        <v>996</v>
      </c>
      <c r="W368" t="s">
        <v>998</v>
      </c>
      <c r="X368" t="s">
        <v>1002</v>
      </c>
      <c r="Y368">
        <v>5</v>
      </c>
      <c r="Z368">
        <v>49</v>
      </c>
    </row>
    <row r="369" spans="1:26" x14ac:dyDescent="0.3">
      <c r="A369" t="s">
        <v>393</v>
      </c>
      <c r="B369" t="s">
        <v>570</v>
      </c>
      <c r="C369" t="s">
        <v>626</v>
      </c>
      <c r="D369">
        <v>36</v>
      </c>
      <c r="E369" t="s">
        <v>628</v>
      </c>
      <c r="F369">
        <v>829</v>
      </c>
      <c r="G369">
        <v>21629</v>
      </c>
      <c r="H369">
        <v>17930441</v>
      </c>
      <c r="I369" t="s">
        <v>635</v>
      </c>
      <c r="J369" t="s">
        <v>668</v>
      </c>
      <c r="K369" t="s">
        <v>638</v>
      </c>
      <c r="L369" t="s">
        <v>681</v>
      </c>
      <c r="M369" t="s">
        <v>686</v>
      </c>
      <c r="N369" t="s">
        <v>691</v>
      </c>
      <c r="O369" t="s">
        <v>694</v>
      </c>
      <c r="P369">
        <v>4671375</v>
      </c>
      <c r="Q369">
        <v>24</v>
      </c>
      <c r="R369">
        <v>6.35</v>
      </c>
      <c r="S369" t="s">
        <v>724</v>
      </c>
      <c r="T369" t="s">
        <v>981</v>
      </c>
      <c r="U369">
        <v>2024</v>
      </c>
      <c r="V369" t="s">
        <v>996</v>
      </c>
      <c r="W369" t="s">
        <v>997</v>
      </c>
      <c r="X369" t="s">
        <v>1001</v>
      </c>
      <c r="Y369">
        <v>1</v>
      </c>
      <c r="Z369">
        <v>46</v>
      </c>
    </row>
    <row r="370" spans="1:26" x14ac:dyDescent="0.3">
      <c r="A370" t="s">
        <v>394</v>
      </c>
      <c r="B370" t="s">
        <v>545</v>
      </c>
      <c r="C370" t="s">
        <v>627</v>
      </c>
      <c r="D370">
        <v>42</v>
      </c>
      <c r="E370" t="s">
        <v>628</v>
      </c>
      <c r="F370">
        <v>544</v>
      </c>
      <c r="G370">
        <v>19915</v>
      </c>
      <c r="H370">
        <v>10833760</v>
      </c>
      <c r="I370" t="s">
        <v>638</v>
      </c>
      <c r="J370" t="s">
        <v>672</v>
      </c>
      <c r="K370" t="s">
        <v>674</v>
      </c>
      <c r="L370" t="s">
        <v>682</v>
      </c>
      <c r="M370" t="s">
        <v>687</v>
      </c>
      <c r="N370" t="s">
        <v>692</v>
      </c>
      <c r="O370" t="s">
        <v>693</v>
      </c>
      <c r="P370">
        <v>10833760</v>
      </c>
      <c r="Q370">
        <v>0</v>
      </c>
      <c r="R370">
        <v>5.66</v>
      </c>
      <c r="S370" t="s">
        <v>868</v>
      </c>
      <c r="T370" t="s">
        <v>986</v>
      </c>
      <c r="U370">
        <v>2024</v>
      </c>
      <c r="V370" t="s">
        <v>994</v>
      </c>
      <c r="W370" t="s">
        <v>998</v>
      </c>
      <c r="X370" t="s">
        <v>1001</v>
      </c>
      <c r="Y370">
        <v>5</v>
      </c>
      <c r="Z370">
        <v>21</v>
      </c>
    </row>
    <row r="371" spans="1:26" x14ac:dyDescent="0.3">
      <c r="A371" t="s">
        <v>395</v>
      </c>
      <c r="B371" t="s">
        <v>543</v>
      </c>
      <c r="C371" t="s">
        <v>626</v>
      </c>
      <c r="D371">
        <v>33</v>
      </c>
      <c r="E371" t="s">
        <v>629</v>
      </c>
      <c r="F371">
        <v>457</v>
      </c>
      <c r="G371">
        <v>42957</v>
      </c>
      <c r="H371">
        <v>19631349</v>
      </c>
      <c r="I371" t="s">
        <v>632</v>
      </c>
      <c r="J371" t="s">
        <v>669</v>
      </c>
      <c r="K371" t="s">
        <v>640</v>
      </c>
      <c r="L371" t="s">
        <v>682</v>
      </c>
      <c r="M371" t="s">
        <v>684</v>
      </c>
      <c r="N371" t="s">
        <v>690</v>
      </c>
      <c r="O371" t="s">
        <v>694</v>
      </c>
      <c r="P371">
        <v>9114226</v>
      </c>
      <c r="Q371">
        <v>6</v>
      </c>
      <c r="R371">
        <v>6.28</v>
      </c>
      <c r="S371" t="s">
        <v>905</v>
      </c>
      <c r="T371" t="s">
        <v>986</v>
      </c>
      <c r="U371">
        <v>2024</v>
      </c>
      <c r="V371" t="s">
        <v>995</v>
      </c>
      <c r="W371" t="s">
        <v>997</v>
      </c>
      <c r="X371" t="s">
        <v>1001</v>
      </c>
      <c r="Y371">
        <v>1</v>
      </c>
      <c r="Z371">
        <v>34</v>
      </c>
    </row>
    <row r="372" spans="1:26" x14ac:dyDescent="0.3">
      <c r="A372" t="s">
        <v>396</v>
      </c>
      <c r="B372" t="s">
        <v>617</v>
      </c>
      <c r="C372" t="s">
        <v>626</v>
      </c>
      <c r="D372">
        <v>24</v>
      </c>
      <c r="E372" t="s">
        <v>629</v>
      </c>
      <c r="F372">
        <v>351</v>
      </c>
      <c r="G372">
        <v>17753</v>
      </c>
      <c r="H372">
        <v>6231303</v>
      </c>
      <c r="I372" t="s">
        <v>651</v>
      </c>
      <c r="J372" t="s">
        <v>669</v>
      </c>
      <c r="K372" t="s">
        <v>678</v>
      </c>
      <c r="L372" t="s">
        <v>680</v>
      </c>
      <c r="M372" t="s">
        <v>684</v>
      </c>
      <c r="N372" t="s">
        <v>690</v>
      </c>
      <c r="O372" t="s">
        <v>693</v>
      </c>
      <c r="P372">
        <v>6231303</v>
      </c>
      <c r="Q372">
        <v>0</v>
      </c>
      <c r="R372">
        <v>7.46</v>
      </c>
      <c r="S372" t="s">
        <v>946</v>
      </c>
      <c r="T372" t="s">
        <v>982</v>
      </c>
      <c r="U372">
        <v>2024</v>
      </c>
      <c r="V372" t="s">
        <v>994</v>
      </c>
      <c r="W372" t="s">
        <v>997</v>
      </c>
      <c r="X372" t="s">
        <v>1000</v>
      </c>
      <c r="Y372">
        <v>3</v>
      </c>
      <c r="Z372">
        <v>44</v>
      </c>
    </row>
    <row r="373" spans="1:26" x14ac:dyDescent="0.3">
      <c r="A373" t="s">
        <v>397</v>
      </c>
      <c r="B373" t="s">
        <v>551</v>
      </c>
      <c r="C373" t="s">
        <v>626</v>
      </c>
      <c r="D373">
        <v>55</v>
      </c>
      <c r="E373" t="s">
        <v>630</v>
      </c>
      <c r="F373">
        <v>444</v>
      </c>
      <c r="G373">
        <v>9442</v>
      </c>
      <c r="H373">
        <v>4192248</v>
      </c>
      <c r="I373" t="s">
        <v>640</v>
      </c>
      <c r="J373" t="s">
        <v>672</v>
      </c>
      <c r="K373" t="s">
        <v>640</v>
      </c>
      <c r="L373" t="s">
        <v>681</v>
      </c>
      <c r="M373" t="s">
        <v>685</v>
      </c>
      <c r="N373" t="s">
        <v>688</v>
      </c>
      <c r="O373" t="s">
        <v>693</v>
      </c>
      <c r="P373">
        <v>4192248</v>
      </c>
      <c r="Q373">
        <v>0</v>
      </c>
      <c r="R373">
        <v>1.92</v>
      </c>
      <c r="S373" t="s">
        <v>947</v>
      </c>
      <c r="T373" t="s">
        <v>992</v>
      </c>
      <c r="U373">
        <v>2024</v>
      </c>
      <c r="V373" t="s">
        <v>996</v>
      </c>
      <c r="W373" t="s">
        <v>998</v>
      </c>
      <c r="X373" t="s">
        <v>1000</v>
      </c>
      <c r="Y373">
        <v>1</v>
      </c>
      <c r="Z373">
        <v>17</v>
      </c>
    </row>
    <row r="374" spans="1:26" x14ac:dyDescent="0.3">
      <c r="A374" t="s">
        <v>398</v>
      </c>
      <c r="B374" t="s">
        <v>610</v>
      </c>
      <c r="C374" t="s">
        <v>627</v>
      </c>
      <c r="D374">
        <v>40</v>
      </c>
      <c r="E374" t="s">
        <v>629</v>
      </c>
      <c r="F374">
        <v>380</v>
      </c>
      <c r="G374">
        <v>44224</v>
      </c>
      <c r="H374">
        <v>16805120</v>
      </c>
      <c r="I374" t="s">
        <v>636</v>
      </c>
      <c r="J374" t="s">
        <v>671</v>
      </c>
      <c r="K374" t="s">
        <v>675</v>
      </c>
      <c r="L374" t="s">
        <v>681</v>
      </c>
      <c r="M374" t="s">
        <v>685</v>
      </c>
      <c r="N374" t="s">
        <v>691</v>
      </c>
      <c r="O374" t="s">
        <v>693</v>
      </c>
      <c r="P374">
        <v>16805120</v>
      </c>
      <c r="Q374">
        <v>0</v>
      </c>
      <c r="R374">
        <v>9.64</v>
      </c>
      <c r="S374" t="s">
        <v>931</v>
      </c>
      <c r="T374" t="s">
        <v>986</v>
      </c>
      <c r="U374">
        <v>2024</v>
      </c>
      <c r="V374" t="s">
        <v>994</v>
      </c>
      <c r="W374" t="s">
        <v>997</v>
      </c>
      <c r="X374" t="s">
        <v>1001</v>
      </c>
      <c r="Y374">
        <v>1</v>
      </c>
      <c r="Z374">
        <v>26</v>
      </c>
    </row>
    <row r="375" spans="1:26" x14ac:dyDescent="0.3">
      <c r="A375" t="s">
        <v>399</v>
      </c>
      <c r="B375" t="s">
        <v>539</v>
      </c>
      <c r="C375" t="s">
        <v>626</v>
      </c>
      <c r="D375">
        <v>25</v>
      </c>
      <c r="E375" t="s">
        <v>628</v>
      </c>
      <c r="F375">
        <v>314</v>
      </c>
      <c r="G375">
        <v>39419</v>
      </c>
      <c r="H375">
        <v>12377566</v>
      </c>
      <c r="I375" t="s">
        <v>653</v>
      </c>
      <c r="J375" t="s">
        <v>668</v>
      </c>
      <c r="K375" t="s">
        <v>679</v>
      </c>
      <c r="L375" t="s">
        <v>682</v>
      </c>
      <c r="M375" t="s">
        <v>685</v>
      </c>
      <c r="N375" t="s">
        <v>690</v>
      </c>
      <c r="O375" t="s">
        <v>693</v>
      </c>
      <c r="P375">
        <v>12377566</v>
      </c>
      <c r="Q375">
        <v>0</v>
      </c>
      <c r="R375">
        <v>5.22</v>
      </c>
      <c r="S375" t="s">
        <v>775</v>
      </c>
      <c r="T375" t="s">
        <v>985</v>
      </c>
      <c r="U375">
        <v>2024</v>
      </c>
      <c r="V375" t="s">
        <v>994</v>
      </c>
      <c r="W375" t="s">
        <v>997</v>
      </c>
      <c r="X375" t="s">
        <v>1001</v>
      </c>
      <c r="Y375">
        <v>4</v>
      </c>
      <c r="Z375">
        <v>48</v>
      </c>
    </row>
    <row r="376" spans="1:26" x14ac:dyDescent="0.3">
      <c r="A376" t="s">
        <v>400</v>
      </c>
      <c r="B376" t="s">
        <v>545</v>
      </c>
      <c r="C376" t="s">
        <v>626</v>
      </c>
      <c r="D376">
        <v>57</v>
      </c>
      <c r="E376" t="s">
        <v>628</v>
      </c>
      <c r="F376">
        <v>423</v>
      </c>
      <c r="G376">
        <v>11455</v>
      </c>
      <c r="H376">
        <v>4845465</v>
      </c>
      <c r="I376" t="s">
        <v>653</v>
      </c>
      <c r="J376" t="s">
        <v>668</v>
      </c>
      <c r="K376" t="s">
        <v>640</v>
      </c>
      <c r="L376" t="s">
        <v>681</v>
      </c>
      <c r="M376" t="s">
        <v>686</v>
      </c>
      <c r="N376" t="s">
        <v>690</v>
      </c>
      <c r="O376" t="s">
        <v>693</v>
      </c>
      <c r="P376">
        <v>4845465</v>
      </c>
      <c r="Q376">
        <v>0</v>
      </c>
      <c r="R376">
        <v>1.75</v>
      </c>
      <c r="S376" t="s">
        <v>825</v>
      </c>
      <c r="T376" t="s">
        <v>992</v>
      </c>
      <c r="U376">
        <v>2024</v>
      </c>
      <c r="V376" t="s">
        <v>993</v>
      </c>
      <c r="W376" t="s">
        <v>998</v>
      </c>
      <c r="X376" t="s">
        <v>1001</v>
      </c>
      <c r="Y376">
        <v>4</v>
      </c>
      <c r="Z376">
        <v>31</v>
      </c>
    </row>
    <row r="377" spans="1:26" x14ac:dyDescent="0.3">
      <c r="A377" t="s">
        <v>401</v>
      </c>
      <c r="B377" t="s">
        <v>610</v>
      </c>
      <c r="C377" t="s">
        <v>627</v>
      </c>
      <c r="D377">
        <v>36</v>
      </c>
      <c r="E377" t="s">
        <v>629</v>
      </c>
      <c r="F377">
        <v>348</v>
      </c>
      <c r="G377">
        <v>25789</v>
      </c>
      <c r="H377">
        <v>8974572</v>
      </c>
      <c r="I377" t="s">
        <v>653</v>
      </c>
      <c r="J377" t="s">
        <v>668</v>
      </c>
      <c r="K377" t="s">
        <v>677</v>
      </c>
      <c r="L377" t="s">
        <v>681</v>
      </c>
      <c r="M377" t="s">
        <v>687</v>
      </c>
      <c r="N377" t="s">
        <v>690</v>
      </c>
      <c r="O377" t="s">
        <v>694</v>
      </c>
      <c r="P377">
        <v>4006335</v>
      </c>
      <c r="Q377">
        <v>12</v>
      </c>
      <c r="R377">
        <v>0.21</v>
      </c>
      <c r="S377" t="s">
        <v>948</v>
      </c>
      <c r="T377" t="s">
        <v>983</v>
      </c>
      <c r="U377">
        <v>2024</v>
      </c>
      <c r="V377" t="s">
        <v>993</v>
      </c>
      <c r="W377" t="s">
        <v>997</v>
      </c>
      <c r="X377" t="s">
        <v>1000</v>
      </c>
      <c r="Y377">
        <v>4</v>
      </c>
      <c r="Z377">
        <v>25</v>
      </c>
    </row>
    <row r="378" spans="1:26" x14ac:dyDescent="0.3">
      <c r="A378" t="s">
        <v>402</v>
      </c>
      <c r="B378" t="s">
        <v>594</v>
      </c>
      <c r="C378" t="s">
        <v>626</v>
      </c>
      <c r="D378">
        <v>22</v>
      </c>
      <c r="E378" t="s">
        <v>630</v>
      </c>
      <c r="F378">
        <v>508</v>
      </c>
      <c r="G378">
        <v>7914</v>
      </c>
      <c r="H378">
        <v>4020312</v>
      </c>
      <c r="I378" t="s">
        <v>661</v>
      </c>
      <c r="J378" t="s">
        <v>673</v>
      </c>
      <c r="K378" t="s">
        <v>677</v>
      </c>
      <c r="L378" t="s">
        <v>680</v>
      </c>
      <c r="M378" t="s">
        <v>684</v>
      </c>
      <c r="N378" t="s">
        <v>691</v>
      </c>
      <c r="O378" t="s">
        <v>693</v>
      </c>
      <c r="P378">
        <v>4020312</v>
      </c>
      <c r="Q378">
        <v>0</v>
      </c>
      <c r="R378">
        <v>2.97</v>
      </c>
      <c r="S378" t="s">
        <v>702</v>
      </c>
      <c r="T378" t="s">
        <v>987</v>
      </c>
      <c r="U378">
        <v>2024</v>
      </c>
      <c r="V378" t="s">
        <v>995</v>
      </c>
      <c r="W378" t="s">
        <v>998</v>
      </c>
      <c r="X378" t="s">
        <v>1001</v>
      </c>
      <c r="Y378">
        <v>4</v>
      </c>
      <c r="Z378">
        <v>7</v>
      </c>
    </row>
    <row r="379" spans="1:26" x14ac:dyDescent="0.3">
      <c r="A379" t="s">
        <v>403</v>
      </c>
      <c r="B379" t="s">
        <v>548</v>
      </c>
      <c r="C379" t="s">
        <v>627</v>
      </c>
      <c r="D379">
        <v>20</v>
      </c>
      <c r="E379" t="s">
        <v>630</v>
      </c>
      <c r="F379">
        <v>267</v>
      </c>
      <c r="G379">
        <v>25059</v>
      </c>
      <c r="H379">
        <v>6690753</v>
      </c>
      <c r="I379" t="s">
        <v>651</v>
      </c>
      <c r="J379" t="s">
        <v>669</v>
      </c>
      <c r="K379" t="s">
        <v>675</v>
      </c>
      <c r="L379" t="s">
        <v>680</v>
      </c>
      <c r="M379" t="s">
        <v>687</v>
      </c>
      <c r="N379" t="s">
        <v>690</v>
      </c>
      <c r="O379" t="s">
        <v>694</v>
      </c>
      <c r="P379">
        <v>2247949</v>
      </c>
      <c r="Q379">
        <v>12</v>
      </c>
      <c r="R379">
        <v>0.27</v>
      </c>
      <c r="S379" t="s">
        <v>730</v>
      </c>
      <c r="T379" t="s">
        <v>988</v>
      </c>
      <c r="U379">
        <v>2024</v>
      </c>
      <c r="V379" t="s">
        <v>993</v>
      </c>
      <c r="W379" t="s">
        <v>999</v>
      </c>
      <c r="X379" t="s">
        <v>1000</v>
      </c>
      <c r="Y379">
        <v>2</v>
      </c>
      <c r="Z379">
        <v>34</v>
      </c>
    </row>
    <row r="380" spans="1:26" x14ac:dyDescent="0.3">
      <c r="A380" t="s">
        <v>404</v>
      </c>
      <c r="B380" t="s">
        <v>527</v>
      </c>
      <c r="C380" t="s">
        <v>626</v>
      </c>
      <c r="D380">
        <v>38</v>
      </c>
      <c r="E380" t="s">
        <v>628</v>
      </c>
      <c r="F380">
        <v>808</v>
      </c>
      <c r="G380">
        <v>46941</v>
      </c>
      <c r="H380">
        <v>37928328</v>
      </c>
      <c r="I380" t="s">
        <v>659</v>
      </c>
      <c r="J380" t="s">
        <v>668</v>
      </c>
      <c r="K380" t="s">
        <v>638</v>
      </c>
      <c r="L380" t="s">
        <v>680</v>
      </c>
      <c r="M380" t="s">
        <v>684</v>
      </c>
      <c r="N380" t="s">
        <v>690</v>
      </c>
      <c r="O380" t="s">
        <v>694</v>
      </c>
      <c r="P380">
        <v>12722943</v>
      </c>
      <c r="Q380">
        <v>12</v>
      </c>
      <c r="R380">
        <v>8.74</v>
      </c>
      <c r="S380" t="s">
        <v>786</v>
      </c>
      <c r="T380" t="s">
        <v>987</v>
      </c>
      <c r="U380">
        <v>2024</v>
      </c>
      <c r="V380" t="s">
        <v>996</v>
      </c>
      <c r="W380" t="s">
        <v>998</v>
      </c>
      <c r="X380" t="s">
        <v>1002</v>
      </c>
      <c r="Y380">
        <v>5</v>
      </c>
      <c r="Z380">
        <v>15</v>
      </c>
    </row>
    <row r="381" spans="1:26" x14ac:dyDescent="0.3">
      <c r="A381" t="s">
        <v>405</v>
      </c>
      <c r="B381" t="s">
        <v>546</v>
      </c>
      <c r="C381" t="s">
        <v>627</v>
      </c>
      <c r="D381">
        <v>23</v>
      </c>
      <c r="E381" t="s">
        <v>630</v>
      </c>
      <c r="F381">
        <v>862</v>
      </c>
      <c r="G381">
        <v>42108</v>
      </c>
      <c r="H381">
        <v>36297096</v>
      </c>
      <c r="I381" t="s">
        <v>664</v>
      </c>
      <c r="J381" t="s">
        <v>673</v>
      </c>
      <c r="K381" t="s">
        <v>675</v>
      </c>
      <c r="L381" t="s">
        <v>682</v>
      </c>
      <c r="M381" t="s">
        <v>684</v>
      </c>
      <c r="N381" t="s">
        <v>692</v>
      </c>
      <c r="O381" t="s">
        <v>693</v>
      </c>
      <c r="P381">
        <v>36297096</v>
      </c>
      <c r="Q381">
        <v>0</v>
      </c>
      <c r="R381">
        <v>9.07</v>
      </c>
      <c r="S381" t="s">
        <v>923</v>
      </c>
      <c r="T381" t="s">
        <v>989</v>
      </c>
      <c r="U381">
        <v>2024</v>
      </c>
      <c r="V381" t="s">
        <v>994</v>
      </c>
      <c r="W381" t="s">
        <v>999</v>
      </c>
      <c r="X381" t="s">
        <v>1000</v>
      </c>
      <c r="Y381">
        <v>3</v>
      </c>
      <c r="Z381">
        <v>11</v>
      </c>
    </row>
    <row r="382" spans="1:26" x14ac:dyDescent="0.3">
      <c r="A382" t="s">
        <v>406</v>
      </c>
      <c r="B382" t="s">
        <v>592</v>
      </c>
      <c r="C382" t="s">
        <v>626</v>
      </c>
      <c r="D382">
        <v>38</v>
      </c>
      <c r="E382" t="s">
        <v>629</v>
      </c>
      <c r="F382">
        <v>935</v>
      </c>
      <c r="G382">
        <v>36461</v>
      </c>
      <c r="H382">
        <v>34091035</v>
      </c>
      <c r="I382" t="s">
        <v>638</v>
      </c>
      <c r="J382" t="s">
        <v>672</v>
      </c>
      <c r="K382" t="s">
        <v>664</v>
      </c>
      <c r="L382" t="s">
        <v>681</v>
      </c>
      <c r="M382" t="s">
        <v>684</v>
      </c>
      <c r="N382" t="s">
        <v>688</v>
      </c>
      <c r="O382" t="s">
        <v>694</v>
      </c>
      <c r="P382">
        <v>15278826</v>
      </c>
      <c r="Q382">
        <v>24</v>
      </c>
      <c r="R382">
        <v>4.9400000000000004</v>
      </c>
      <c r="S382" t="s">
        <v>850</v>
      </c>
      <c r="T382" t="s">
        <v>990</v>
      </c>
      <c r="U382">
        <v>2024</v>
      </c>
      <c r="V382" t="s">
        <v>995</v>
      </c>
      <c r="W382" t="s">
        <v>999</v>
      </c>
      <c r="X382" t="s">
        <v>1001</v>
      </c>
      <c r="Y382">
        <v>2</v>
      </c>
      <c r="Z382">
        <v>19</v>
      </c>
    </row>
    <row r="383" spans="1:26" x14ac:dyDescent="0.3">
      <c r="A383" t="s">
        <v>407</v>
      </c>
      <c r="B383" t="s">
        <v>536</v>
      </c>
      <c r="C383" t="s">
        <v>627</v>
      </c>
      <c r="D383">
        <v>43</v>
      </c>
      <c r="E383" t="s">
        <v>629</v>
      </c>
      <c r="F383">
        <v>628</v>
      </c>
      <c r="G383">
        <v>13820</v>
      </c>
      <c r="H383">
        <v>8678960</v>
      </c>
      <c r="I383" t="s">
        <v>659</v>
      </c>
      <c r="J383" t="s">
        <v>668</v>
      </c>
      <c r="K383" t="s">
        <v>679</v>
      </c>
      <c r="L383" t="s">
        <v>682</v>
      </c>
      <c r="M383" t="s">
        <v>684</v>
      </c>
      <c r="N383" t="s">
        <v>689</v>
      </c>
      <c r="O383" t="s">
        <v>694</v>
      </c>
      <c r="P383">
        <v>1810708</v>
      </c>
      <c r="Q383">
        <v>6</v>
      </c>
      <c r="R383">
        <v>9.76</v>
      </c>
      <c r="S383" t="s">
        <v>846</v>
      </c>
      <c r="T383" t="s">
        <v>990</v>
      </c>
      <c r="U383">
        <v>2024</v>
      </c>
      <c r="V383" t="s">
        <v>993</v>
      </c>
      <c r="W383" t="s">
        <v>998</v>
      </c>
      <c r="X383" t="s">
        <v>1000</v>
      </c>
      <c r="Y383">
        <v>3</v>
      </c>
      <c r="Z383">
        <v>45</v>
      </c>
    </row>
    <row r="384" spans="1:26" x14ac:dyDescent="0.3">
      <c r="A384" t="s">
        <v>408</v>
      </c>
      <c r="B384" t="s">
        <v>530</v>
      </c>
      <c r="C384" t="s">
        <v>626</v>
      </c>
      <c r="D384">
        <v>42</v>
      </c>
      <c r="E384" t="s">
        <v>629</v>
      </c>
      <c r="F384">
        <v>930</v>
      </c>
      <c r="G384">
        <v>27132</v>
      </c>
      <c r="H384">
        <v>25232760</v>
      </c>
      <c r="I384" t="s">
        <v>634</v>
      </c>
      <c r="J384" t="s">
        <v>670</v>
      </c>
      <c r="K384" t="s">
        <v>679</v>
      </c>
      <c r="L384" t="s">
        <v>682</v>
      </c>
      <c r="M384" t="s">
        <v>686</v>
      </c>
      <c r="N384" t="s">
        <v>689</v>
      </c>
      <c r="O384" t="s">
        <v>694</v>
      </c>
      <c r="P384">
        <v>5599570</v>
      </c>
      <c r="Q384">
        <v>12</v>
      </c>
      <c r="R384">
        <v>5.57</v>
      </c>
      <c r="S384" t="s">
        <v>730</v>
      </c>
      <c r="T384" t="s">
        <v>988</v>
      </c>
      <c r="U384">
        <v>2024</v>
      </c>
      <c r="V384" t="s">
        <v>993</v>
      </c>
      <c r="W384" t="s">
        <v>998</v>
      </c>
      <c r="X384" t="s">
        <v>1001</v>
      </c>
      <c r="Y384">
        <v>5</v>
      </c>
      <c r="Z384">
        <v>25</v>
      </c>
    </row>
    <row r="385" spans="1:26" x14ac:dyDescent="0.3">
      <c r="A385" t="s">
        <v>409</v>
      </c>
      <c r="B385" t="s">
        <v>567</v>
      </c>
      <c r="C385" t="s">
        <v>626</v>
      </c>
      <c r="D385">
        <v>41</v>
      </c>
      <c r="E385" t="s">
        <v>630</v>
      </c>
      <c r="F385">
        <v>335</v>
      </c>
      <c r="G385">
        <v>38671</v>
      </c>
      <c r="H385">
        <v>12954785</v>
      </c>
      <c r="I385" t="s">
        <v>639</v>
      </c>
      <c r="J385" t="s">
        <v>671</v>
      </c>
      <c r="K385" t="s">
        <v>651</v>
      </c>
      <c r="L385" t="s">
        <v>680</v>
      </c>
      <c r="M385" t="s">
        <v>685</v>
      </c>
      <c r="N385" t="s">
        <v>690</v>
      </c>
      <c r="O385" t="s">
        <v>693</v>
      </c>
      <c r="P385">
        <v>12954785</v>
      </c>
      <c r="Q385">
        <v>0</v>
      </c>
      <c r="R385">
        <v>5.8</v>
      </c>
      <c r="S385" t="s">
        <v>949</v>
      </c>
      <c r="T385" t="s">
        <v>992</v>
      </c>
      <c r="U385">
        <v>2024</v>
      </c>
      <c r="V385" t="s">
        <v>995</v>
      </c>
      <c r="W385" t="s">
        <v>999</v>
      </c>
      <c r="X385" t="s">
        <v>1002</v>
      </c>
      <c r="Y385">
        <v>1</v>
      </c>
      <c r="Z385">
        <v>21</v>
      </c>
    </row>
    <row r="386" spans="1:26" x14ac:dyDescent="0.3">
      <c r="A386" t="s">
        <v>410</v>
      </c>
      <c r="B386" t="s">
        <v>597</v>
      </c>
      <c r="C386" t="s">
        <v>626</v>
      </c>
      <c r="D386">
        <v>30</v>
      </c>
      <c r="E386" t="s">
        <v>630</v>
      </c>
      <c r="F386">
        <v>487</v>
      </c>
      <c r="G386">
        <v>25631</v>
      </c>
      <c r="H386">
        <v>12482297</v>
      </c>
      <c r="I386" t="s">
        <v>641</v>
      </c>
      <c r="J386" t="s">
        <v>673</v>
      </c>
      <c r="K386" t="s">
        <v>678</v>
      </c>
      <c r="L386" t="s">
        <v>682</v>
      </c>
      <c r="M386" t="s">
        <v>684</v>
      </c>
      <c r="N386" t="s">
        <v>688</v>
      </c>
      <c r="O386" t="s">
        <v>694</v>
      </c>
      <c r="P386">
        <v>5877137</v>
      </c>
      <c r="Q386">
        <v>12</v>
      </c>
      <c r="R386">
        <v>2.63</v>
      </c>
      <c r="S386" t="s">
        <v>950</v>
      </c>
      <c r="T386" t="s">
        <v>992</v>
      </c>
      <c r="U386">
        <v>2024</v>
      </c>
      <c r="V386" t="s">
        <v>995</v>
      </c>
      <c r="W386" t="s">
        <v>999</v>
      </c>
      <c r="X386" t="s">
        <v>1000</v>
      </c>
      <c r="Y386">
        <v>2</v>
      </c>
      <c r="Z386">
        <v>4</v>
      </c>
    </row>
    <row r="387" spans="1:26" x14ac:dyDescent="0.3">
      <c r="A387" t="s">
        <v>411</v>
      </c>
      <c r="B387" t="s">
        <v>589</v>
      </c>
      <c r="C387" t="s">
        <v>627</v>
      </c>
      <c r="D387">
        <v>48</v>
      </c>
      <c r="E387" t="s">
        <v>630</v>
      </c>
      <c r="F387">
        <v>681</v>
      </c>
      <c r="G387">
        <v>19054</v>
      </c>
      <c r="H387">
        <v>12975774</v>
      </c>
      <c r="I387" t="s">
        <v>654</v>
      </c>
      <c r="J387" t="s">
        <v>669</v>
      </c>
      <c r="K387" t="s">
        <v>664</v>
      </c>
      <c r="L387" t="s">
        <v>682</v>
      </c>
      <c r="M387" t="s">
        <v>686</v>
      </c>
      <c r="N387" t="s">
        <v>691</v>
      </c>
      <c r="O387" t="s">
        <v>693</v>
      </c>
      <c r="P387">
        <v>12975774</v>
      </c>
      <c r="Q387">
        <v>0</v>
      </c>
      <c r="R387">
        <v>7.06</v>
      </c>
      <c r="S387" t="s">
        <v>951</v>
      </c>
      <c r="T387" t="s">
        <v>989</v>
      </c>
      <c r="U387">
        <v>2024</v>
      </c>
      <c r="V387" t="s">
        <v>995</v>
      </c>
      <c r="W387" t="s">
        <v>998</v>
      </c>
      <c r="X387" t="s">
        <v>1000</v>
      </c>
      <c r="Y387">
        <v>2</v>
      </c>
      <c r="Z387">
        <v>8</v>
      </c>
    </row>
    <row r="388" spans="1:26" x14ac:dyDescent="0.3">
      <c r="A388" t="s">
        <v>412</v>
      </c>
      <c r="B388" t="s">
        <v>573</v>
      </c>
      <c r="C388" t="s">
        <v>627</v>
      </c>
      <c r="D388">
        <v>57</v>
      </c>
      <c r="E388" t="s">
        <v>628</v>
      </c>
      <c r="F388">
        <v>490</v>
      </c>
      <c r="G388">
        <v>13839</v>
      </c>
      <c r="H388">
        <v>6781110</v>
      </c>
      <c r="I388" t="s">
        <v>643</v>
      </c>
      <c r="J388" t="s">
        <v>671</v>
      </c>
      <c r="K388" t="s">
        <v>679</v>
      </c>
      <c r="L388" t="s">
        <v>682</v>
      </c>
      <c r="M388" t="s">
        <v>686</v>
      </c>
      <c r="N388" t="s">
        <v>688</v>
      </c>
      <c r="O388" t="s">
        <v>693</v>
      </c>
      <c r="P388">
        <v>6781110</v>
      </c>
      <c r="Q388">
        <v>0</v>
      </c>
      <c r="R388">
        <v>7.5</v>
      </c>
      <c r="S388" t="s">
        <v>881</v>
      </c>
      <c r="T388" t="s">
        <v>992</v>
      </c>
      <c r="U388">
        <v>2024</v>
      </c>
      <c r="V388" t="s">
        <v>995</v>
      </c>
      <c r="W388" t="s">
        <v>999</v>
      </c>
      <c r="X388" t="s">
        <v>1000</v>
      </c>
      <c r="Y388">
        <v>4</v>
      </c>
      <c r="Z388">
        <v>44</v>
      </c>
    </row>
    <row r="389" spans="1:26" x14ac:dyDescent="0.3">
      <c r="A389" t="s">
        <v>413</v>
      </c>
      <c r="B389" t="s">
        <v>571</v>
      </c>
      <c r="C389" t="s">
        <v>627</v>
      </c>
      <c r="D389">
        <v>21</v>
      </c>
      <c r="E389" t="s">
        <v>628</v>
      </c>
      <c r="F389">
        <v>491</v>
      </c>
      <c r="G389">
        <v>46650</v>
      </c>
      <c r="H389">
        <v>22905150</v>
      </c>
      <c r="I389" t="s">
        <v>646</v>
      </c>
      <c r="J389" t="s">
        <v>673</v>
      </c>
      <c r="K389" t="s">
        <v>664</v>
      </c>
      <c r="L389" t="s">
        <v>681</v>
      </c>
      <c r="M389" t="s">
        <v>684</v>
      </c>
      <c r="N389" t="s">
        <v>691</v>
      </c>
      <c r="O389" t="s">
        <v>693</v>
      </c>
      <c r="P389">
        <v>22905150</v>
      </c>
      <c r="Q389">
        <v>0</v>
      </c>
      <c r="R389">
        <v>3.94</v>
      </c>
      <c r="S389" t="s">
        <v>792</v>
      </c>
      <c r="T389" t="s">
        <v>985</v>
      </c>
      <c r="U389">
        <v>2024</v>
      </c>
      <c r="V389" t="s">
        <v>994</v>
      </c>
      <c r="W389" t="s">
        <v>997</v>
      </c>
      <c r="X389" t="s">
        <v>1001</v>
      </c>
      <c r="Y389">
        <v>1</v>
      </c>
      <c r="Z389">
        <v>22</v>
      </c>
    </row>
    <row r="390" spans="1:26" x14ac:dyDescent="0.3">
      <c r="A390" t="s">
        <v>414</v>
      </c>
      <c r="B390" t="s">
        <v>532</v>
      </c>
      <c r="C390" t="s">
        <v>627</v>
      </c>
      <c r="D390">
        <v>24</v>
      </c>
      <c r="E390" t="s">
        <v>629</v>
      </c>
      <c r="F390">
        <v>663</v>
      </c>
      <c r="G390">
        <v>23293</v>
      </c>
      <c r="H390">
        <v>15443259</v>
      </c>
      <c r="I390" t="s">
        <v>662</v>
      </c>
      <c r="J390" t="s">
        <v>673</v>
      </c>
      <c r="K390" t="s">
        <v>674</v>
      </c>
      <c r="L390" t="s">
        <v>682</v>
      </c>
      <c r="M390" t="s">
        <v>684</v>
      </c>
      <c r="N390" t="s">
        <v>689</v>
      </c>
      <c r="O390" t="s">
        <v>693</v>
      </c>
      <c r="P390">
        <v>15443259</v>
      </c>
      <c r="Q390">
        <v>0</v>
      </c>
      <c r="R390">
        <v>2.11</v>
      </c>
      <c r="S390" t="s">
        <v>852</v>
      </c>
      <c r="T390" t="s">
        <v>988</v>
      </c>
      <c r="U390">
        <v>2024</v>
      </c>
      <c r="V390" t="s">
        <v>995</v>
      </c>
      <c r="W390" t="s">
        <v>998</v>
      </c>
      <c r="X390" t="s">
        <v>1000</v>
      </c>
      <c r="Y390">
        <v>2</v>
      </c>
      <c r="Z390">
        <v>50</v>
      </c>
    </row>
    <row r="391" spans="1:26" x14ac:dyDescent="0.3">
      <c r="A391" t="s">
        <v>415</v>
      </c>
      <c r="B391" t="s">
        <v>615</v>
      </c>
      <c r="C391" t="s">
        <v>626</v>
      </c>
      <c r="D391">
        <v>51</v>
      </c>
      <c r="E391" t="s">
        <v>630</v>
      </c>
      <c r="F391">
        <v>413</v>
      </c>
      <c r="G391">
        <v>12678</v>
      </c>
      <c r="H391">
        <v>5236014</v>
      </c>
      <c r="I391" t="s">
        <v>663</v>
      </c>
      <c r="J391" t="s">
        <v>670</v>
      </c>
      <c r="K391" t="s">
        <v>664</v>
      </c>
      <c r="L391" t="s">
        <v>682</v>
      </c>
      <c r="M391" t="s">
        <v>687</v>
      </c>
      <c r="N391" t="s">
        <v>692</v>
      </c>
      <c r="O391" t="s">
        <v>694</v>
      </c>
      <c r="P391">
        <v>1494781</v>
      </c>
      <c r="Q391">
        <v>24</v>
      </c>
      <c r="R391">
        <v>7.53</v>
      </c>
      <c r="S391" t="s">
        <v>952</v>
      </c>
      <c r="T391" t="s">
        <v>983</v>
      </c>
      <c r="U391">
        <v>2024</v>
      </c>
      <c r="V391" t="s">
        <v>996</v>
      </c>
      <c r="W391" t="s">
        <v>998</v>
      </c>
      <c r="X391" t="s">
        <v>1001</v>
      </c>
      <c r="Y391">
        <v>1</v>
      </c>
      <c r="Z391">
        <v>24</v>
      </c>
    </row>
    <row r="392" spans="1:26" x14ac:dyDescent="0.3">
      <c r="A392" t="s">
        <v>416</v>
      </c>
      <c r="B392" t="s">
        <v>598</v>
      </c>
      <c r="C392" t="s">
        <v>627</v>
      </c>
      <c r="D392">
        <v>47</v>
      </c>
      <c r="E392" t="s">
        <v>629</v>
      </c>
      <c r="F392">
        <v>656</v>
      </c>
      <c r="G392">
        <v>27433</v>
      </c>
      <c r="H392">
        <v>17996048</v>
      </c>
      <c r="I392" t="s">
        <v>640</v>
      </c>
      <c r="J392" t="s">
        <v>672</v>
      </c>
      <c r="K392" t="s">
        <v>678</v>
      </c>
      <c r="L392" t="s">
        <v>681</v>
      </c>
      <c r="M392" t="s">
        <v>685</v>
      </c>
      <c r="N392" t="s">
        <v>689</v>
      </c>
      <c r="O392" t="s">
        <v>694</v>
      </c>
      <c r="P392">
        <v>6639050</v>
      </c>
      <c r="Q392">
        <v>12</v>
      </c>
      <c r="R392">
        <v>4.2300000000000004</v>
      </c>
      <c r="S392" t="s">
        <v>807</v>
      </c>
      <c r="T392" t="s">
        <v>989</v>
      </c>
      <c r="U392">
        <v>2024</v>
      </c>
      <c r="V392" t="s">
        <v>994</v>
      </c>
      <c r="W392" t="s">
        <v>998</v>
      </c>
      <c r="X392" t="s">
        <v>1001</v>
      </c>
      <c r="Y392">
        <v>2</v>
      </c>
      <c r="Z392">
        <v>42</v>
      </c>
    </row>
    <row r="393" spans="1:26" x14ac:dyDescent="0.3">
      <c r="A393" t="s">
        <v>417</v>
      </c>
      <c r="B393" t="s">
        <v>589</v>
      </c>
      <c r="C393" t="s">
        <v>626</v>
      </c>
      <c r="D393">
        <v>29</v>
      </c>
      <c r="E393" t="s">
        <v>628</v>
      </c>
      <c r="F393">
        <v>707</v>
      </c>
      <c r="G393">
        <v>36555</v>
      </c>
      <c r="H393">
        <v>25844385</v>
      </c>
      <c r="I393" t="s">
        <v>659</v>
      </c>
      <c r="J393" t="s">
        <v>668</v>
      </c>
      <c r="K393" t="s">
        <v>638</v>
      </c>
      <c r="L393" t="s">
        <v>682</v>
      </c>
      <c r="M393" t="s">
        <v>687</v>
      </c>
      <c r="N393" t="s">
        <v>688</v>
      </c>
      <c r="O393" t="s">
        <v>693</v>
      </c>
      <c r="P393">
        <v>25844385</v>
      </c>
      <c r="Q393">
        <v>0</v>
      </c>
      <c r="R393">
        <v>2.91</v>
      </c>
      <c r="S393" t="s">
        <v>951</v>
      </c>
      <c r="T393" t="s">
        <v>989</v>
      </c>
      <c r="U393">
        <v>2024</v>
      </c>
      <c r="V393" t="s">
        <v>995</v>
      </c>
      <c r="W393" t="s">
        <v>998</v>
      </c>
      <c r="X393" t="s">
        <v>1001</v>
      </c>
      <c r="Y393">
        <v>1</v>
      </c>
      <c r="Z393">
        <v>36</v>
      </c>
    </row>
    <row r="394" spans="1:26" x14ac:dyDescent="0.3">
      <c r="A394" t="s">
        <v>418</v>
      </c>
      <c r="B394" t="s">
        <v>532</v>
      </c>
      <c r="C394" t="s">
        <v>626</v>
      </c>
      <c r="D394">
        <v>57</v>
      </c>
      <c r="E394" t="s">
        <v>628</v>
      </c>
      <c r="F394">
        <v>310</v>
      </c>
      <c r="G394">
        <v>35466</v>
      </c>
      <c r="H394">
        <v>10994460</v>
      </c>
      <c r="I394" t="s">
        <v>664</v>
      </c>
      <c r="J394" t="s">
        <v>673</v>
      </c>
      <c r="K394" t="s">
        <v>675</v>
      </c>
      <c r="L394" t="s">
        <v>682</v>
      </c>
      <c r="M394" t="s">
        <v>685</v>
      </c>
      <c r="N394" t="s">
        <v>689</v>
      </c>
      <c r="O394" t="s">
        <v>694</v>
      </c>
      <c r="P394">
        <v>2510533</v>
      </c>
      <c r="Q394">
        <v>24</v>
      </c>
      <c r="R394">
        <v>6.61</v>
      </c>
      <c r="S394" t="s">
        <v>816</v>
      </c>
      <c r="T394" t="s">
        <v>985</v>
      </c>
      <c r="U394">
        <v>2024</v>
      </c>
      <c r="V394" t="s">
        <v>995</v>
      </c>
      <c r="W394" t="s">
        <v>999</v>
      </c>
      <c r="X394" t="s">
        <v>1000</v>
      </c>
      <c r="Y394">
        <v>4</v>
      </c>
      <c r="Z394">
        <v>3</v>
      </c>
    </row>
    <row r="395" spans="1:26" x14ac:dyDescent="0.3">
      <c r="A395" t="s">
        <v>419</v>
      </c>
      <c r="B395" t="s">
        <v>613</v>
      </c>
      <c r="C395" t="s">
        <v>627</v>
      </c>
      <c r="D395">
        <v>58</v>
      </c>
      <c r="E395" t="s">
        <v>630</v>
      </c>
      <c r="F395">
        <v>521</v>
      </c>
      <c r="G395">
        <v>40483</v>
      </c>
      <c r="H395">
        <v>21091643</v>
      </c>
      <c r="I395" t="s">
        <v>661</v>
      </c>
      <c r="J395" t="s">
        <v>673</v>
      </c>
      <c r="K395" t="s">
        <v>677</v>
      </c>
      <c r="L395" t="s">
        <v>682</v>
      </c>
      <c r="M395" t="s">
        <v>685</v>
      </c>
      <c r="N395" t="s">
        <v>691</v>
      </c>
      <c r="O395" t="s">
        <v>694</v>
      </c>
      <c r="P395">
        <v>8165484</v>
      </c>
      <c r="Q395">
        <v>24</v>
      </c>
      <c r="R395">
        <v>2.65</v>
      </c>
      <c r="S395" t="s">
        <v>953</v>
      </c>
      <c r="T395" t="s">
        <v>990</v>
      </c>
      <c r="U395">
        <v>2024</v>
      </c>
      <c r="V395" t="s">
        <v>993</v>
      </c>
      <c r="W395" t="s">
        <v>999</v>
      </c>
      <c r="X395" t="s">
        <v>1002</v>
      </c>
      <c r="Y395">
        <v>1</v>
      </c>
      <c r="Z395">
        <v>1</v>
      </c>
    </row>
    <row r="396" spans="1:26" x14ac:dyDescent="0.3">
      <c r="A396" t="s">
        <v>420</v>
      </c>
      <c r="B396" t="s">
        <v>557</v>
      </c>
      <c r="C396" t="s">
        <v>627</v>
      </c>
      <c r="D396">
        <v>28</v>
      </c>
      <c r="E396" t="s">
        <v>628</v>
      </c>
      <c r="F396">
        <v>908</v>
      </c>
      <c r="G396">
        <v>28548</v>
      </c>
      <c r="H396">
        <v>25921584</v>
      </c>
      <c r="I396" t="s">
        <v>632</v>
      </c>
      <c r="J396" t="s">
        <v>669</v>
      </c>
      <c r="K396" t="s">
        <v>678</v>
      </c>
      <c r="L396" t="s">
        <v>680</v>
      </c>
      <c r="M396" t="s">
        <v>683</v>
      </c>
      <c r="N396" t="s">
        <v>689</v>
      </c>
      <c r="O396" t="s">
        <v>694</v>
      </c>
      <c r="P396">
        <v>9994062</v>
      </c>
      <c r="Q396">
        <v>12</v>
      </c>
      <c r="R396">
        <v>9.74</v>
      </c>
      <c r="S396" t="s">
        <v>768</v>
      </c>
      <c r="T396" t="s">
        <v>991</v>
      </c>
      <c r="U396">
        <v>2024</v>
      </c>
      <c r="V396" t="s">
        <v>993</v>
      </c>
      <c r="W396" t="s">
        <v>997</v>
      </c>
      <c r="X396" t="s">
        <v>1000</v>
      </c>
      <c r="Y396">
        <v>1</v>
      </c>
      <c r="Z396">
        <v>14</v>
      </c>
    </row>
    <row r="397" spans="1:26" x14ac:dyDescent="0.3">
      <c r="A397" t="s">
        <v>421</v>
      </c>
      <c r="B397" t="s">
        <v>545</v>
      </c>
      <c r="C397" t="s">
        <v>627</v>
      </c>
      <c r="D397">
        <v>27</v>
      </c>
      <c r="E397" t="s">
        <v>628</v>
      </c>
      <c r="F397">
        <v>865</v>
      </c>
      <c r="G397">
        <v>17845</v>
      </c>
      <c r="H397">
        <v>15435925</v>
      </c>
      <c r="I397" t="s">
        <v>634</v>
      </c>
      <c r="J397" t="s">
        <v>670</v>
      </c>
      <c r="K397" t="s">
        <v>638</v>
      </c>
      <c r="L397" t="s">
        <v>680</v>
      </c>
      <c r="M397" t="s">
        <v>684</v>
      </c>
      <c r="N397" t="s">
        <v>691</v>
      </c>
      <c r="O397" t="s">
        <v>694</v>
      </c>
      <c r="P397">
        <v>3485865</v>
      </c>
      <c r="Q397">
        <v>6</v>
      </c>
      <c r="R397">
        <v>7.7</v>
      </c>
      <c r="S397" t="s">
        <v>866</v>
      </c>
      <c r="T397" t="s">
        <v>987</v>
      </c>
      <c r="U397">
        <v>2024</v>
      </c>
      <c r="V397" t="s">
        <v>995</v>
      </c>
      <c r="W397" t="s">
        <v>999</v>
      </c>
      <c r="X397" t="s">
        <v>1002</v>
      </c>
      <c r="Y397">
        <v>5</v>
      </c>
      <c r="Z397">
        <v>16</v>
      </c>
    </row>
    <row r="398" spans="1:26" x14ac:dyDescent="0.3">
      <c r="A398" t="s">
        <v>422</v>
      </c>
      <c r="B398" t="s">
        <v>552</v>
      </c>
      <c r="C398" t="s">
        <v>626</v>
      </c>
      <c r="D398">
        <v>22</v>
      </c>
      <c r="E398" t="s">
        <v>630</v>
      </c>
      <c r="F398">
        <v>601</v>
      </c>
      <c r="G398">
        <v>5337</v>
      </c>
      <c r="H398">
        <v>3207537</v>
      </c>
      <c r="I398" t="s">
        <v>651</v>
      </c>
      <c r="J398" t="s">
        <v>669</v>
      </c>
      <c r="K398" t="s">
        <v>674</v>
      </c>
      <c r="L398" t="s">
        <v>681</v>
      </c>
      <c r="M398" t="s">
        <v>684</v>
      </c>
      <c r="N398" t="s">
        <v>692</v>
      </c>
      <c r="O398" t="s">
        <v>694</v>
      </c>
      <c r="P398">
        <v>740297</v>
      </c>
      <c r="Q398">
        <v>3</v>
      </c>
      <c r="R398">
        <v>8.48</v>
      </c>
      <c r="S398" t="s">
        <v>752</v>
      </c>
      <c r="T398" t="s">
        <v>989</v>
      </c>
      <c r="U398">
        <v>2024</v>
      </c>
      <c r="V398" t="s">
        <v>995</v>
      </c>
      <c r="W398" t="s">
        <v>999</v>
      </c>
      <c r="X398" t="s">
        <v>1001</v>
      </c>
      <c r="Y398">
        <v>1</v>
      </c>
      <c r="Z398">
        <v>34</v>
      </c>
    </row>
    <row r="399" spans="1:26" x14ac:dyDescent="0.3">
      <c r="A399" t="s">
        <v>423</v>
      </c>
      <c r="B399" t="s">
        <v>552</v>
      </c>
      <c r="C399" t="s">
        <v>627</v>
      </c>
      <c r="D399">
        <v>51</v>
      </c>
      <c r="E399" t="s">
        <v>629</v>
      </c>
      <c r="F399">
        <v>523</v>
      </c>
      <c r="G399">
        <v>38258</v>
      </c>
      <c r="H399">
        <v>20008934</v>
      </c>
      <c r="I399" t="s">
        <v>661</v>
      </c>
      <c r="J399" t="s">
        <v>673</v>
      </c>
      <c r="K399" t="s">
        <v>674</v>
      </c>
      <c r="L399" t="s">
        <v>682</v>
      </c>
      <c r="M399" t="s">
        <v>687</v>
      </c>
      <c r="N399" t="s">
        <v>691</v>
      </c>
      <c r="O399" t="s">
        <v>693</v>
      </c>
      <c r="P399">
        <v>20008934</v>
      </c>
      <c r="Q399">
        <v>0</v>
      </c>
      <c r="R399">
        <v>2.68</v>
      </c>
      <c r="S399" t="s">
        <v>855</v>
      </c>
      <c r="T399" t="s">
        <v>983</v>
      </c>
      <c r="U399">
        <v>2024</v>
      </c>
      <c r="V399" t="s">
        <v>995</v>
      </c>
      <c r="W399" t="s">
        <v>999</v>
      </c>
      <c r="X399" t="s">
        <v>1000</v>
      </c>
      <c r="Y399">
        <v>3</v>
      </c>
      <c r="Z399">
        <v>47</v>
      </c>
    </row>
    <row r="400" spans="1:26" x14ac:dyDescent="0.3">
      <c r="A400" t="s">
        <v>424</v>
      </c>
      <c r="B400" t="s">
        <v>598</v>
      </c>
      <c r="C400" t="s">
        <v>626</v>
      </c>
      <c r="D400">
        <v>28</v>
      </c>
      <c r="E400" t="s">
        <v>630</v>
      </c>
      <c r="F400">
        <v>648</v>
      </c>
      <c r="G400">
        <v>17211</v>
      </c>
      <c r="H400">
        <v>11152728</v>
      </c>
      <c r="I400" t="s">
        <v>632</v>
      </c>
      <c r="J400" t="s">
        <v>669</v>
      </c>
      <c r="K400" t="s">
        <v>651</v>
      </c>
      <c r="L400" t="s">
        <v>682</v>
      </c>
      <c r="M400" t="s">
        <v>684</v>
      </c>
      <c r="N400" t="s">
        <v>691</v>
      </c>
      <c r="O400" t="s">
        <v>693</v>
      </c>
      <c r="P400">
        <v>11152728</v>
      </c>
      <c r="Q400">
        <v>0</v>
      </c>
      <c r="R400">
        <v>5.88</v>
      </c>
      <c r="S400" t="s">
        <v>762</v>
      </c>
      <c r="T400" t="s">
        <v>984</v>
      </c>
      <c r="U400">
        <v>2024</v>
      </c>
      <c r="V400" t="s">
        <v>994</v>
      </c>
      <c r="W400" t="s">
        <v>998</v>
      </c>
      <c r="X400" t="s">
        <v>1000</v>
      </c>
      <c r="Y400">
        <v>5</v>
      </c>
      <c r="Z400">
        <v>14</v>
      </c>
    </row>
    <row r="401" spans="1:26" x14ac:dyDescent="0.3">
      <c r="A401" t="s">
        <v>425</v>
      </c>
      <c r="B401" t="s">
        <v>536</v>
      </c>
      <c r="C401" t="s">
        <v>627</v>
      </c>
      <c r="D401">
        <v>46</v>
      </c>
      <c r="E401" t="s">
        <v>630</v>
      </c>
      <c r="F401">
        <v>883</v>
      </c>
      <c r="G401">
        <v>33646</v>
      </c>
      <c r="H401">
        <v>29709418</v>
      </c>
      <c r="I401" t="s">
        <v>636</v>
      </c>
      <c r="J401" t="s">
        <v>671</v>
      </c>
      <c r="K401" t="s">
        <v>676</v>
      </c>
      <c r="L401" t="s">
        <v>681</v>
      </c>
      <c r="M401" t="s">
        <v>683</v>
      </c>
      <c r="N401" t="s">
        <v>688</v>
      </c>
      <c r="O401" t="s">
        <v>693</v>
      </c>
      <c r="P401">
        <v>29709418</v>
      </c>
      <c r="Q401">
        <v>0</v>
      </c>
      <c r="R401">
        <v>1.73</v>
      </c>
      <c r="S401" t="s">
        <v>954</v>
      </c>
      <c r="T401" t="s">
        <v>987</v>
      </c>
      <c r="U401">
        <v>2024</v>
      </c>
      <c r="V401" t="s">
        <v>993</v>
      </c>
      <c r="W401" t="s">
        <v>999</v>
      </c>
      <c r="X401" t="s">
        <v>1002</v>
      </c>
      <c r="Y401">
        <v>3</v>
      </c>
      <c r="Z401">
        <v>23</v>
      </c>
    </row>
    <row r="402" spans="1:26" x14ac:dyDescent="0.3">
      <c r="A402" t="s">
        <v>426</v>
      </c>
      <c r="B402" t="s">
        <v>550</v>
      </c>
      <c r="C402" t="s">
        <v>627</v>
      </c>
      <c r="D402">
        <v>55</v>
      </c>
      <c r="E402" t="s">
        <v>628</v>
      </c>
      <c r="F402">
        <v>715</v>
      </c>
      <c r="G402">
        <v>4095</v>
      </c>
      <c r="H402">
        <v>2927925</v>
      </c>
      <c r="I402" t="s">
        <v>653</v>
      </c>
      <c r="J402" t="s">
        <v>668</v>
      </c>
      <c r="K402" t="s">
        <v>638</v>
      </c>
      <c r="L402" t="s">
        <v>681</v>
      </c>
      <c r="M402" t="s">
        <v>687</v>
      </c>
      <c r="N402" t="s">
        <v>690</v>
      </c>
      <c r="O402" t="s">
        <v>693</v>
      </c>
      <c r="P402">
        <v>2927925</v>
      </c>
      <c r="Q402">
        <v>0</v>
      </c>
      <c r="R402">
        <v>3.38</v>
      </c>
      <c r="S402" t="s">
        <v>758</v>
      </c>
      <c r="T402" t="s">
        <v>981</v>
      </c>
      <c r="U402">
        <v>2024</v>
      </c>
      <c r="V402" t="s">
        <v>994</v>
      </c>
      <c r="W402" t="s">
        <v>999</v>
      </c>
      <c r="X402" t="s">
        <v>1001</v>
      </c>
      <c r="Y402">
        <v>3</v>
      </c>
      <c r="Z402">
        <v>10</v>
      </c>
    </row>
    <row r="403" spans="1:26" x14ac:dyDescent="0.3">
      <c r="A403" t="s">
        <v>427</v>
      </c>
      <c r="B403" t="s">
        <v>531</v>
      </c>
      <c r="C403" t="s">
        <v>627</v>
      </c>
      <c r="D403">
        <v>59</v>
      </c>
      <c r="E403" t="s">
        <v>629</v>
      </c>
      <c r="F403">
        <v>885</v>
      </c>
      <c r="G403">
        <v>8825</v>
      </c>
      <c r="H403">
        <v>7810125</v>
      </c>
      <c r="I403" t="s">
        <v>644</v>
      </c>
      <c r="J403" t="s">
        <v>668</v>
      </c>
      <c r="K403" t="s">
        <v>674</v>
      </c>
      <c r="L403" t="s">
        <v>680</v>
      </c>
      <c r="M403" t="s">
        <v>686</v>
      </c>
      <c r="N403" t="s">
        <v>689</v>
      </c>
      <c r="O403" t="s">
        <v>693</v>
      </c>
      <c r="P403">
        <v>7810125</v>
      </c>
      <c r="Q403">
        <v>0</v>
      </c>
      <c r="R403">
        <v>9.27</v>
      </c>
      <c r="S403" t="s">
        <v>955</v>
      </c>
      <c r="T403" t="s">
        <v>989</v>
      </c>
      <c r="U403">
        <v>2024</v>
      </c>
      <c r="V403" t="s">
        <v>993</v>
      </c>
      <c r="W403" t="s">
        <v>999</v>
      </c>
      <c r="X403" t="s">
        <v>1001</v>
      </c>
      <c r="Y403">
        <v>1</v>
      </c>
      <c r="Z403">
        <v>14</v>
      </c>
    </row>
    <row r="404" spans="1:26" x14ac:dyDescent="0.3">
      <c r="A404" t="s">
        <v>428</v>
      </c>
      <c r="B404" t="s">
        <v>565</v>
      </c>
      <c r="C404" t="s">
        <v>626</v>
      </c>
      <c r="D404">
        <v>46</v>
      </c>
      <c r="E404" t="s">
        <v>628</v>
      </c>
      <c r="F404">
        <v>925</v>
      </c>
      <c r="G404">
        <v>30935</v>
      </c>
      <c r="H404">
        <v>28614875</v>
      </c>
      <c r="I404" t="s">
        <v>648</v>
      </c>
      <c r="J404" t="s">
        <v>671</v>
      </c>
      <c r="K404" t="s">
        <v>677</v>
      </c>
      <c r="L404" t="s">
        <v>680</v>
      </c>
      <c r="M404" t="s">
        <v>684</v>
      </c>
      <c r="N404" t="s">
        <v>690</v>
      </c>
      <c r="O404" t="s">
        <v>694</v>
      </c>
      <c r="P404">
        <v>7047521</v>
      </c>
      <c r="Q404">
        <v>3</v>
      </c>
      <c r="R404">
        <v>3.64</v>
      </c>
      <c r="S404" t="s">
        <v>956</v>
      </c>
      <c r="T404" t="s">
        <v>987</v>
      </c>
      <c r="U404">
        <v>2024</v>
      </c>
      <c r="V404" t="s">
        <v>994</v>
      </c>
      <c r="W404" t="s">
        <v>997</v>
      </c>
      <c r="X404" t="s">
        <v>1000</v>
      </c>
      <c r="Y404">
        <v>1</v>
      </c>
      <c r="Z404">
        <v>18</v>
      </c>
    </row>
    <row r="405" spans="1:26" x14ac:dyDescent="0.3">
      <c r="A405" t="s">
        <v>429</v>
      </c>
      <c r="B405" t="s">
        <v>599</v>
      </c>
      <c r="C405" t="s">
        <v>627</v>
      </c>
      <c r="D405">
        <v>47</v>
      </c>
      <c r="E405" t="s">
        <v>630</v>
      </c>
      <c r="F405">
        <v>569</v>
      </c>
      <c r="G405">
        <v>43251</v>
      </c>
      <c r="H405">
        <v>24609819</v>
      </c>
      <c r="I405" t="s">
        <v>636</v>
      </c>
      <c r="J405" t="s">
        <v>671</v>
      </c>
      <c r="K405" t="s">
        <v>640</v>
      </c>
      <c r="L405" t="s">
        <v>681</v>
      </c>
      <c r="M405" t="s">
        <v>684</v>
      </c>
      <c r="N405" t="s">
        <v>692</v>
      </c>
      <c r="O405" t="s">
        <v>693</v>
      </c>
      <c r="P405">
        <v>24609819</v>
      </c>
      <c r="Q405">
        <v>0</v>
      </c>
      <c r="R405">
        <v>1.52</v>
      </c>
      <c r="S405" t="s">
        <v>868</v>
      </c>
      <c r="T405" t="s">
        <v>986</v>
      </c>
      <c r="U405">
        <v>2024</v>
      </c>
      <c r="V405" t="s">
        <v>994</v>
      </c>
      <c r="W405" t="s">
        <v>999</v>
      </c>
      <c r="X405" t="s">
        <v>1002</v>
      </c>
      <c r="Y405">
        <v>2</v>
      </c>
      <c r="Z405">
        <v>50</v>
      </c>
    </row>
    <row r="406" spans="1:26" x14ac:dyDescent="0.3">
      <c r="A406" t="s">
        <v>430</v>
      </c>
      <c r="B406" t="s">
        <v>576</v>
      </c>
      <c r="C406" t="s">
        <v>627</v>
      </c>
      <c r="D406">
        <v>62</v>
      </c>
      <c r="E406" t="s">
        <v>629</v>
      </c>
      <c r="F406">
        <v>271</v>
      </c>
      <c r="G406">
        <v>7556</v>
      </c>
      <c r="H406">
        <v>2047676</v>
      </c>
      <c r="I406" t="s">
        <v>662</v>
      </c>
      <c r="J406" t="s">
        <v>673</v>
      </c>
      <c r="K406" t="s">
        <v>675</v>
      </c>
      <c r="L406" t="s">
        <v>680</v>
      </c>
      <c r="M406" t="s">
        <v>686</v>
      </c>
      <c r="N406" t="s">
        <v>689</v>
      </c>
      <c r="O406" t="s">
        <v>694</v>
      </c>
      <c r="P406">
        <v>656270</v>
      </c>
      <c r="Q406">
        <v>12</v>
      </c>
      <c r="R406">
        <v>7.72</v>
      </c>
      <c r="S406" t="s">
        <v>817</v>
      </c>
      <c r="T406" t="s">
        <v>989</v>
      </c>
      <c r="U406">
        <v>2024</v>
      </c>
      <c r="V406" t="s">
        <v>994</v>
      </c>
      <c r="W406" t="s">
        <v>998</v>
      </c>
      <c r="X406" t="s">
        <v>1002</v>
      </c>
      <c r="Y406">
        <v>5</v>
      </c>
      <c r="Z406">
        <v>20</v>
      </c>
    </row>
    <row r="407" spans="1:26" x14ac:dyDescent="0.3">
      <c r="A407" t="s">
        <v>431</v>
      </c>
      <c r="B407" t="s">
        <v>568</v>
      </c>
      <c r="C407" t="s">
        <v>626</v>
      </c>
      <c r="D407">
        <v>64</v>
      </c>
      <c r="E407" t="s">
        <v>630</v>
      </c>
      <c r="F407">
        <v>552</v>
      </c>
      <c r="G407">
        <v>2517</v>
      </c>
      <c r="H407">
        <v>1389384</v>
      </c>
      <c r="I407" t="s">
        <v>659</v>
      </c>
      <c r="J407" t="s">
        <v>668</v>
      </c>
      <c r="K407" t="s">
        <v>651</v>
      </c>
      <c r="L407" t="s">
        <v>682</v>
      </c>
      <c r="M407" t="s">
        <v>684</v>
      </c>
      <c r="N407" t="s">
        <v>688</v>
      </c>
      <c r="O407" t="s">
        <v>694</v>
      </c>
      <c r="P407">
        <v>569770</v>
      </c>
      <c r="Q407">
        <v>6</v>
      </c>
      <c r="R407">
        <v>4.46</v>
      </c>
      <c r="S407" t="s">
        <v>942</v>
      </c>
      <c r="T407" t="s">
        <v>990</v>
      </c>
      <c r="U407">
        <v>2024</v>
      </c>
      <c r="V407" t="s">
        <v>994</v>
      </c>
      <c r="W407" t="s">
        <v>999</v>
      </c>
      <c r="X407" t="s">
        <v>1000</v>
      </c>
      <c r="Y407">
        <v>5</v>
      </c>
      <c r="Z407">
        <v>22</v>
      </c>
    </row>
    <row r="408" spans="1:26" x14ac:dyDescent="0.3">
      <c r="A408" t="s">
        <v>432</v>
      </c>
      <c r="B408" t="s">
        <v>581</v>
      </c>
      <c r="C408" t="s">
        <v>627</v>
      </c>
      <c r="D408">
        <v>21</v>
      </c>
      <c r="E408" t="s">
        <v>629</v>
      </c>
      <c r="F408">
        <v>732</v>
      </c>
      <c r="G408">
        <v>37441</v>
      </c>
      <c r="H408">
        <v>27406812</v>
      </c>
      <c r="I408" t="s">
        <v>634</v>
      </c>
      <c r="J408" t="s">
        <v>670</v>
      </c>
      <c r="K408" t="s">
        <v>638</v>
      </c>
      <c r="L408" t="s">
        <v>682</v>
      </c>
      <c r="M408" t="s">
        <v>687</v>
      </c>
      <c r="N408" t="s">
        <v>688</v>
      </c>
      <c r="O408" t="s">
        <v>694</v>
      </c>
      <c r="P408">
        <v>6244529</v>
      </c>
      <c r="Q408">
        <v>6</v>
      </c>
      <c r="R408">
        <v>5.52</v>
      </c>
      <c r="S408" t="s">
        <v>820</v>
      </c>
      <c r="T408" t="s">
        <v>986</v>
      </c>
      <c r="U408">
        <v>2024</v>
      </c>
      <c r="V408" t="s">
        <v>994</v>
      </c>
      <c r="W408" t="s">
        <v>997</v>
      </c>
      <c r="X408" t="s">
        <v>1002</v>
      </c>
      <c r="Y408">
        <v>5</v>
      </c>
      <c r="Z408">
        <v>8</v>
      </c>
    </row>
    <row r="409" spans="1:26" x14ac:dyDescent="0.3">
      <c r="A409" t="s">
        <v>433</v>
      </c>
      <c r="B409" t="s">
        <v>558</v>
      </c>
      <c r="C409" t="s">
        <v>627</v>
      </c>
      <c r="D409">
        <v>49</v>
      </c>
      <c r="E409" t="s">
        <v>630</v>
      </c>
      <c r="F409">
        <v>465</v>
      </c>
      <c r="G409">
        <v>43090</v>
      </c>
      <c r="H409">
        <v>20036850</v>
      </c>
      <c r="I409" t="s">
        <v>631</v>
      </c>
      <c r="J409" t="s">
        <v>668</v>
      </c>
      <c r="K409" t="s">
        <v>651</v>
      </c>
      <c r="L409" t="s">
        <v>680</v>
      </c>
      <c r="M409" t="s">
        <v>686</v>
      </c>
      <c r="N409" t="s">
        <v>692</v>
      </c>
      <c r="O409" t="s">
        <v>694</v>
      </c>
      <c r="P409">
        <v>4294295</v>
      </c>
      <c r="Q409">
        <v>3</v>
      </c>
      <c r="R409">
        <v>6.51</v>
      </c>
      <c r="S409" t="s">
        <v>907</v>
      </c>
      <c r="T409" t="s">
        <v>987</v>
      </c>
      <c r="U409">
        <v>2024</v>
      </c>
      <c r="V409" t="s">
        <v>996</v>
      </c>
      <c r="W409" t="s">
        <v>998</v>
      </c>
      <c r="X409" t="s">
        <v>1002</v>
      </c>
      <c r="Y409">
        <v>3</v>
      </c>
      <c r="Z409">
        <v>43</v>
      </c>
    </row>
    <row r="410" spans="1:26" x14ac:dyDescent="0.3">
      <c r="A410" t="s">
        <v>434</v>
      </c>
      <c r="B410" t="s">
        <v>550</v>
      </c>
      <c r="C410" t="s">
        <v>626</v>
      </c>
      <c r="D410">
        <v>49</v>
      </c>
      <c r="E410" t="s">
        <v>628</v>
      </c>
      <c r="F410">
        <v>931</v>
      </c>
      <c r="G410">
        <v>26750</v>
      </c>
      <c r="H410">
        <v>24904250</v>
      </c>
      <c r="I410" t="s">
        <v>644</v>
      </c>
      <c r="J410" t="s">
        <v>668</v>
      </c>
      <c r="K410" t="s">
        <v>638</v>
      </c>
      <c r="L410" t="s">
        <v>680</v>
      </c>
      <c r="M410" t="s">
        <v>684</v>
      </c>
      <c r="N410" t="s">
        <v>691</v>
      </c>
      <c r="O410" t="s">
        <v>693</v>
      </c>
      <c r="P410">
        <v>24904250</v>
      </c>
      <c r="Q410">
        <v>0</v>
      </c>
      <c r="R410">
        <v>1.05</v>
      </c>
      <c r="S410" t="s">
        <v>905</v>
      </c>
      <c r="T410" t="s">
        <v>986</v>
      </c>
      <c r="U410">
        <v>2024</v>
      </c>
      <c r="V410" t="s">
        <v>993</v>
      </c>
      <c r="W410" t="s">
        <v>999</v>
      </c>
      <c r="X410" t="s">
        <v>1000</v>
      </c>
      <c r="Y410">
        <v>4</v>
      </c>
      <c r="Z410">
        <v>9</v>
      </c>
    </row>
    <row r="411" spans="1:26" x14ac:dyDescent="0.3">
      <c r="A411" t="s">
        <v>435</v>
      </c>
      <c r="B411" t="s">
        <v>552</v>
      </c>
      <c r="C411" t="s">
        <v>626</v>
      </c>
      <c r="D411">
        <v>46</v>
      </c>
      <c r="E411" t="s">
        <v>628</v>
      </c>
      <c r="F411">
        <v>279</v>
      </c>
      <c r="G411">
        <v>26202</v>
      </c>
      <c r="H411">
        <v>7310358</v>
      </c>
      <c r="I411" t="s">
        <v>650</v>
      </c>
      <c r="J411" t="s">
        <v>670</v>
      </c>
      <c r="K411" t="s">
        <v>678</v>
      </c>
      <c r="L411" t="s">
        <v>680</v>
      </c>
      <c r="M411" t="s">
        <v>686</v>
      </c>
      <c r="N411" t="s">
        <v>688</v>
      </c>
      <c r="O411" t="s">
        <v>694</v>
      </c>
      <c r="P411">
        <v>3374494</v>
      </c>
      <c r="Q411">
        <v>24</v>
      </c>
      <c r="R411">
        <v>5.84</v>
      </c>
      <c r="S411" t="s">
        <v>743</v>
      </c>
      <c r="T411" t="s">
        <v>983</v>
      </c>
      <c r="U411">
        <v>2024</v>
      </c>
      <c r="V411" t="s">
        <v>995</v>
      </c>
      <c r="W411" t="s">
        <v>997</v>
      </c>
      <c r="X411" t="s">
        <v>1002</v>
      </c>
      <c r="Y411">
        <v>2</v>
      </c>
      <c r="Z411">
        <v>46</v>
      </c>
    </row>
    <row r="412" spans="1:26" x14ac:dyDescent="0.3">
      <c r="A412" t="s">
        <v>436</v>
      </c>
      <c r="B412" t="s">
        <v>567</v>
      </c>
      <c r="C412" t="s">
        <v>626</v>
      </c>
      <c r="D412">
        <v>27</v>
      </c>
      <c r="E412" t="s">
        <v>629</v>
      </c>
      <c r="F412">
        <v>320</v>
      </c>
      <c r="G412">
        <v>47512</v>
      </c>
      <c r="H412">
        <v>15203840</v>
      </c>
      <c r="I412" t="s">
        <v>652</v>
      </c>
      <c r="J412" t="s">
        <v>672</v>
      </c>
      <c r="K412" t="s">
        <v>675</v>
      </c>
      <c r="L412" t="s">
        <v>681</v>
      </c>
      <c r="M412" t="s">
        <v>685</v>
      </c>
      <c r="N412" t="s">
        <v>689</v>
      </c>
      <c r="O412" t="s">
        <v>693</v>
      </c>
      <c r="P412">
        <v>15203840</v>
      </c>
      <c r="Q412">
        <v>0</v>
      </c>
      <c r="R412">
        <v>4.55</v>
      </c>
      <c r="S412" t="s">
        <v>957</v>
      </c>
      <c r="T412" t="s">
        <v>988</v>
      </c>
      <c r="U412">
        <v>2024</v>
      </c>
      <c r="V412" t="s">
        <v>994</v>
      </c>
      <c r="W412" t="s">
        <v>997</v>
      </c>
      <c r="X412" t="s">
        <v>1002</v>
      </c>
      <c r="Y412">
        <v>1</v>
      </c>
      <c r="Z412">
        <v>34</v>
      </c>
    </row>
    <row r="413" spans="1:26" x14ac:dyDescent="0.3">
      <c r="A413" t="s">
        <v>437</v>
      </c>
      <c r="B413" t="s">
        <v>578</v>
      </c>
      <c r="C413" t="s">
        <v>627</v>
      </c>
      <c r="D413">
        <v>39</v>
      </c>
      <c r="E413" t="s">
        <v>630</v>
      </c>
      <c r="F413">
        <v>512</v>
      </c>
      <c r="G413">
        <v>26540</v>
      </c>
      <c r="H413">
        <v>13588480</v>
      </c>
      <c r="I413" t="s">
        <v>649</v>
      </c>
      <c r="J413" t="s">
        <v>669</v>
      </c>
      <c r="K413" t="s">
        <v>651</v>
      </c>
      <c r="L413" t="s">
        <v>680</v>
      </c>
      <c r="M413" t="s">
        <v>683</v>
      </c>
      <c r="N413" t="s">
        <v>691</v>
      </c>
      <c r="O413" t="s">
        <v>694</v>
      </c>
      <c r="P413">
        <v>4698593</v>
      </c>
      <c r="Q413">
        <v>12</v>
      </c>
      <c r="R413">
        <v>7.91</v>
      </c>
      <c r="S413" t="s">
        <v>958</v>
      </c>
      <c r="T413" t="s">
        <v>987</v>
      </c>
      <c r="U413">
        <v>2024</v>
      </c>
      <c r="V413" t="s">
        <v>993</v>
      </c>
      <c r="W413" t="s">
        <v>999</v>
      </c>
      <c r="X413" t="s">
        <v>1001</v>
      </c>
      <c r="Y413">
        <v>3</v>
      </c>
      <c r="Z413">
        <v>5</v>
      </c>
    </row>
    <row r="414" spans="1:26" x14ac:dyDescent="0.3">
      <c r="A414" t="s">
        <v>438</v>
      </c>
      <c r="B414" t="s">
        <v>534</v>
      </c>
      <c r="C414" t="s">
        <v>626</v>
      </c>
      <c r="D414">
        <v>48</v>
      </c>
      <c r="E414" t="s">
        <v>629</v>
      </c>
      <c r="F414">
        <v>786</v>
      </c>
      <c r="G414">
        <v>22296</v>
      </c>
      <c r="H414">
        <v>17524656</v>
      </c>
      <c r="I414" t="s">
        <v>661</v>
      </c>
      <c r="J414" t="s">
        <v>673</v>
      </c>
      <c r="K414" t="s">
        <v>678</v>
      </c>
      <c r="L414" t="s">
        <v>681</v>
      </c>
      <c r="M414" t="s">
        <v>683</v>
      </c>
      <c r="N414" t="s">
        <v>690</v>
      </c>
      <c r="O414" t="s">
        <v>694</v>
      </c>
      <c r="P414">
        <v>7612795</v>
      </c>
      <c r="Q414">
        <v>12</v>
      </c>
      <c r="R414">
        <v>4.75</v>
      </c>
      <c r="S414" t="s">
        <v>948</v>
      </c>
      <c r="T414" t="s">
        <v>983</v>
      </c>
      <c r="U414">
        <v>2024</v>
      </c>
      <c r="V414" t="s">
        <v>993</v>
      </c>
      <c r="W414" t="s">
        <v>997</v>
      </c>
      <c r="X414" t="s">
        <v>1001</v>
      </c>
      <c r="Y414">
        <v>5</v>
      </c>
      <c r="Z414">
        <v>27</v>
      </c>
    </row>
    <row r="415" spans="1:26" x14ac:dyDescent="0.3">
      <c r="A415" t="s">
        <v>439</v>
      </c>
      <c r="B415" t="s">
        <v>602</v>
      </c>
      <c r="C415" t="s">
        <v>627</v>
      </c>
      <c r="D415">
        <v>65</v>
      </c>
      <c r="E415" t="s">
        <v>628</v>
      </c>
      <c r="F415">
        <v>547</v>
      </c>
      <c r="G415">
        <v>37454</v>
      </c>
      <c r="H415">
        <v>20487338</v>
      </c>
      <c r="I415" t="s">
        <v>650</v>
      </c>
      <c r="J415" t="s">
        <v>670</v>
      </c>
      <c r="K415" t="s">
        <v>640</v>
      </c>
      <c r="L415" t="s">
        <v>682</v>
      </c>
      <c r="M415" t="s">
        <v>687</v>
      </c>
      <c r="N415" t="s">
        <v>692</v>
      </c>
      <c r="O415" t="s">
        <v>693</v>
      </c>
      <c r="P415">
        <v>20487338</v>
      </c>
      <c r="Q415">
        <v>0</v>
      </c>
      <c r="R415">
        <v>9.58</v>
      </c>
      <c r="S415" t="s">
        <v>837</v>
      </c>
      <c r="T415" t="s">
        <v>989</v>
      </c>
      <c r="U415">
        <v>2024</v>
      </c>
      <c r="V415" t="s">
        <v>993</v>
      </c>
      <c r="W415" t="s">
        <v>997</v>
      </c>
      <c r="X415" t="s">
        <v>1001</v>
      </c>
      <c r="Y415">
        <v>1</v>
      </c>
      <c r="Z415">
        <v>13</v>
      </c>
    </row>
    <row r="416" spans="1:26" x14ac:dyDescent="0.3">
      <c r="A416" t="s">
        <v>440</v>
      </c>
      <c r="B416" t="s">
        <v>620</v>
      </c>
      <c r="C416" t="s">
        <v>627</v>
      </c>
      <c r="D416">
        <v>21</v>
      </c>
      <c r="E416" t="s">
        <v>630</v>
      </c>
      <c r="F416">
        <v>975</v>
      </c>
      <c r="G416">
        <v>5465</v>
      </c>
      <c r="H416">
        <v>5328375</v>
      </c>
      <c r="I416" t="s">
        <v>665</v>
      </c>
      <c r="J416" t="s">
        <v>672</v>
      </c>
      <c r="K416" t="s">
        <v>674</v>
      </c>
      <c r="L416" t="s">
        <v>680</v>
      </c>
      <c r="M416" t="s">
        <v>683</v>
      </c>
      <c r="N416" t="s">
        <v>692</v>
      </c>
      <c r="O416" t="s">
        <v>693</v>
      </c>
      <c r="P416">
        <v>5328375</v>
      </c>
      <c r="Q416">
        <v>0</v>
      </c>
      <c r="R416">
        <v>7.51</v>
      </c>
      <c r="S416" t="s">
        <v>872</v>
      </c>
      <c r="T416" t="s">
        <v>986</v>
      </c>
      <c r="U416">
        <v>2024</v>
      </c>
      <c r="V416" t="s">
        <v>995</v>
      </c>
      <c r="W416" t="s">
        <v>999</v>
      </c>
      <c r="X416" t="s">
        <v>1001</v>
      </c>
      <c r="Y416">
        <v>5</v>
      </c>
      <c r="Z416">
        <v>21</v>
      </c>
    </row>
    <row r="417" spans="1:26" x14ac:dyDescent="0.3">
      <c r="A417" t="s">
        <v>441</v>
      </c>
      <c r="B417" t="s">
        <v>618</v>
      </c>
      <c r="C417" t="s">
        <v>626</v>
      </c>
      <c r="D417">
        <v>25</v>
      </c>
      <c r="E417" t="s">
        <v>628</v>
      </c>
      <c r="F417">
        <v>703</v>
      </c>
      <c r="G417">
        <v>3524</v>
      </c>
      <c r="H417">
        <v>2477372</v>
      </c>
      <c r="I417" t="s">
        <v>647</v>
      </c>
      <c r="J417" t="s">
        <v>670</v>
      </c>
      <c r="K417" t="s">
        <v>664</v>
      </c>
      <c r="L417" t="s">
        <v>680</v>
      </c>
      <c r="M417" t="s">
        <v>686</v>
      </c>
      <c r="N417" t="s">
        <v>688</v>
      </c>
      <c r="O417" t="s">
        <v>694</v>
      </c>
      <c r="P417">
        <v>629630</v>
      </c>
      <c r="Q417">
        <v>24</v>
      </c>
      <c r="R417">
        <v>0.24</v>
      </c>
      <c r="S417" t="s">
        <v>790</v>
      </c>
      <c r="T417" t="s">
        <v>986</v>
      </c>
      <c r="U417">
        <v>2024</v>
      </c>
      <c r="V417" t="s">
        <v>994</v>
      </c>
      <c r="W417" t="s">
        <v>999</v>
      </c>
      <c r="X417" t="s">
        <v>1000</v>
      </c>
      <c r="Y417">
        <v>3</v>
      </c>
      <c r="Z417">
        <v>50</v>
      </c>
    </row>
    <row r="418" spans="1:26" x14ac:dyDescent="0.3">
      <c r="A418" t="s">
        <v>442</v>
      </c>
      <c r="B418" t="s">
        <v>624</v>
      </c>
      <c r="C418" t="s">
        <v>627</v>
      </c>
      <c r="D418">
        <v>39</v>
      </c>
      <c r="E418" t="s">
        <v>630</v>
      </c>
      <c r="F418">
        <v>617</v>
      </c>
      <c r="G418">
        <v>46473</v>
      </c>
      <c r="H418">
        <v>28673841</v>
      </c>
      <c r="I418" t="s">
        <v>641</v>
      </c>
      <c r="J418" t="s">
        <v>673</v>
      </c>
      <c r="K418" t="s">
        <v>677</v>
      </c>
      <c r="L418" t="s">
        <v>680</v>
      </c>
      <c r="M418" t="s">
        <v>687</v>
      </c>
      <c r="N418" t="s">
        <v>688</v>
      </c>
      <c r="O418" t="s">
        <v>693</v>
      </c>
      <c r="P418">
        <v>28673841</v>
      </c>
      <c r="Q418">
        <v>0</v>
      </c>
      <c r="R418">
        <v>0.59</v>
      </c>
      <c r="S418" t="s">
        <v>755</v>
      </c>
      <c r="T418" t="s">
        <v>982</v>
      </c>
      <c r="U418">
        <v>2024</v>
      </c>
      <c r="V418" t="s">
        <v>995</v>
      </c>
      <c r="W418" t="s">
        <v>998</v>
      </c>
      <c r="X418" t="s">
        <v>1002</v>
      </c>
      <c r="Y418">
        <v>4</v>
      </c>
      <c r="Z418">
        <v>8</v>
      </c>
    </row>
    <row r="419" spans="1:26" x14ac:dyDescent="0.3">
      <c r="A419" t="s">
        <v>443</v>
      </c>
      <c r="B419" t="s">
        <v>611</v>
      </c>
      <c r="C419" t="s">
        <v>626</v>
      </c>
      <c r="D419">
        <v>23</v>
      </c>
      <c r="E419" t="s">
        <v>630</v>
      </c>
      <c r="F419">
        <v>970</v>
      </c>
      <c r="G419">
        <v>41125</v>
      </c>
      <c r="H419">
        <v>39891250</v>
      </c>
      <c r="I419" t="s">
        <v>641</v>
      </c>
      <c r="J419" t="s">
        <v>673</v>
      </c>
      <c r="K419" t="s">
        <v>679</v>
      </c>
      <c r="L419" t="s">
        <v>681</v>
      </c>
      <c r="M419" t="s">
        <v>686</v>
      </c>
      <c r="N419" t="s">
        <v>691</v>
      </c>
      <c r="O419" t="s">
        <v>693</v>
      </c>
      <c r="P419">
        <v>39891250</v>
      </c>
      <c r="Q419">
        <v>0</v>
      </c>
      <c r="R419">
        <v>4.93</v>
      </c>
      <c r="S419" t="s">
        <v>857</v>
      </c>
      <c r="T419" t="s">
        <v>986</v>
      </c>
      <c r="U419">
        <v>2024</v>
      </c>
      <c r="V419" t="s">
        <v>993</v>
      </c>
      <c r="W419" t="s">
        <v>998</v>
      </c>
      <c r="X419" t="s">
        <v>1000</v>
      </c>
      <c r="Y419">
        <v>4</v>
      </c>
      <c r="Z419">
        <v>41</v>
      </c>
    </row>
    <row r="420" spans="1:26" x14ac:dyDescent="0.3">
      <c r="A420" t="s">
        <v>444</v>
      </c>
      <c r="B420" t="s">
        <v>560</v>
      </c>
      <c r="C420" t="s">
        <v>626</v>
      </c>
      <c r="D420">
        <v>48</v>
      </c>
      <c r="E420" t="s">
        <v>628</v>
      </c>
      <c r="F420">
        <v>767</v>
      </c>
      <c r="G420">
        <v>40415</v>
      </c>
      <c r="H420">
        <v>30998305</v>
      </c>
      <c r="I420" t="s">
        <v>649</v>
      </c>
      <c r="J420" t="s">
        <v>669</v>
      </c>
      <c r="K420" t="s">
        <v>677</v>
      </c>
      <c r="L420" t="s">
        <v>682</v>
      </c>
      <c r="M420" t="s">
        <v>686</v>
      </c>
      <c r="N420" t="s">
        <v>688</v>
      </c>
      <c r="O420" t="s">
        <v>693</v>
      </c>
      <c r="P420">
        <v>30998305</v>
      </c>
      <c r="Q420">
        <v>0</v>
      </c>
      <c r="R420">
        <v>2.46</v>
      </c>
      <c r="S420" t="s">
        <v>959</v>
      </c>
      <c r="T420" t="s">
        <v>985</v>
      </c>
      <c r="U420">
        <v>2024</v>
      </c>
      <c r="V420" t="s">
        <v>996</v>
      </c>
      <c r="W420" t="s">
        <v>998</v>
      </c>
      <c r="X420" t="s">
        <v>1001</v>
      </c>
      <c r="Y420">
        <v>2</v>
      </c>
      <c r="Z420">
        <v>16</v>
      </c>
    </row>
    <row r="421" spans="1:26" x14ac:dyDescent="0.3">
      <c r="A421" t="s">
        <v>445</v>
      </c>
      <c r="B421" t="s">
        <v>527</v>
      </c>
      <c r="C421" t="s">
        <v>627</v>
      </c>
      <c r="D421">
        <v>23</v>
      </c>
      <c r="E421" t="s">
        <v>630</v>
      </c>
      <c r="F421">
        <v>662</v>
      </c>
      <c r="G421">
        <v>4738</v>
      </c>
      <c r="H421">
        <v>3136556</v>
      </c>
      <c r="I421" t="s">
        <v>660</v>
      </c>
      <c r="J421" t="s">
        <v>672</v>
      </c>
      <c r="K421" t="s">
        <v>675</v>
      </c>
      <c r="L421" t="s">
        <v>681</v>
      </c>
      <c r="M421" t="s">
        <v>686</v>
      </c>
      <c r="N421" t="s">
        <v>690</v>
      </c>
      <c r="O421" t="s">
        <v>693</v>
      </c>
      <c r="P421">
        <v>3136556</v>
      </c>
      <c r="Q421">
        <v>0</v>
      </c>
      <c r="R421">
        <v>8.1300000000000008</v>
      </c>
      <c r="S421" t="s">
        <v>916</v>
      </c>
      <c r="T421" t="s">
        <v>983</v>
      </c>
      <c r="U421">
        <v>2024</v>
      </c>
      <c r="V421" t="s">
        <v>995</v>
      </c>
      <c r="W421" t="s">
        <v>998</v>
      </c>
      <c r="X421" t="s">
        <v>1001</v>
      </c>
      <c r="Y421">
        <v>2</v>
      </c>
      <c r="Z421">
        <v>38</v>
      </c>
    </row>
    <row r="422" spans="1:26" x14ac:dyDescent="0.3">
      <c r="A422" t="s">
        <v>446</v>
      </c>
      <c r="B422" t="s">
        <v>556</v>
      </c>
      <c r="C422" t="s">
        <v>626</v>
      </c>
      <c r="D422">
        <v>47</v>
      </c>
      <c r="E422" t="s">
        <v>628</v>
      </c>
      <c r="F422">
        <v>365</v>
      </c>
      <c r="G422">
        <v>37002</v>
      </c>
      <c r="H422">
        <v>13505730</v>
      </c>
      <c r="I422" t="s">
        <v>637</v>
      </c>
      <c r="J422" t="s">
        <v>672</v>
      </c>
      <c r="K422" t="s">
        <v>664</v>
      </c>
      <c r="L422" t="s">
        <v>682</v>
      </c>
      <c r="M422" t="s">
        <v>686</v>
      </c>
      <c r="N422" t="s">
        <v>690</v>
      </c>
      <c r="O422" t="s">
        <v>693</v>
      </c>
      <c r="P422">
        <v>13505730</v>
      </c>
      <c r="Q422">
        <v>0</v>
      </c>
      <c r="R422">
        <v>3.01</v>
      </c>
      <c r="S422" t="s">
        <v>960</v>
      </c>
      <c r="T422" t="s">
        <v>991</v>
      </c>
      <c r="U422">
        <v>2024</v>
      </c>
      <c r="V422" t="s">
        <v>994</v>
      </c>
      <c r="W422" t="s">
        <v>997</v>
      </c>
      <c r="X422" t="s">
        <v>1002</v>
      </c>
      <c r="Y422">
        <v>4</v>
      </c>
      <c r="Z422">
        <v>18</v>
      </c>
    </row>
    <row r="423" spans="1:26" x14ac:dyDescent="0.3">
      <c r="A423" t="s">
        <v>447</v>
      </c>
      <c r="B423" t="s">
        <v>536</v>
      </c>
      <c r="C423" t="s">
        <v>627</v>
      </c>
      <c r="D423">
        <v>20</v>
      </c>
      <c r="E423" t="s">
        <v>629</v>
      </c>
      <c r="F423">
        <v>415</v>
      </c>
      <c r="G423">
        <v>32133</v>
      </c>
      <c r="H423">
        <v>13335195</v>
      </c>
      <c r="I423" t="s">
        <v>651</v>
      </c>
      <c r="J423" t="s">
        <v>669</v>
      </c>
      <c r="K423" t="s">
        <v>651</v>
      </c>
      <c r="L423" t="s">
        <v>680</v>
      </c>
      <c r="M423" t="s">
        <v>684</v>
      </c>
      <c r="N423" t="s">
        <v>692</v>
      </c>
      <c r="O423" t="s">
        <v>694</v>
      </c>
      <c r="P423">
        <v>6323622</v>
      </c>
      <c r="Q423">
        <v>3</v>
      </c>
      <c r="R423">
        <v>1.34</v>
      </c>
      <c r="S423" t="s">
        <v>961</v>
      </c>
      <c r="T423" t="s">
        <v>988</v>
      </c>
      <c r="U423">
        <v>2024</v>
      </c>
      <c r="V423" t="s">
        <v>995</v>
      </c>
      <c r="W423" t="s">
        <v>998</v>
      </c>
      <c r="X423" t="s">
        <v>1001</v>
      </c>
      <c r="Y423">
        <v>1</v>
      </c>
      <c r="Z423">
        <v>42</v>
      </c>
    </row>
    <row r="424" spans="1:26" x14ac:dyDescent="0.3">
      <c r="A424" t="s">
        <v>448</v>
      </c>
      <c r="B424" t="s">
        <v>618</v>
      </c>
      <c r="C424" t="s">
        <v>627</v>
      </c>
      <c r="D424">
        <v>64</v>
      </c>
      <c r="E424" t="s">
        <v>628</v>
      </c>
      <c r="F424">
        <v>231</v>
      </c>
      <c r="G424">
        <v>46014</v>
      </c>
      <c r="H424">
        <v>10629234</v>
      </c>
      <c r="I424" t="s">
        <v>631</v>
      </c>
      <c r="J424" t="s">
        <v>668</v>
      </c>
      <c r="K424" t="s">
        <v>675</v>
      </c>
      <c r="L424" t="s">
        <v>680</v>
      </c>
      <c r="M424" t="s">
        <v>684</v>
      </c>
      <c r="N424" t="s">
        <v>690</v>
      </c>
      <c r="O424" t="s">
        <v>694</v>
      </c>
      <c r="P424">
        <v>3251466</v>
      </c>
      <c r="Q424">
        <v>3</v>
      </c>
      <c r="R424">
        <v>8.1300000000000008</v>
      </c>
      <c r="S424" t="s">
        <v>962</v>
      </c>
      <c r="T424" t="s">
        <v>983</v>
      </c>
      <c r="U424">
        <v>2024</v>
      </c>
      <c r="V424" t="s">
        <v>996</v>
      </c>
      <c r="W424" t="s">
        <v>998</v>
      </c>
      <c r="X424" t="s">
        <v>1000</v>
      </c>
      <c r="Y424">
        <v>2</v>
      </c>
      <c r="Z424">
        <v>48</v>
      </c>
    </row>
    <row r="425" spans="1:26" x14ac:dyDescent="0.3">
      <c r="A425" t="s">
        <v>449</v>
      </c>
      <c r="B425" t="s">
        <v>591</v>
      </c>
      <c r="C425" t="s">
        <v>626</v>
      </c>
      <c r="D425">
        <v>65</v>
      </c>
      <c r="E425" t="s">
        <v>629</v>
      </c>
      <c r="F425">
        <v>396</v>
      </c>
      <c r="G425">
        <v>7896</v>
      </c>
      <c r="H425">
        <v>3126816</v>
      </c>
      <c r="I425" t="s">
        <v>646</v>
      </c>
      <c r="J425" t="s">
        <v>673</v>
      </c>
      <c r="K425" t="s">
        <v>651</v>
      </c>
      <c r="L425" t="s">
        <v>682</v>
      </c>
      <c r="M425" t="s">
        <v>683</v>
      </c>
      <c r="N425" t="s">
        <v>689</v>
      </c>
      <c r="O425" t="s">
        <v>694</v>
      </c>
      <c r="P425">
        <v>845108</v>
      </c>
      <c r="Q425">
        <v>6</v>
      </c>
      <c r="R425">
        <v>4.9400000000000004</v>
      </c>
      <c r="S425" t="s">
        <v>749</v>
      </c>
      <c r="T425" t="s">
        <v>991</v>
      </c>
      <c r="U425">
        <v>2024</v>
      </c>
      <c r="V425" t="s">
        <v>996</v>
      </c>
      <c r="W425" t="s">
        <v>997</v>
      </c>
      <c r="X425" t="s">
        <v>1002</v>
      </c>
      <c r="Y425">
        <v>1</v>
      </c>
      <c r="Z425">
        <v>18</v>
      </c>
    </row>
    <row r="426" spans="1:26" x14ac:dyDescent="0.3">
      <c r="A426" t="s">
        <v>450</v>
      </c>
      <c r="B426" t="s">
        <v>573</v>
      </c>
      <c r="C426" t="s">
        <v>627</v>
      </c>
      <c r="D426">
        <v>24</v>
      </c>
      <c r="E426" t="s">
        <v>629</v>
      </c>
      <c r="F426">
        <v>374</v>
      </c>
      <c r="G426">
        <v>38161</v>
      </c>
      <c r="H426">
        <v>14272214</v>
      </c>
      <c r="I426" t="s">
        <v>665</v>
      </c>
      <c r="J426" t="s">
        <v>672</v>
      </c>
      <c r="K426" t="s">
        <v>678</v>
      </c>
      <c r="L426" t="s">
        <v>680</v>
      </c>
      <c r="M426" t="s">
        <v>685</v>
      </c>
      <c r="N426" t="s">
        <v>688</v>
      </c>
      <c r="O426" t="s">
        <v>693</v>
      </c>
      <c r="P426">
        <v>14272214</v>
      </c>
      <c r="Q426">
        <v>0</v>
      </c>
      <c r="R426">
        <v>6.6</v>
      </c>
      <c r="S426" t="s">
        <v>894</v>
      </c>
      <c r="T426" t="s">
        <v>985</v>
      </c>
      <c r="U426">
        <v>2024</v>
      </c>
      <c r="V426" t="s">
        <v>994</v>
      </c>
      <c r="W426" t="s">
        <v>997</v>
      </c>
      <c r="X426" t="s">
        <v>1000</v>
      </c>
      <c r="Y426">
        <v>5</v>
      </c>
      <c r="Z426">
        <v>47</v>
      </c>
    </row>
    <row r="427" spans="1:26" x14ac:dyDescent="0.3">
      <c r="A427" t="s">
        <v>451</v>
      </c>
      <c r="B427" t="s">
        <v>603</v>
      </c>
      <c r="C427" t="s">
        <v>626</v>
      </c>
      <c r="D427">
        <v>46</v>
      </c>
      <c r="E427" t="s">
        <v>630</v>
      </c>
      <c r="F427">
        <v>909</v>
      </c>
      <c r="G427">
        <v>46416</v>
      </c>
      <c r="H427">
        <v>42192144</v>
      </c>
      <c r="I427" t="s">
        <v>648</v>
      </c>
      <c r="J427" t="s">
        <v>671</v>
      </c>
      <c r="K427" t="s">
        <v>664</v>
      </c>
      <c r="L427" t="s">
        <v>680</v>
      </c>
      <c r="M427" t="s">
        <v>686</v>
      </c>
      <c r="N427" t="s">
        <v>691</v>
      </c>
      <c r="O427" t="s">
        <v>694</v>
      </c>
      <c r="P427">
        <v>8463174</v>
      </c>
      <c r="Q427">
        <v>24</v>
      </c>
      <c r="R427">
        <v>4.2699999999999996</v>
      </c>
      <c r="S427" t="s">
        <v>963</v>
      </c>
      <c r="T427" t="s">
        <v>984</v>
      </c>
      <c r="U427">
        <v>2024</v>
      </c>
      <c r="V427" t="s">
        <v>995</v>
      </c>
      <c r="W427" t="s">
        <v>998</v>
      </c>
      <c r="X427" t="s">
        <v>1001</v>
      </c>
      <c r="Y427">
        <v>1</v>
      </c>
      <c r="Z427">
        <v>47</v>
      </c>
    </row>
    <row r="428" spans="1:26" x14ac:dyDescent="0.3">
      <c r="A428" t="s">
        <v>452</v>
      </c>
      <c r="B428" t="s">
        <v>547</v>
      </c>
      <c r="C428" t="s">
        <v>627</v>
      </c>
      <c r="D428">
        <v>64</v>
      </c>
      <c r="E428" t="s">
        <v>630</v>
      </c>
      <c r="F428">
        <v>630</v>
      </c>
      <c r="G428">
        <v>36892</v>
      </c>
      <c r="H428">
        <v>23241960</v>
      </c>
      <c r="I428" t="s">
        <v>649</v>
      </c>
      <c r="J428" t="s">
        <v>669</v>
      </c>
      <c r="K428" t="s">
        <v>677</v>
      </c>
      <c r="L428" t="s">
        <v>680</v>
      </c>
      <c r="M428" t="s">
        <v>683</v>
      </c>
      <c r="N428" t="s">
        <v>688</v>
      </c>
      <c r="O428" t="s">
        <v>694</v>
      </c>
      <c r="P428">
        <v>4684366</v>
      </c>
      <c r="Q428">
        <v>12</v>
      </c>
      <c r="R428">
        <v>1.95</v>
      </c>
      <c r="S428" t="s">
        <v>964</v>
      </c>
      <c r="T428" t="s">
        <v>981</v>
      </c>
      <c r="U428">
        <v>2024</v>
      </c>
      <c r="V428" t="s">
        <v>996</v>
      </c>
      <c r="W428" t="s">
        <v>998</v>
      </c>
      <c r="X428" t="s">
        <v>1002</v>
      </c>
      <c r="Y428">
        <v>1</v>
      </c>
      <c r="Z428">
        <v>41</v>
      </c>
    </row>
    <row r="429" spans="1:26" x14ac:dyDescent="0.3">
      <c r="A429" t="s">
        <v>453</v>
      </c>
      <c r="B429" t="s">
        <v>585</v>
      </c>
      <c r="C429" t="s">
        <v>627</v>
      </c>
      <c r="D429">
        <v>26</v>
      </c>
      <c r="E429" t="s">
        <v>630</v>
      </c>
      <c r="F429">
        <v>691</v>
      </c>
      <c r="G429">
        <v>30308</v>
      </c>
      <c r="H429">
        <v>20942828</v>
      </c>
      <c r="I429" t="s">
        <v>631</v>
      </c>
      <c r="J429" t="s">
        <v>668</v>
      </c>
      <c r="K429" t="s">
        <v>664</v>
      </c>
      <c r="L429" t="s">
        <v>680</v>
      </c>
      <c r="M429" t="s">
        <v>687</v>
      </c>
      <c r="N429" t="s">
        <v>689</v>
      </c>
      <c r="O429" t="s">
        <v>693</v>
      </c>
      <c r="P429">
        <v>20942828</v>
      </c>
      <c r="Q429">
        <v>0</v>
      </c>
      <c r="R429">
        <v>5.93</v>
      </c>
      <c r="S429" t="s">
        <v>732</v>
      </c>
      <c r="T429" t="s">
        <v>983</v>
      </c>
      <c r="U429">
        <v>2024</v>
      </c>
      <c r="V429" t="s">
        <v>994</v>
      </c>
      <c r="W429" t="s">
        <v>997</v>
      </c>
      <c r="X429" t="s">
        <v>1000</v>
      </c>
      <c r="Y429">
        <v>1</v>
      </c>
      <c r="Z429">
        <v>50</v>
      </c>
    </row>
    <row r="430" spans="1:26" x14ac:dyDescent="0.3">
      <c r="A430" t="s">
        <v>454</v>
      </c>
      <c r="B430" t="s">
        <v>600</v>
      </c>
      <c r="C430" t="s">
        <v>627</v>
      </c>
      <c r="D430">
        <v>28</v>
      </c>
      <c r="E430" t="s">
        <v>628</v>
      </c>
      <c r="F430">
        <v>982</v>
      </c>
      <c r="G430">
        <v>8269</v>
      </c>
      <c r="H430">
        <v>8120158</v>
      </c>
      <c r="I430" t="s">
        <v>665</v>
      </c>
      <c r="J430" t="s">
        <v>672</v>
      </c>
      <c r="K430" t="s">
        <v>678</v>
      </c>
      <c r="L430" t="s">
        <v>681</v>
      </c>
      <c r="M430" t="s">
        <v>685</v>
      </c>
      <c r="N430" t="s">
        <v>690</v>
      </c>
      <c r="O430" t="s">
        <v>694</v>
      </c>
      <c r="P430">
        <v>1832398</v>
      </c>
      <c r="Q430">
        <v>3</v>
      </c>
      <c r="R430">
        <v>0.61</v>
      </c>
      <c r="S430" t="s">
        <v>938</v>
      </c>
      <c r="T430" t="s">
        <v>988</v>
      </c>
      <c r="U430">
        <v>2024</v>
      </c>
      <c r="V430" t="s">
        <v>995</v>
      </c>
      <c r="W430" t="s">
        <v>999</v>
      </c>
      <c r="X430" t="s">
        <v>1000</v>
      </c>
      <c r="Y430">
        <v>1</v>
      </c>
      <c r="Z430">
        <v>36</v>
      </c>
    </row>
    <row r="431" spans="1:26" x14ac:dyDescent="0.3">
      <c r="A431" t="s">
        <v>455</v>
      </c>
      <c r="B431" t="s">
        <v>559</v>
      </c>
      <c r="C431" t="s">
        <v>626</v>
      </c>
      <c r="D431">
        <v>49</v>
      </c>
      <c r="E431" t="s">
        <v>630</v>
      </c>
      <c r="F431">
        <v>611</v>
      </c>
      <c r="G431">
        <v>8280</v>
      </c>
      <c r="H431">
        <v>5059080</v>
      </c>
      <c r="I431" t="s">
        <v>646</v>
      </c>
      <c r="J431" t="s">
        <v>673</v>
      </c>
      <c r="K431" t="s">
        <v>640</v>
      </c>
      <c r="L431" t="s">
        <v>682</v>
      </c>
      <c r="M431" t="s">
        <v>686</v>
      </c>
      <c r="N431" t="s">
        <v>689</v>
      </c>
      <c r="O431" t="s">
        <v>694</v>
      </c>
      <c r="P431">
        <v>2324014</v>
      </c>
      <c r="Q431">
        <v>6</v>
      </c>
      <c r="R431">
        <v>7.87</v>
      </c>
      <c r="S431" t="s">
        <v>965</v>
      </c>
      <c r="T431" t="s">
        <v>983</v>
      </c>
      <c r="U431">
        <v>2024</v>
      </c>
      <c r="V431" t="s">
        <v>994</v>
      </c>
      <c r="W431" t="s">
        <v>997</v>
      </c>
      <c r="X431" t="s">
        <v>1001</v>
      </c>
      <c r="Y431">
        <v>1</v>
      </c>
      <c r="Z431">
        <v>30</v>
      </c>
    </row>
    <row r="432" spans="1:26" x14ac:dyDescent="0.3">
      <c r="A432" t="s">
        <v>456</v>
      </c>
      <c r="B432" t="s">
        <v>529</v>
      </c>
      <c r="C432" t="s">
        <v>627</v>
      </c>
      <c r="D432">
        <v>56</v>
      </c>
      <c r="E432" t="s">
        <v>628</v>
      </c>
      <c r="F432">
        <v>397</v>
      </c>
      <c r="G432">
        <v>9078</v>
      </c>
      <c r="H432">
        <v>3603966</v>
      </c>
      <c r="I432" t="s">
        <v>637</v>
      </c>
      <c r="J432" t="s">
        <v>672</v>
      </c>
      <c r="K432" t="s">
        <v>674</v>
      </c>
      <c r="L432" t="s">
        <v>682</v>
      </c>
      <c r="M432" t="s">
        <v>686</v>
      </c>
      <c r="N432" t="s">
        <v>690</v>
      </c>
      <c r="O432" t="s">
        <v>693</v>
      </c>
      <c r="P432">
        <v>3603966</v>
      </c>
      <c r="Q432">
        <v>0</v>
      </c>
      <c r="R432">
        <v>0.12</v>
      </c>
      <c r="S432" t="s">
        <v>834</v>
      </c>
      <c r="T432" t="s">
        <v>984</v>
      </c>
      <c r="U432">
        <v>2024</v>
      </c>
      <c r="V432" t="s">
        <v>994</v>
      </c>
      <c r="W432" t="s">
        <v>998</v>
      </c>
      <c r="X432" t="s">
        <v>1002</v>
      </c>
      <c r="Y432">
        <v>5</v>
      </c>
      <c r="Z432">
        <v>29</v>
      </c>
    </row>
    <row r="433" spans="1:26" x14ac:dyDescent="0.3">
      <c r="A433" t="s">
        <v>457</v>
      </c>
      <c r="B433" t="s">
        <v>597</v>
      </c>
      <c r="C433" t="s">
        <v>626</v>
      </c>
      <c r="D433">
        <v>57</v>
      </c>
      <c r="E433" t="s">
        <v>629</v>
      </c>
      <c r="F433">
        <v>245</v>
      </c>
      <c r="G433">
        <v>5964</v>
      </c>
      <c r="H433">
        <v>1461180</v>
      </c>
      <c r="I433" t="s">
        <v>654</v>
      </c>
      <c r="J433" t="s">
        <v>669</v>
      </c>
      <c r="K433" t="s">
        <v>638</v>
      </c>
      <c r="L433" t="s">
        <v>680</v>
      </c>
      <c r="M433" t="s">
        <v>683</v>
      </c>
      <c r="N433" t="s">
        <v>691</v>
      </c>
      <c r="O433" t="s">
        <v>693</v>
      </c>
      <c r="P433">
        <v>1461180</v>
      </c>
      <c r="Q433">
        <v>0</v>
      </c>
      <c r="R433">
        <v>3.12</v>
      </c>
      <c r="S433" t="s">
        <v>951</v>
      </c>
      <c r="T433" t="s">
        <v>989</v>
      </c>
      <c r="U433">
        <v>2024</v>
      </c>
      <c r="V433" t="s">
        <v>994</v>
      </c>
      <c r="W433" t="s">
        <v>997</v>
      </c>
      <c r="X433" t="s">
        <v>1002</v>
      </c>
      <c r="Y433">
        <v>3</v>
      </c>
      <c r="Z433">
        <v>24</v>
      </c>
    </row>
    <row r="434" spans="1:26" x14ac:dyDescent="0.3">
      <c r="A434" t="s">
        <v>458</v>
      </c>
      <c r="B434" t="s">
        <v>563</v>
      </c>
      <c r="C434" t="s">
        <v>626</v>
      </c>
      <c r="D434">
        <v>42</v>
      </c>
      <c r="E434" t="s">
        <v>628</v>
      </c>
      <c r="F434">
        <v>873</v>
      </c>
      <c r="G434">
        <v>46453</v>
      </c>
      <c r="H434">
        <v>40553469</v>
      </c>
      <c r="I434" t="s">
        <v>642</v>
      </c>
      <c r="J434" t="s">
        <v>673</v>
      </c>
      <c r="K434" t="s">
        <v>674</v>
      </c>
      <c r="L434" t="s">
        <v>680</v>
      </c>
      <c r="M434" t="s">
        <v>683</v>
      </c>
      <c r="N434" t="s">
        <v>689</v>
      </c>
      <c r="O434" t="s">
        <v>693</v>
      </c>
      <c r="P434">
        <v>40553469</v>
      </c>
      <c r="Q434">
        <v>0</v>
      </c>
      <c r="R434">
        <v>0.56999999999999995</v>
      </c>
      <c r="S434" t="s">
        <v>886</v>
      </c>
      <c r="T434" t="s">
        <v>986</v>
      </c>
      <c r="U434">
        <v>2024</v>
      </c>
      <c r="V434" t="s">
        <v>994</v>
      </c>
      <c r="W434" t="s">
        <v>999</v>
      </c>
      <c r="X434" t="s">
        <v>1001</v>
      </c>
      <c r="Y434">
        <v>4</v>
      </c>
      <c r="Z434">
        <v>45</v>
      </c>
    </row>
    <row r="435" spans="1:26" x14ac:dyDescent="0.3">
      <c r="A435" t="s">
        <v>459</v>
      </c>
      <c r="B435" t="s">
        <v>559</v>
      </c>
      <c r="C435" t="s">
        <v>627</v>
      </c>
      <c r="D435">
        <v>20</v>
      </c>
      <c r="E435" t="s">
        <v>629</v>
      </c>
      <c r="F435">
        <v>909</v>
      </c>
      <c r="G435">
        <v>23701</v>
      </c>
      <c r="H435">
        <v>21544209</v>
      </c>
      <c r="I435" t="s">
        <v>633</v>
      </c>
      <c r="J435" t="s">
        <v>668</v>
      </c>
      <c r="K435" t="s">
        <v>674</v>
      </c>
      <c r="L435" t="s">
        <v>680</v>
      </c>
      <c r="M435" t="s">
        <v>683</v>
      </c>
      <c r="N435" t="s">
        <v>691</v>
      </c>
      <c r="O435" t="s">
        <v>694</v>
      </c>
      <c r="P435">
        <v>7014979</v>
      </c>
      <c r="Q435">
        <v>12</v>
      </c>
      <c r="R435">
        <v>1.62</v>
      </c>
      <c r="S435" t="s">
        <v>747</v>
      </c>
      <c r="T435" t="s">
        <v>989</v>
      </c>
      <c r="U435">
        <v>2024</v>
      </c>
      <c r="V435" t="s">
        <v>996</v>
      </c>
      <c r="W435" t="s">
        <v>999</v>
      </c>
      <c r="X435" t="s">
        <v>1002</v>
      </c>
      <c r="Y435">
        <v>3</v>
      </c>
      <c r="Z435">
        <v>48</v>
      </c>
    </row>
    <row r="436" spans="1:26" x14ac:dyDescent="0.3">
      <c r="A436" t="s">
        <v>460</v>
      </c>
      <c r="B436" t="s">
        <v>560</v>
      </c>
      <c r="C436" t="s">
        <v>626</v>
      </c>
      <c r="D436">
        <v>32</v>
      </c>
      <c r="E436" t="s">
        <v>629</v>
      </c>
      <c r="F436">
        <v>388</v>
      </c>
      <c r="G436">
        <v>2440</v>
      </c>
      <c r="H436">
        <v>946720</v>
      </c>
      <c r="I436" t="s">
        <v>650</v>
      </c>
      <c r="J436" t="s">
        <v>670</v>
      </c>
      <c r="K436" t="s">
        <v>640</v>
      </c>
      <c r="L436" t="s">
        <v>682</v>
      </c>
      <c r="M436" t="s">
        <v>687</v>
      </c>
      <c r="N436" t="s">
        <v>689</v>
      </c>
      <c r="O436" t="s">
        <v>694</v>
      </c>
      <c r="P436">
        <v>210285</v>
      </c>
      <c r="Q436">
        <v>3</v>
      </c>
      <c r="R436">
        <v>0.3</v>
      </c>
      <c r="S436" t="s">
        <v>758</v>
      </c>
      <c r="T436" t="s">
        <v>981</v>
      </c>
      <c r="U436">
        <v>2024</v>
      </c>
      <c r="V436" t="s">
        <v>993</v>
      </c>
      <c r="W436" t="s">
        <v>999</v>
      </c>
      <c r="X436" t="s">
        <v>1000</v>
      </c>
      <c r="Y436">
        <v>3</v>
      </c>
      <c r="Z436">
        <v>12</v>
      </c>
    </row>
    <row r="437" spans="1:26" x14ac:dyDescent="0.3">
      <c r="A437" t="s">
        <v>461</v>
      </c>
      <c r="B437" t="s">
        <v>560</v>
      </c>
      <c r="C437" t="s">
        <v>627</v>
      </c>
      <c r="D437">
        <v>21</v>
      </c>
      <c r="E437" t="s">
        <v>629</v>
      </c>
      <c r="F437">
        <v>547</v>
      </c>
      <c r="G437">
        <v>38340</v>
      </c>
      <c r="H437">
        <v>20971980</v>
      </c>
      <c r="I437" t="s">
        <v>651</v>
      </c>
      <c r="J437" t="s">
        <v>669</v>
      </c>
      <c r="K437" t="s">
        <v>638</v>
      </c>
      <c r="L437" t="s">
        <v>680</v>
      </c>
      <c r="M437" t="s">
        <v>684</v>
      </c>
      <c r="N437" t="s">
        <v>689</v>
      </c>
      <c r="O437" t="s">
        <v>693</v>
      </c>
      <c r="P437">
        <v>20971980</v>
      </c>
      <c r="Q437">
        <v>0</v>
      </c>
      <c r="R437">
        <v>1.79</v>
      </c>
      <c r="S437" t="s">
        <v>945</v>
      </c>
      <c r="T437" t="s">
        <v>988</v>
      </c>
      <c r="U437">
        <v>2024</v>
      </c>
      <c r="V437" t="s">
        <v>994</v>
      </c>
      <c r="W437" t="s">
        <v>999</v>
      </c>
      <c r="X437" t="s">
        <v>1002</v>
      </c>
      <c r="Y437">
        <v>4</v>
      </c>
      <c r="Z437">
        <v>16</v>
      </c>
    </row>
    <row r="438" spans="1:26" x14ac:dyDescent="0.3">
      <c r="A438" t="s">
        <v>462</v>
      </c>
      <c r="B438" t="s">
        <v>592</v>
      </c>
      <c r="C438" t="s">
        <v>626</v>
      </c>
      <c r="D438">
        <v>64</v>
      </c>
      <c r="E438" t="s">
        <v>630</v>
      </c>
      <c r="F438">
        <v>739</v>
      </c>
      <c r="G438">
        <v>42842</v>
      </c>
      <c r="H438">
        <v>31660238</v>
      </c>
      <c r="I438" t="s">
        <v>657</v>
      </c>
      <c r="J438" t="s">
        <v>671</v>
      </c>
      <c r="K438" t="s">
        <v>638</v>
      </c>
      <c r="L438" t="s">
        <v>681</v>
      </c>
      <c r="M438" t="s">
        <v>686</v>
      </c>
      <c r="N438" t="s">
        <v>691</v>
      </c>
      <c r="O438" t="s">
        <v>694</v>
      </c>
      <c r="P438">
        <v>7457506</v>
      </c>
      <c r="Q438">
        <v>3</v>
      </c>
      <c r="R438">
        <v>8.83</v>
      </c>
      <c r="S438" t="s">
        <v>712</v>
      </c>
      <c r="T438" t="s">
        <v>987</v>
      </c>
      <c r="U438">
        <v>2024</v>
      </c>
      <c r="V438" t="s">
        <v>996</v>
      </c>
      <c r="W438" t="s">
        <v>999</v>
      </c>
      <c r="X438" t="s">
        <v>1001</v>
      </c>
      <c r="Y438">
        <v>5</v>
      </c>
      <c r="Z438">
        <v>13</v>
      </c>
    </row>
    <row r="439" spans="1:26" x14ac:dyDescent="0.3">
      <c r="A439" t="s">
        <v>463</v>
      </c>
      <c r="B439" t="s">
        <v>567</v>
      </c>
      <c r="C439" t="s">
        <v>626</v>
      </c>
      <c r="D439">
        <v>33</v>
      </c>
      <c r="E439" t="s">
        <v>629</v>
      </c>
      <c r="F439">
        <v>535</v>
      </c>
      <c r="G439">
        <v>18198</v>
      </c>
      <c r="H439">
        <v>9735930</v>
      </c>
      <c r="I439" t="s">
        <v>637</v>
      </c>
      <c r="J439" t="s">
        <v>672</v>
      </c>
      <c r="K439" t="s">
        <v>638</v>
      </c>
      <c r="L439" t="s">
        <v>680</v>
      </c>
      <c r="M439" t="s">
        <v>684</v>
      </c>
      <c r="N439" t="s">
        <v>692</v>
      </c>
      <c r="O439" t="s">
        <v>693</v>
      </c>
      <c r="P439">
        <v>9735930</v>
      </c>
      <c r="Q439">
        <v>0</v>
      </c>
      <c r="R439">
        <v>6.29</v>
      </c>
      <c r="S439" t="s">
        <v>798</v>
      </c>
      <c r="T439" t="s">
        <v>992</v>
      </c>
      <c r="U439">
        <v>2024</v>
      </c>
      <c r="V439" t="s">
        <v>993</v>
      </c>
      <c r="W439" t="s">
        <v>999</v>
      </c>
      <c r="X439" t="s">
        <v>1001</v>
      </c>
      <c r="Y439">
        <v>4</v>
      </c>
      <c r="Z439">
        <v>49</v>
      </c>
    </row>
    <row r="440" spans="1:26" x14ac:dyDescent="0.3">
      <c r="A440" t="s">
        <v>464</v>
      </c>
      <c r="B440" t="s">
        <v>555</v>
      </c>
      <c r="C440" t="s">
        <v>626</v>
      </c>
      <c r="D440">
        <v>37</v>
      </c>
      <c r="E440" t="s">
        <v>629</v>
      </c>
      <c r="F440">
        <v>710</v>
      </c>
      <c r="G440">
        <v>36006</v>
      </c>
      <c r="H440">
        <v>25564260</v>
      </c>
      <c r="I440" t="s">
        <v>644</v>
      </c>
      <c r="J440" t="s">
        <v>668</v>
      </c>
      <c r="K440" t="s">
        <v>651</v>
      </c>
      <c r="L440" t="s">
        <v>681</v>
      </c>
      <c r="M440" t="s">
        <v>686</v>
      </c>
      <c r="N440" t="s">
        <v>689</v>
      </c>
      <c r="O440" t="s">
        <v>694</v>
      </c>
      <c r="P440">
        <v>7581003</v>
      </c>
      <c r="Q440">
        <v>6</v>
      </c>
      <c r="R440">
        <v>3.74</v>
      </c>
      <c r="S440" t="s">
        <v>966</v>
      </c>
      <c r="T440" t="s">
        <v>984</v>
      </c>
      <c r="U440">
        <v>2024</v>
      </c>
      <c r="V440" t="s">
        <v>996</v>
      </c>
      <c r="W440" t="s">
        <v>999</v>
      </c>
      <c r="X440" t="s">
        <v>1000</v>
      </c>
      <c r="Y440">
        <v>4</v>
      </c>
      <c r="Z440">
        <v>16</v>
      </c>
    </row>
    <row r="441" spans="1:26" x14ac:dyDescent="0.3">
      <c r="A441" t="s">
        <v>465</v>
      </c>
      <c r="B441" t="s">
        <v>623</v>
      </c>
      <c r="C441" t="s">
        <v>627</v>
      </c>
      <c r="D441">
        <v>28</v>
      </c>
      <c r="E441" t="s">
        <v>628</v>
      </c>
      <c r="F441">
        <v>635</v>
      </c>
      <c r="G441">
        <v>26712</v>
      </c>
      <c r="H441">
        <v>16962120</v>
      </c>
      <c r="I441" t="s">
        <v>650</v>
      </c>
      <c r="J441" t="s">
        <v>670</v>
      </c>
      <c r="K441" t="s">
        <v>677</v>
      </c>
      <c r="L441" t="s">
        <v>681</v>
      </c>
      <c r="M441" t="s">
        <v>684</v>
      </c>
      <c r="N441" t="s">
        <v>692</v>
      </c>
      <c r="O441" t="s">
        <v>693</v>
      </c>
      <c r="P441">
        <v>16962120</v>
      </c>
      <c r="Q441">
        <v>0</v>
      </c>
      <c r="R441">
        <v>9.35</v>
      </c>
      <c r="S441" t="s">
        <v>740</v>
      </c>
      <c r="T441" t="s">
        <v>991</v>
      </c>
      <c r="U441">
        <v>2024</v>
      </c>
      <c r="V441" t="s">
        <v>994</v>
      </c>
      <c r="W441" t="s">
        <v>999</v>
      </c>
      <c r="X441" t="s">
        <v>1001</v>
      </c>
      <c r="Y441">
        <v>1</v>
      </c>
      <c r="Z441">
        <v>30</v>
      </c>
    </row>
    <row r="442" spans="1:26" x14ac:dyDescent="0.3">
      <c r="A442" t="s">
        <v>466</v>
      </c>
      <c r="B442" t="s">
        <v>549</v>
      </c>
      <c r="C442" t="s">
        <v>627</v>
      </c>
      <c r="D442">
        <v>31</v>
      </c>
      <c r="E442" t="s">
        <v>630</v>
      </c>
      <c r="F442">
        <v>636</v>
      </c>
      <c r="G442">
        <v>31566</v>
      </c>
      <c r="H442">
        <v>20075976</v>
      </c>
      <c r="I442" t="s">
        <v>665</v>
      </c>
      <c r="J442" t="s">
        <v>672</v>
      </c>
      <c r="K442" t="s">
        <v>651</v>
      </c>
      <c r="L442" t="s">
        <v>680</v>
      </c>
      <c r="M442" t="s">
        <v>687</v>
      </c>
      <c r="N442" t="s">
        <v>689</v>
      </c>
      <c r="O442" t="s">
        <v>694</v>
      </c>
      <c r="P442">
        <v>6478233</v>
      </c>
      <c r="Q442">
        <v>24</v>
      </c>
      <c r="R442">
        <v>8.0500000000000007</v>
      </c>
      <c r="S442" t="s">
        <v>826</v>
      </c>
      <c r="T442" t="s">
        <v>982</v>
      </c>
      <c r="U442">
        <v>2024</v>
      </c>
      <c r="V442" t="s">
        <v>994</v>
      </c>
      <c r="W442" t="s">
        <v>999</v>
      </c>
      <c r="X442" t="s">
        <v>1002</v>
      </c>
      <c r="Y442">
        <v>5</v>
      </c>
      <c r="Z442">
        <v>33</v>
      </c>
    </row>
    <row r="443" spans="1:26" x14ac:dyDescent="0.3">
      <c r="A443" t="s">
        <v>467</v>
      </c>
      <c r="B443" t="s">
        <v>588</v>
      </c>
      <c r="C443" t="s">
        <v>627</v>
      </c>
      <c r="D443">
        <v>41</v>
      </c>
      <c r="E443" t="s">
        <v>628</v>
      </c>
      <c r="F443">
        <v>483</v>
      </c>
      <c r="G443">
        <v>16925</v>
      </c>
      <c r="H443">
        <v>8174775</v>
      </c>
      <c r="I443" t="s">
        <v>655</v>
      </c>
      <c r="J443" t="s">
        <v>672</v>
      </c>
      <c r="K443" t="s">
        <v>676</v>
      </c>
      <c r="L443" t="s">
        <v>682</v>
      </c>
      <c r="M443" t="s">
        <v>687</v>
      </c>
      <c r="N443" t="s">
        <v>690</v>
      </c>
      <c r="O443" t="s">
        <v>693</v>
      </c>
      <c r="P443">
        <v>8174775</v>
      </c>
      <c r="Q443">
        <v>0</v>
      </c>
      <c r="R443">
        <v>1.19</v>
      </c>
      <c r="S443" t="s">
        <v>768</v>
      </c>
      <c r="T443" t="s">
        <v>991</v>
      </c>
      <c r="U443">
        <v>2024</v>
      </c>
      <c r="V443" t="s">
        <v>994</v>
      </c>
      <c r="W443" t="s">
        <v>997</v>
      </c>
      <c r="X443" t="s">
        <v>1001</v>
      </c>
      <c r="Y443">
        <v>3</v>
      </c>
      <c r="Z443">
        <v>13</v>
      </c>
    </row>
    <row r="444" spans="1:26" x14ac:dyDescent="0.3">
      <c r="A444" t="s">
        <v>468</v>
      </c>
      <c r="B444" t="s">
        <v>617</v>
      </c>
      <c r="C444" t="s">
        <v>627</v>
      </c>
      <c r="D444">
        <v>50</v>
      </c>
      <c r="E444" t="s">
        <v>629</v>
      </c>
      <c r="F444">
        <v>970</v>
      </c>
      <c r="G444">
        <v>48935</v>
      </c>
      <c r="H444">
        <v>47466950</v>
      </c>
      <c r="I444" t="s">
        <v>644</v>
      </c>
      <c r="J444" t="s">
        <v>668</v>
      </c>
      <c r="K444" t="s">
        <v>638</v>
      </c>
      <c r="L444" t="s">
        <v>682</v>
      </c>
      <c r="M444" t="s">
        <v>683</v>
      </c>
      <c r="N444" t="s">
        <v>691</v>
      </c>
      <c r="O444" t="s">
        <v>694</v>
      </c>
      <c r="P444">
        <v>20459339</v>
      </c>
      <c r="Q444">
        <v>3</v>
      </c>
      <c r="R444">
        <v>2.82</v>
      </c>
      <c r="S444" t="s">
        <v>858</v>
      </c>
      <c r="T444" t="s">
        <v>982</v>
      </c>
      <c r="U444">
        <v>2024</v>
      </c>
      <c r="V444" t="s">
        <v>996</v>
      </c>
      <c r="W444" t="s">
        <v>999</v>
      </c>
      <c r="X444" t="s">
        <v>1001</v>
      </c>
      <c r="Y444">
        <v>2</v>
      </c>
      <c r="Z444">
        <v>31</v>
      </c>
    </row>
    <row r="445" spans="1:26" x14ac:dyDescent="0.3">
      <c r="A445" t="s">
        <v>469</v>
      </c>
      <c r="B445" t="s">
        <v>617</v>
      </c>
      <c r="C445" t="s">
        <v>627</v>
      </c>
      <c r="D445">
        <v>48</v>
      </c>
      <c r="E445" t="s">
        <v>630</v>
      </c>
      <c r="F445">
        <v>765</v>
      </c>
      <c r="G445">
        <v>32719</v>
      </c>
      <c r="H445">
        <v>25030035</v>
      </c>
      <c r="I445" t="s">
        <v>656</v>
      </c>
      <c r="J445" t="s">
        <v>669</v>
      </c>
      <c r="K445" t="s">
        <v>674</v>
      </c>
      <c r="L445" t="s">
        <v>682</v>
      </c>
      <c r="M445" t="s">
        <v>685</v>
      </c>
      <c r="N445" t="s">
        <v>690</v>
      </c>
      <c r="O445" t="s">
        <v>694</v>
      </c>
      <c r="P445">
        <v>10952504</v>
      </c>
      <c r="Q445">
        <v>12</v>
      </c>
      <c r="R445">
        <v>3.13</v>
      </c>
      <c r="S445" t="s">
        <v>967</v>
      </c>
      <c r="T445" t="s">
        <v>990</v>
      </c>
      <c r="U445">
        <v>2024</v>
      </c>
      <c r="V445" t="s">
        <v>996</v>
      </c>
      <c r="W445" t="s">
        <v>997</v>
      </c>
      <c r="X445" t="s">
        <v>1000</v>
      </c>
      <c r="Y445">
        <v>3</v>
      </c>
      <c r="Z445">
        <v>48</v>
      </c>
    </row>
    <row r="446" spans="1:26" x14ac:dyDescent="0.3">
      <c r="A446" t="s">
        <v>470</v>
      </c>
      <c r="B446" t="s">
        <v>539</v>
      </c>
      <c r="C446" t="s">
        <v>626</v>
      </c>
      <c r="D446">
        <v>57</v>
      </c>
      <c r="E446" t="s">
        <v>628</v>
      </c>
      <c r="F446">
        <v>547</v>
      </c>
      <c r="G446">
        <v>16777</v>
      </c>
      <c r="H446">
        <v>9177019</v>
      </c>
      <c r="I446" t="s">
        <v>661</v>
      </c>
      <c r="J446" t="s">
        <v>673</v>
      </c>
      <c r="K446" t="s">
        <v>651</v>
      </c>
      <c r="L446" t="s">
        <v>682</v>
      </c>
      <c r="M446" t="s">
        <v>685</v>
      </c>
      <c r="N446" t="s">
        <v>688</v>
      </c>
      <c r="O446" t="s">
        <v>694</v>
      </c>
      <c r="P446">
        <v>3723381</v>
      </c>
      <c r="Q446">
        <v>24</v>
      </c>
      <c r="R446">
        <v>4.03</v>
      </c>
      <c r="S446" t="s">
        <v>836</v>
      </c>
      <c r="T446" t="s">
        <v>984</v>
      </c>
      <c r="U446">
        <v>2024</v>
      </c>
      <c r="V446" t="s">
        <v>996</v>
      </c>
      <c r="W446" t="s">
        <v>998</v>
      </c>
      <c r="X446" t="s">
        <v>1001</v>
      </c>
      <c r="Y446">
        <v>5</v>
      </c>
      <c r="Z446">
        <v>39</v>
      </c>
    </row>
    <row r="447" spans="1:26" x14ac:dyDescent="0.3">
      <c r="A447" t="s">
        <v>471</v>
      </c>
      <c r="B447" t="s">
        <v>598</v>
      </c>
      <c r="C447" t="s">
        <v>626</v>
      </c>
      <c r="D447">
        <v>60</v>
      </c>
      <c r="E447" t="s">
        <v>630</v>
      </c>
      <c r="F447">
        <v>590</v>
      </c>
      <c r="G447">
        <v>15382</v>
      </c>
      <c r="H447">
        <v>9075380</v>
      </c>
      <c r="I447" t="s">
        <v>652</v>
      </c>
      <c r="J447" t="s">
        <v>672</v>
      </c>
      <c r="K447" t="s">
        <v>640</v>
      </c>
      <c r="L447" t="s">
        <v>680</v>
      </c>
      <c r="M447" t="s">
        <v>683</v>
      </c>
      <c r="N447" t="s">
        <v>689</v>
      </c>
      <c r="O447" t="s">
        <v>694</v>
      </c>
      <c r="P447">
        <v>3270288</v>
      </c>
      <c r="Q447">
        <v>3</v>
      </c>
      <c r="R447">
        <v>1.88</v>
      </c>
      <c r="S447" t="s">
        <v>910</v>
      </c>
      <c r="T447" t="s">
        <v>981</v>
      </c>
      <c r="U447">
        <v>2024</v>
      </c>
      <c r="V447" t="s">
        <v>996</v>
      </c>
      <c r="W447" t="s">
        <v>999</v>
      </c>
      <c r="X447" t="s">
        <v>1001</v>
      </c>
      <c r="Y447">
        <v>5</v>
      </c>
      <c r="Z447">
        <v>32</v>
      </c>
    </row>
    <row r="448" spans="1:26" x14ac:dyDescent="0.3">
      <c r="A448" t="s">
        <v>472</v>
      </c>
      <c r="B448" t="s">
        <v>605</v>
      </c>
      <c r="C448" t="s">
        <v>626</v>
      </c>
      <c r="D448">
        <v>53</v>
      </c>
      <c r="E448" t="s">
        <v>628</v>
      </c>
      <c r="F448">
        <v>271</v>
      </c>
      <c r="G448">
        <v>27289</v>
      </c>
      <c r="H448">
        <v>7395319</v>
      </c>
      <c r="I448" t="s">
        <v>641</v>
      </c>
      <c r="J448" t="s">
        <v>673</v>
      </c>
      <c r="K448" t="s">
        <v>679</v>
      </c>
      <c r="L448" t="s">
        <v>680</v>
      </c>
      <c r="M448" t="s">
        <v>687</v>
      </c>
      <c r="N448" t="s">
        <v>691</v>
      </c>
      <c r="O448" t="s">
        <v>694</v>
      </c>
      <c r="P448">
        <v>1996084</v>
      </c>
      <c r="Q448">
        <v>6</v>
      </c>
      <c r="R448">
        <v>6.6</v>
      </c>
      <c r="S448" t="s">
        <v>871</v>
      </c>
      <c r="T448" t="s">
        <v>981</v>
      </c>
      <c r="U448">
        <v>2024</v>
      </c>
      <c r="V448" t="s">
        <v>995</v>
      </c>
      <c r="W448" t="s">
        <v>999</v>
      </c>
      <c r="X448" t="s">
        <v>1000</v>
      </c>
      <c r="Y448">
        <v>2</v>
      </c>
      <c r="Z448">
        <v>35</v>
      </c>
    </row>
    <row r="449" spans="1:26" x14ac:dyDescent="0.3">
      <c r="A449" t="s">
        <v>473</v>
      </c>
      <c r="B449" t="s">
        <v>552</v>
      </c>
      <c r="C449" t="s">
        <v>627</v>
      </c>
      <c r="D449">
        <v>58</v>
      </c>
      <c r="E449" t="s">
        <v>629</v>
      </c>
      <c r="F449">
        <v>598</v>
      </c>
      <c r="G449">
        <v>15531</v>
      </c>
      <c r="H449">
        <v>9287538</v>
      </c>
      <c r="I449" t="s">
        <v>666</v>
      </c>
      <c r="J449" t="s">
        <v>670</v>
      </c>
      <c r="K449" t="s">
        <v>676</v>
      </c>
      <c r="L449" t="s">
        <v>681</v>
      </c>
      <c r="M449" t="s">
        <v>686</v>
      </c>
      <c r="N449" t="s">
        <v>688</v>
      </c>
      <c r="O449" t="s">
        <v>693</v>
      </c>
      <c r="P449">
        <v>9287538</v>
      </c>
      <c r="Q449">
        <v>0</v>
      </c>
      <c r="R449">
        <v>8.6999999999999993</v>
      </c>
      <c r="S449" t="s">
        <v>754</v>
      </c>
      <c r="T449" t="s">
        <v>982</v>
      </c>
      <c r="U449">
        <v>2024</v>
      </c>
      <c r="V449" t="s">
        <v>995</v>
      </c>
      <c r="W449" t="s">
        <v>998</v>
      </c>
      <c r="X449" t="s">
        <v>1000</v>
      </c>
      <c r="Y449">
        <v>1</v>
      </c>
      <c r="Z449">
        <v>10</v>
      </c>
    </row>
    <row r="450" spans="1:26" x14ac:dyDescent="0.3">
      <c r="A450" t="s">
        <v>474</v>
      </c>
      <c r="B450" t="s">
        <v>551</v>
      </c>
      <c r="C450" t="s">
        <v>626</v>
      </c>
      <c r="D450">
        <v>64</v>
      </c>
      <c r="E450" t="s">
        <v>629</v>
      </c>
      <c r="F450">
        <v>819</v>
      </c>
      <c r="G450">
        <v>18176</v>
      </c>
      <c r="H450">
        <v>14886144</v>
      </c>
      <c r="I450" t="s">
        <v>663</v>
      </c>
      <c r="J450" t="s">
        <v>670</v>
      </c>
      <c r="K450" t="s">
        <v>640</v>
      </c>
      <c r="L450" t="s">
        <v>681</v>
      </c>
      <c r="M450" t="s">
        <v>684</v>
      </c>
      <c r="N450" t="s">
        <v>692</v>
      </c>
      <c r="O450" t="s">
        <v>694</v>
      </c>
      <c r="P450">
        <v>5032430</v>
      </c>
      <c r="Q450">
        <v>24</v>
      </c>
      <c r="R450">
        <v>5.76</v>
      </c>
      <c r="S450" t="s">
        <v>918</v>
      </c>
      <c r="T450" t="s">
        <v>981</v>
      </c>
      <c r="U450">
        <v>2024</v>
      </c>
      <c r="V450" t="s">
        <v>996</v>
      </c>
      <c r="W450" t="s">
        <v>998</v>
      </c>
      <c r="X450" t="s">
        <v>1000</v>
      </c>
      <c r="Y450">
        <v>2</v>
      </c>
      <c r="Z450">
        <v>40</v>
      </c>
    </row>
    <row r="451" spans="1:26" x14ac:dyDescent="0.3">
      <c r="A451" t="s">
        <v>475</v>
      </c>
      <c r="B451" t="s">
        <v>538</v>
      </c>
      <c r="C451" t="s">
        <v>627</v>
      </c>
      <c r="D451">
        <v>30</v>
      </c>
      <c r="E451" t="s">
        <v>630</v>
      </c>
      <c r="F451">
        <v>593</v>
      </c>
      <c r="G451">
        <v>45193</v>
      </c>
      <c r="H451">
        <v>26799449</v>
      </c>
      <c r="I451" t="s">
        <v>633</v>
      </c>
      <c r="J451" t="s">
        <v>668</v>
      </c>
      <c r="K451" t="s">
        <v>678</v>
      </c>
      <c r="L451" t="s">
        <v>682</v>
      </c>
      <c r="M451" t="s">
        <v>686</v>
      </c>
      <c r="N451" t="s">
        <v>690</v>
      </c>
      <c r="O451" t="s">
        <v>693</v>
      </c>
      <c r="P451">
        <v>26799449</v>
      </c>
      <c r="Q451">
        <v>0</v>
      </c>
      <c r="R451">
        <v>6.99</v>
      </c>
      <c r="S451" t="s">
        <v>813</v>
      </c>
      <c r="T451" t="s">
        <v>981</v>
      </c>
      <c r="U451">
        <v>2024</v>
      </c>
      <c r="V451" t="s">
        <v>993</v>
      </c>
      <c r="W451" t="s">
        <v>997</v>
      </c>
      <c r="X451" t="s">
        <v>1001</v>
      </c>
      <c r="Y451">
        <v>2</v>
      </c>
      <c r="Z451">
        <v>32</v>
      </c>
    </row>
    <row r="452" spans="1:26" x14ac:dyDescent="0.3">
      <c r="A452" t="s">
        <v>476</v>
      </c>
      <c r="B452" t="s">
        <v>618</v>
      </c>
      <c r="C452" t="s">
        <v>626</v>
      </c>
      <c r="D452">
        <v>30</v>
      </c>
      <c r="E452" t="s">
        <v>630</v>
      </c>
      <c r="F452">
        <v>324</v>
      </c>
      <c r="G452">
        <v>26165</v>
      </c>
      <c r="H452">
        <v>8477460</v>
      </c>
      <c r="I452" t="s">
        <v>658</v>
      </c>
      <c r="J452" t="s">
        <v>670</v>
      </c>
      <c r="K452" t="s">
        <v>675</v>
      </c>
      <c r="L452" t="s">
        <v>680</v>
      </c>
      <c r="M452" t="s">
        <v>686</v>
      </c>
      <c r="N452" t="s">
        <v>689</v>
      </c>
      <c r="O452" t="s">
        <v>693</v>
      </c>
      <c r="P452">
        <v>8477460</v>
      </c>
      <c r="Q452">
        <v>0</v>
      </c>
      <c r="R452">
        <v>7.55</v>
      </c>
      <c r="S452" t="s">
        <v>857</v>
      </c>
      <c r="T452" t="s">
        <v>986</v>
      </c>
      <c r="U452">
        <v>2024</v>
      </c>
      <c r="V452" t="s">
        <v>995</v>
      </c>
      <c r="W452" t="s">
        <v>999</v>
      </c>
      <c r="X452" t="s">
        <v>1000</v>
      </c>
      <c r="Y452">
        <v>4</v>
      </c>
      <c r="Z452">
        <v>25</v>
      </c>
    </row>
    <row r="453" spans="1:26" x14ac:dyDescent="0.3">
      <c r="A453" t="s">
        <v>477</v>
      </c>
      <c r="B453" t="s">
        <v>579</v>
      </c>
      <c r="C453" t="s">
        <v>626</v>
      </c>
      <c r="D453">
        <v>51</v>
      </c>
      <c r="E453" t="s">
        <v>630</v>
      </c>
      <c r="F453">
        <v>399</v>
      </c>
      <c r="G453">
        <v>27996</v>
      </c>
      <c r="H453">
        <v>11170404</v>
      </c>
      <c r="I453" t="s">
        <v>636</v>
      </c>
      <c r="J453" t="s">
        <v>671</v>
      </c>
      <c r="K453" t="s">
        <v>640</v>
      </c>
      <c r="L453" t="s">
        <v>680</v>
      </c>
      <c r="M453" t="s">
        <v>685</v>
      </c>
      <c r="N453" t="s">
        <v>692</v>
      </c>
      <c r="O453" t="s">
        <v>693</v>
      </c>
      <c r="P453">
        <v>11170404</v>
      </c>
      <c r="Q453">
        <v>0</v>
      </c>
      <c r="R453">
        <v>0.11</v>
      </c>
      <c r="S453" t="s">
        <v>758</v>
      </c>
      <c r="T453" t="s">
        <v>981</v>
      </c>
      <c r="U453">
        <v>2024</v>
      </c>
      <c r="V453" t="s">
        <v>996</v>
      </c>
      <c r="W453" t="s">
        <v>997</v>
      </c>
      <c r="X453" t="s">
        <v>1002</v>
      </c>
      <c r="Y453">
        <v>2</v>
      </c>
      <c r="Z453">
        <v>31</v>
      </c>
    </row>
    <row r="454" spans="1:26" x14ac:dyDescent="0.3">
      <c r="A454" t="s">
        <v>478</v>
      </c>
      <c r="B454" t="s">
        <v>612</v>
      </c>
      <c r="C454" t="s">
        <v>627</v>
      </c>
      <c r="D454">
        <v>24</v>
      </c>
      <c r="E454" t="s">
        <v>629</v>
      </c>
      <c r="F454">
        <v>218</v>
      </c>
      <c r="G454">
        <v>41779</v>
      </c>
      <c r="H454">
        <v>9107822</v>
      </c>
      <c r="I454" t="s">
        <v>648</v>
      </c>
      <c r="J454" t="s">
        <v>671</v>
      </c>
      <c r="K454" t="s">
        <v>638</v>
      </c>
      <c r="L454" t="s">
        <v>680</v>
      </c>
      <c r="M454" t="s">
        <v>687</v>
      </c>
      <c r="N454" t="s">
        <v>688</v>
      </c>
      <c r="O454" t="s">
        <v>693</v>
      </c>
      <c r="P454">
        <v>9107822</v>
      </c>
      <c r="Q454">
        <v>0</v>
      </c>
      <c r="R454">
        <v>1.77</v>
      </c>
      <c r="S454" t="s">
        <v>907</v>
      </c>
      <c r="T454" t="s">
        <v>987</v>
      </c>
      <c r="U454">
        <v>2024</v>
      </c>
      <c r="V454" t="s">
        <v>995</v>
      </c>
      <c r="W454" t="s">
        <v>998</v>
      </c>
      <c r="X454" t="s">
        <v>1000</v>
      </c>
      <c r="Y454">
        <v>2</v>
      </c>
      <c r="Z454">
        <v>46</v>
      </c>
    </row>
    <row r="455" spans="1:26" x14ac:dyDescent="0.3">
      <c r="A455" t="s">
        <v>479</v>
      </c>
      <c r="B455" t="s">
        <v>541</v>
      </c>
      <c r="C455" t="s">
        <v>626</v>
      </c>
      <c r="D455">
        <v>48</v>
      </c>
      <c r="E455" t="s">
        <v>628</v>
      </c>
      <c r="F455">
        <v>421</v>
      </c>
      <c r="G455">
        <v>30970</v>
      </c>
      <c r="H455">
        <v>13038370</v>
      </c>
      <c r="I455" t="s">
        <v>662</v>
      </c>
      <c r="J455" t="s">
        <v>673</v>
      </c>
      <c r="K455" t="s">
        <v>675</v>
      </c>
      <c r="L455" t="s">
        <v>682</v>
      </c>
      <c r="M455" t="s">
        <v>685</v>
      </c>
      <c r="N455" t="s">
        <v>689</v>
      </c>
      <c r="O455" t="s">
        <v>693</v>
      </c>
      <c r="P455">
        <v>13038370</v>
      </c>
      <c r="Q455">
        <v>0</v>
      </c>
      <c r="R455">
        <v>8.3699999999999992</v>
      </c>
      <c r="S455" t="s">
        <v>932</v>
      </c>
      <c r="T455" t="s">
        <v>986</v>
      </c>
      <c r="U455">
        <v>2024</v>
      </c>
      <c r="V455" t="s">
        <v>995</v>
      </c>
      <c r="W455" t="s">
        <v>999</v>
      </c>
      <c r="X455" t="s">
        <v>1000</v>
      </c>
      <c r="Y455">
        <v>3</v>
      </c>
      <c r="Z455">
        <v>16</v>
      </c>
    </row>
    <row r="456" spans="1:26" x14ac:dyDescent="0.3">
      <c r="A456" t="s">
        <v>480</v>
      </c>
      <c r="B456" t="s">
        <v>565</v>
      </c>
      <c r="C456" t="s">
        <v>627</v>
      </c>
      <c r="D456">
        <v>62</v>
      </c>
      <c r="E456" t="s">
        <v>628</v>
      </c>
      <c r="F456">
        <v>631</v>
      </c>
      <c r="G456">
        <v>3831</v>
      </c>
      <c r="H456">
        <v>2417361</v>
      </c>
      <c r="I456" t="s">
        <v>649</v>
      </c>
      <c r="J456" t="s">
        <v>669</v>
      </c>
      <c r="K456" t="s">
        <v>664</v>
      </c>
      <c r="L456" t="s">
        <v>682</v>
      </c>
      <c r="M456" t="s">
        <v>683</v>
      </c>
      <c r="N456" t="s">
        <v>689</v>
      </c>
      <c r="O456" t="s">
        <v>693</v>
      </c>
      <c r="P456">
        <v>2417361</v>
      </c>
      <c r="Q456">
        <v>0</v>
      </c>
      <c r="R456">
        <v>3.37</v>
      </c>
      <c r="S456" t="s">
        <v>859</v>
      </c>
      <c r="T456" t="s">
        <v>990</v>
      </c>
      <c r="U456">
        <v>2024</v>
      </c>
      <c r="V456" t="s">
        <v>995</v>
      </c>
      <c r="W456" t="s">
        <v>997</v>
      </c>
      <c r="X456" t="s">
        <v>1000</v>
      </c>
      <c r="Y456">
        <v>3</v>
      </c>
      <c r="Z456">
        <v>21</v>
      </c>
    </row>
    <row r="457" spans="1:26" x14ac:dyDescent="0.3">
      <c r="A457" t="s">
        <v>481</v>
      </c>
      <c r="B457" t="s">
        <v>581</v>
      </c>
      <c r="C457" t="s">
        <v>627</v>
      </c>
      <c r="D457">
        <v>45</v>
      </c>
      <c r="E457" t="s">
        <v>629</v>
      </c>
      <c r="F457">
        <v>839</v>
      </c>
      <c r="G457">
        <v>15573</v>
      </c>
      <c r="H457">
        <v>13065747</v>
      </c>
      <c r="I457" t="s">
        <v>655</v>
      </c>
      <c r="J457" t="s">
        <v>672</v>
      </c>
      <c r="K457" t="s">
        <v>679</v>
      </c>
      <c r="L457" t="s">
        <v>681</v>
      </c>
      <c r="M457" t="s">
        <v>685</v>
      </c>
      <c r="N457" t="s">
        <v>691</v>
      </c>
      <c r="O457" t="s">
        <v>694</v>
      </c>
      <c r="P457">
        <v>3086668</v>
      </c>
      <c r="Q457">
        <v>24</v>
      </c>
      <c r="R457">
        <v>2.14</v>
      </c>
      <c r="S457" t="s">
        <v>892</v>
      </c>
      <c r="T457" t="s">
        <v>991</v>
      </c>
      <c r="U457">
        <v>2024</v>
      </c>
      <c r="V457" t="s">
        <v>996</v>
      </c>
      <c r="W457" t="s">
        <v>998</v>
      </c>
      <c r="X457" t="s">
        <v>1000</v>
      </c>
      <c r="Y457">
        <v>1</v>
      </c>
      <c r="Z457">
        <v>43</v>
      </c>
    </row>
    <row r="458" spans="1:26" x14ac:dyDescent="0.3">
      <c r="A458" t="s">
        <v>482</v>
      </c>
      <c r="B458" t="s">
        <v>566</v>
      </c>
      <c r="C458" t="s">
        <v>626</v>
      </c>
      <c r="D458">
        <v>26</v>
      </c>
      <c r="E458" t="s">
        <v>629</v>
      </c>
      <c r="F458">
        <v>577</v>
      </c>
      <c r="G458">
        <v>4879</v>
      </c>
      <c r="H458">
        <v>2815183</v>
      </c>
      <c r="I458" t="s">
        <v>636</v>
      </c>
      <c r="J458" t="s">
        <v>671</v>
      </c>
      <c r="K458" t="s">
        <v>674</v>
      </c>
      <c r="L458" t="s">
        <v>682</v>
      </c>
      <c r="M458" t="s">
        <v>686</v>
      </c>
      <c r="N458" t="s">
        <v>688</v>
      </c>
      <c r="O458" t="s">
        <v>693</v>
      </c>
      <c r="P458">
        <v>2815183</v>
      </c>
      <c r="Q458">
        <v>0</v>
      </c>
      <c r="R458">
        <v>8.85</v>
      </c>
      <c r="S458" t="s">
        <v>867</v>
      </c>
      <c r="T458" t="s">
        <v>991</v>
      </c>
      <c r="U458">
        <v>2024</v>
      </c>
      <c r="V458" t="s">
        <v>994</v>
      </c>
      <c r="W458" t="s">
        <v>999</v>
      </c>
      <c r="X458" t="s">
        <v>1001</v>
      </c>
      <c r="Y458">
        <v>3</v>
      </c>
      <c r="Z458">
        <v>41</v>
      </c>
    </row>
    <row r="459" spans="1:26" x14ac:dyDescent="0.3">
      <c r="A459" t="s">
        <v>483</v>
      </c>
      <c r="B459" t="s">
        <v>545</v>
      </c>
      <c r="C459" t="s">
        <v>627</v>
      </c>
      <c r="D459">
        <v>52</v>
      </c>
      <c r="E459" t="s">
        <v>629</v>
      </c>
      <c r="F459">
        <v>540</v>
      </c>
      <c r="G459">
        <v>13490</v>
      </c>
      <c r="H459">
        <v>7284600</v>
      </c>
      <c r="I459" t="s">
        <v>633</v>
      </c>
      <c r="J459" t="s">
        <v>668</v>
      </c>
      <c r="K459" t="s">
        <v>638</v>
      </c>
      <c r="L459" t="s">
        <v>682</v>
      </c>
      <c r="M459" t="s">
        <v>685</v>
      </c>
      <c r="N459" t="s">
        <v>688</v>
      </c>
      <c r="O459" t="s">
        <v>694</v>
      </c>
      <c r="P459">
        <v>1604463</v>
      </c>
      <c r="Q459">
        <v>24</v>
      </c>
      <c r="R459">
        <v>0.18</v>
      </c>
      <c r="S459" t="s">
        <v>906</v>
      </c>
      <c r="T459" t="s">
        <v>985</v>
      </c>
      <c r="U459">
        <v>2024</v>
      </c>
      <c r="V459" t="s">
        <v>993</v>
      </c>
      <c r="W459" t="s">
        <v>997</v>
      </c>
      <c r="X459" t="s">
        <v>1000</v>
      </c>
      <c r="Y459">
        <v>3</v>
      </c>
      <c r="Z459">
        <v>16</v>
      </c>
    </row>
    <row r="460" spans="1:26" x14ac:dyDescent="0.3">
      <c r="A460" t="s">
        <v>484</v>
      </c>
      <c r="B460" t="s">
        <v>609</v>
      </c>
      <c r="C460" t="s">
        <v>627</v>
      </c>
      <c r="D460">
        <v>44</v>
      </c>
      <c r="E460" t="s">
        <v>628</v>
      </c>
      <c r="F460">
        <v>834</v>
      </c>
      <c r="G460">
        <v>7202</v>
      </c>
      <c r="H460">
        <v>6006468</v>
      </c>
      <c r="I460" t="s">
        <v>633</v>
      </c>
      <c r="J460" t="s">
        <v>668</v>
      </c>
      <c r="K460" t="s">
        <v>679</v>
      </c>
      <c r="L460" t="s">
        <v>682</v>
      </c>
      <c r="M460" t="s">
        <v>685</v>
      </c>
      <c r="N460" t="s">
        <v>688</v>
      </c>
      <c r="O460" t="s">
        <v>693</v>
      </c>
      <c r="P460">
        <v>6006468</v>
      </c>
      <c r="Q460">
        <v>0</v>
      </c>
      <c r="R460">
        <v>1.38</v>
      </c>
      <c r="S460" t="s">
        <v>968</v>
      </c>
      <c r="T460" t="s">
        <v>986</v>
      </c>
      <c r="U460">
        <v>2024</v>
      </c>
      <c r="V460" t="s">
        <v>995</v>
      </c>
      <c r="W460" t="s">
        <v>997</v>
      </c>
      <c r="X460" t="s">
        <v>1002</v>
      </c>
      <c r="Y460">
        <v>2</v>
      </c>
      <c r="Z460">
        <v>18</v>
      </c>
    </row>
    <row r="461" spans="1:26" x14ac:dyDescent="0.3">
      <c r="A461" t="s">
        <v>485</v>
      </c>
      <c r="B461" t="s">
        <v>592</v>
      </c>
      <c r="C461" t="s">
        <v>627</v>
      </c>
      <c r="D461">
        <v>62</v>
      </c>
      <c r="E461" t="s">
        <v>628</v>
      </c>
      <c r="F461">
        <v>733</v>
      </c>
      <c r="G461">
        <v>29190</v>
      </c>
      <c r="H461">
        <v>21396270</v>
      </c>
      <c r="I461" t="s">
        <v>636</v>
      </c>
      <c r="J461" t="s">
        <v>671</v>
      </c>
      <c r="K461" t="s">
        <v>664</v>
      </c>
      <c r="L461" t="s">
        <v>682</v>
      </c>
      <c r="M461" t="s">
        <v>683</v>
      </c>
      <c r="N461" t="s">
        <v>692</v>
      </c>
      <c r="O461" t="s">
        <v>694</v>
      </c>
      <c r="P461">
        <v>5749242</v>
      </c>
      <c r="Q461">
        <v>3</v>
      </c>
      <c r="R461">
        <v>7.33</v>
      </c>
      <c r="S461" t="s">
        <v>853</v>
      </c>
      <c r="T461" t="s">
        <v>982</v>
      </c>
      <c r="U461">
        <v>2024</v>
      </c>
      <c r="V461" t="s">
        <v>995</v>
      </c>
      <c r="W461" t="s">
        <v>997</v>
      </c>
      <c r="X461" t="s">
        <v>1002</v>
      </c>
      <c r="Y461">
        <v>2</v>
      </c>
      <c r="Z461">
        <v>29</v>
      </c>
    </row>
    <row r="462" spans="1:26" x14ac:dyDescent="0.3">
      <c r="A462" t="s">
        <v>486</v>
      </c>
      <c r="B462" t="s">
        <v>613</v>
      </c>
      <c r="C462" t="s">
        <v>627</v>
      </c>
      <c r="D462">
        <v>31</v>
      </c>
      <c r="E462" t="s">
        <v>629</v>
      </c>
      <c r="F462">
        <v>703</v>
      </c>
      <c r="G462">
        <v>6586</v>
      </c>
      <c r="H462">
        <v>4629958</v>
      </c>
      <c r="I462" t="s">
        <v>631</v>
      </c>
      <c r="J462" t="s">
        <v>668</v>
      </c>
      <c r="K462" t="s">
        <v>676</v>
      </c>
      <c r="L462" t="s">
        <v>682</v>
      </c>
      <c r="M462" t="s">
        <v>683</v>
      </c>
      <c r="N462" t="s">
        <v>688</v>
      </c>
      <c r="O462" t="s">
        <v>693</v>
      </c>
      <c r="P462">
        <v>4629958</v>
      </c>
      <c r="Q462">
        <v>0</v>
      </c>
      <c r="R462">
        <v>0.52</v>
      </c>
      <c r="S462" t="s">
        <v>958</v>
      </c>
      <c r="T462" t="s">
        <v>987</v>
      </c>
      <c r="U462">
        <v>2024</v>
      </c>
      <c r="V462" t="s">
        <v>993</v>
      </c>
      <c r="W462" t="s">
        <v>998</v>
      </c>
      <c r="X462" t="s">
        <v>1001</v>
      </c>
      <c r="Y462">
        <v>4</v>
      </c>
      <c r="Z462">
        <v>20</v>
      </c>
    </row>
    <row r="463" spans="1:26" x14ac:dyDescent="0.3">
      <c r="A463" t="s">
        <v>487</v>
      </c>
      <c r="B463" t="s">
        <v>572</v>
      </c>
      <c r="C463" t="s">
        <v>626</v>
      </c>
      <c r="D463">
        <v>50</v>
      </c>
      <c r="E463" t="s">
        <v>628</v>
      </c>
      <c r="F463">
        <v>634</v>
      </c>
      <c r="G463">
        <v>13562</v>
      </c>
      <c r="H463">
        <v>8598308</v>
      </c>
      <c r="I463" t="s">
        <v>654</v>
      </c>
      <c r="J463" t="s">
        <v>669</v>
      </c>
      <c r="K463" t="s">
        <v>679</v>
      </c>
      <c r="L463" t="s">
        <v>681</v>
      </c>
      <c r="M463" t="s">
        <v>684</v>
      </c>
      <c r="N463" t="s">
        <v>691</v>
      </c>
      <c r="O463" t="s">
        <v>693</v>
      </c>
      <c r="P463">
        <v>8598308</v>
      </c>
      <c r="Q463">
        <v>0</v>
      </c>
      <c r="R463">
        <v>3.03</v>
      </c>
      <c r="S463" t="s">
        <v>893</v>
      </c>
      <c r="T463" t="s">
        <v>985</v>
      </c>
      <c r="U463">
        <v>2024</v>
      </c>
      <c r="V463" t="s">
        <v>996</v>
      </c>
      <c r="W463" t="s">
        <v>998</v>
      </c>
      <c r="X463" t="s">
        <v>1002</v>
      </c>
      <c r="Y463">
        <v>4</v>
      </c>
      <c r="Z463">
        <v>33</v>
      </c>
    </row>
    <row r="464" spans="1:26" x14ac:dyDescent="0.3">
      <c r="A464" t="s">
        <v>488</v>
      </c>
      <c r="B464" t="s">
        <v>566</v>
      </c>
      <c r="C464" t="s">
        <v>627</v>
      </c>
      <c r="D464">
        <v>55</v>
      </c>
      <c r="E464" t="s">
        <v>629</v>
      </c>
      <c r="F464">
        <v>978</v>
      </c>
      <c r="G464">
        <v>12215</v>
      </c>
      <c r="H464">
        <v>11946270</v>
      </c>
      <c r="I464" t="s">
        <v>655</v>
      </c>
      <c r="J464" t="s">
        <v>672</v>
      </c>
      <c r="K464" t="s">
        <v>640</v>
      </c>
      <c r="L464" t="s">
        <v>680</v>
      </c>
      <c r="M464" t="s">
        <v>687</v>
      </c>
      <c r="N464" t="s">
        <v>691</v>
      </c>
      <c r="O464" t="s">
        <v>694</v>
      </c>
      <c r="P464">
        <v>5119918</v>
      </c>
      <c r="Q464">
        <v>3</v>
      </c>
      <c r="R464">
        <v>4.2699999999999996</v>
      </c>
      <c r="S464" t="s">
        <v>969</v>
      </c>
      <c r="T464" t="s">
        <v>981</v>
      </c>
      <c r="U464">
        <v>2024</v>
      </c>
      <c r="V464" t="s">
        <v>995</v>
      </c>
      <c r="W464" t="s">
        <v>998</v>
      </c>
      <c r="X464" t="s">
        <v>1002</v>
      </c>
      <c r="Y464">
        <v>3</v>
      </c>
      <c r="Z464">
        <v>25</v>
      </c>
    </row>
    <row r="465" spans="1:26" x14ac:dyDescent="0.3">
      <c r="A465" t="s">
        <v>489</v>
      </c>
      <c r="B465" t="s">
        <v>590</v>
      </c>
      <c r="C465" t="s">
        <v>627</v>
      </c>
      <c r="D465">
        <v>20</v>
      </c>
      <c r="E465" t="s">
        <v>629</v>
      </c>
      <c r="F465">
        <v>273</v>
      </c>
      <c r="G465">
        <v>23838</v>
      </c>
      <c r="H465">
        <v>6507774</v>
      </c>
      <c r="I465" t="s">
        <v>665</v>
      </c>
      <c r="J465" t="s">
        <v>672</v>
      </c>
      <c r="K465" t="s">
        <v>678</v>
      </c>
      <c r="L465" t="s">
        <v>682</v>
      </c>
      <c r="M465" t="s">
        <v>687</v>
      </c>
      <c r="N465" t="s">
        <v>691</v>
      </c>
      <c r="O465" t="s">
        <v>693</v>
      </c>
      <c r="P465">
        <v>6507774</v>
      </c>
      <c r="Q465">
        <v>0</v>
      </c>
      <c r="R465">
        <v>7.15</v>
      </c>
      <c r="S465" t="s">
        <v>970</v>
      </c>
      <c r="T465" t="s">
        <v>990</v>
      </c>
      <c r="U465">
        <v>2024</v>
      </c>
      <c r="V465" t="s">
        <v>995</v>
      </c>
      <c r="W465" t="s">
        <v>998</v>
      </c>
      <c r="X465" t="s">
        <v>1002</v>
      </c>
      <c r="Y465">
        <v>3</v>
      </c>
      <c r="Z465">
        <v>25</v>
      </c>
    </row>
    <row r="466" spans="1:26" x14ac:dyDescent="0.3">
      <c r="A466" t="s">
        <v>490</v>
      </c>
      <c r="B466" t="s">
        <v>577</v>
      </c>
      <c r="C466" t="s">
        <v>627</v>
      </c>
      <c r="D466">
        <v>32</v>
      </c>
      <c r="E466" t="s">
        <v>630</v>
      </c>
      <c r="F466">
        <v>272</v>
      </c>
      <c r="G466">
        <v>28790</v>
      </c>
      <c r="H466">
        <v>7830880</v>
      </c>
      <c r="I466" t="s">
        <v>645</v>
      </c>
      <c r="J466" t="s">
        <v>670</v>
      </c>
      <c r="K466" t="s">
        <v>674</v>
      </c>
      <c r="L466" t="s">
        <v>681</v>
      </c>
      <c r="M466" t="s">
        <v>687</v>
      </c>
      <c r="N466" t="s">
        <v>692</v>
      </c>
      <c r="O466" t="s">
        <v>693</v>
      </c>
      <c r="P466">
        <v>7830880</v>
      </c>
      <c r="Q466">
        <v>0</v>
      </c>
      <c r="R466">
        <v>9.92</v>
      </c>
      <c r="S466" t="s">
        <v>907</v>
      </c>
      <c r="T466" t="s">
        <v>987</v>
      </c>
      <c r="U466">
        <v>2024</v>
      </c>
      <c r="V466" t="s">
        <v>995</v>
      </c>
      <c r="W466" t="s">
        <v>997</v>
      </c>
      <c r="X466" t="s">
        <v>1001</v>
      </c>
      <c r="Y466">
        <v>3</v>
      </c>
      <c r="Z466">
        <v>45</v>
      </c>
    </row>
    <row r="467" spans="1:26" x14ac:dyDescent="0.3">
      <c r="A467" t="s">
        <v>491</v>
      </c>
      <c r="B467" t="s">
        <v>606</v>
      </c>
      <c r="C467" t="s">
        <v>626</v>
      </c>
      <c r="D467">
        <v>58</v>
      </c>
      <c r="E467" t="s">
        <v>630</v>
      </c>
      <c r="F467">
        <v>634</v>
      </c>
      <c r="G467">
        <v>18173</v>
      </c>
      <c r="H467">
        <v>11521682</v>
      </c>
      <c r="I467" t="s">
        <v>662</v>
      </c>
      <c r="J467" t="s">
        <v>673</v>
      </c>
      <c r="K467" t="s">
        <v>640</v>
      </c>
      <c r="L467" t="s">
        <v>682</v>
      </c>
      <c r="M467" t="s">
        <v>683</v>
      </c>
      <c r="N467" t="s">
        <v>690</v>
      </c>
      <c r="O467" t="s">
        <v>693</v>
      </c>
      <c r="P467">
        <v>11521682</v>
      </c>
      <c r="Q467">
        <v>0</v>
      </c>
      <c r="R467">
        <v>4.78</v>
      </c>
      <c r="S467" t="s">
        <v>749</v>
      </c>
      <c r="T467" t="s">
        <v>991</v>
      </c>
      <c r="U467">
        <v>2024</v>
      </c>
      <c r="V467" t="s">
        <v>996</v>
      </c>
      <c r="W467" t="s">
        <v>997</v>
      </c>
      <c r="X467" t="s">
        <v>1001</v>
      </c>
      <c r="Y467">
        <v>2</v>
      </c>
      <c r="Z467">
        <v>1</v>
      </c>
    </row>
    <row r="468" spans="1:26" x14ac:dyDescent="0.3">
      <c r="A468" t="s">
        <v>492</v>
      </c>
      <c r="B468" t="s">
        <v>564</v>
      </c>
      <c r="C468" t="s">
        <v>626</v>
      </c>
      <c r="D468">
        <v>36</v>
      </c>
      <c r="E468" t="s">
        <v>629</v>
      </c>
      <c r="F468">
        <v>607</v>
      </c>
      <c r="G468">
        <v>48272</v>
      </c>
      <c r="H468">
        <v>29301104</v>
      </c>
      <c r="I468" t="s">
        <v>664</v>
      </c>
      <c r="J468" t="s">
        <v>673</v>
      </c>
      <c r="K468" t="s">
        <v>640</v>
      </c>
      <c r="L468" t="s">
        <v>681</v>
      </c>
      <c r="M468" t="s">
        <v>686</v>
      </c>
      <c r="N468" t="s">
        <v>692</v>
      </c>
      <c r="O468" t="s">
        <v>693</v>
      </c>
      <c r="P468">
        <v>29301104</v>
      </c>
      <c r="Q468">
        <v>0</v>
      </c>
      <c r="R468">
        <v>5.19</v>
      </c>
      <c r="S468" t="s">
        <v>967</v>
      </c>
      <c r="T468" t="s">
        <v>990</v>
      </c>
      <c r="U468">
        <v>2024</v>
      </c>
      <c r="V468" t="s">
        <v>995</v>
      </c>
      <c r="W468" t="s">
        <v>997</v>
      </c>
      <c r="X468" t="s">
        <v>1002</v>
      </c>
      <c r="Y468">
        <v>4</v>
      </c>
      <c r="Z468">
        <v>49</v>
      </c>
    </row>
    <row r="469" spans="1:26" x14ac:dyDescent="0.3">
      <c r="A469" t="s">
        <v>493</v>
      </c>
      <c r="B469" t="s">
        <v>584</v>
      </c>
      <c r="C469" t="s">
        <v>627</v>
      </c>
      <c r="D469">
        <v>51</v>
      </c>
      <c r="E469" t="s">
        <v>628</v>
      </c>
      <c r="F469">
        <v>851</v>
      </c>
      <c r="G469">
        <v>39526</v>
      </c>
      <c r="H469">
        <v>33636626</v>
      </c>
      <c r="I469" t="s">
        <v>631</v>
      </c>
      <c r="J469" t="s">
        <v>668</v>
      </c>
      <c r="K469" t="s">
        <v>676</v>
      </c>
      <c r="L469" t="s">
        <v>680</v>
      </c>
      <c r="M469" t="s">
        <v>685</v>
      </c>
      <c r="N469" t="s">
        <v>691</v>
      </c>
      <c r="O469" t="s">
        <v>694</v>
      </c>
      <c r="P469">
        <v>9442016</v>
      </c>
      <c r="Q469">
        <v>6</v>
      </c>
      <c r="R469">
        <v>2.1</v>
      </c>
      <c r="S469" t="s">
        <v>774</v>
      </c>
      <c r="T469" t="s">
        <v>991</v>
      </c>
      <c r="U469">
        <v>2024</v>
      </c>
      <c r="V469" t="s">
        <v>995</v>
      </c>
      <c r="W469" t="s">
        <v>997</v>
      </c>
      <c r="X469" t="s">
        <v>1002</v>
      </c>
      <c r="Y469">
        <v>4</v>
      </c>
      <c r="Z469">
        <v>11</v>
      </c>
    </row>
    <row r="470" spans="1:26" x14ac:dyDescent="0.3">
      <c r="A470" t="s">
        <v>494</v>
      </c>
      <c r="B470" t="s">
        <v>589</v>
      </c>
      <c r="C470" t="s">
        <v>627</v>
      </c>
      <c r="D470">
        <v>31</v>
      </c>
      <c r="E470" t="s">
        <v>628</v>
      </c>
      <c r="F470">
        <v>920</v>
      </c>
      <c r="G470">
        <v>10803</v>
      </c>
      <c r="H470">
        <v>9938760</v>
      </c>
      <c r="I470" t="s">
        <v>651</v>
      </c>
      <c r="J470" t="s">
        <v>669</v>
      </c>
      <c r="K470" t="s">
        <v>638</v>
      </c>
      <c r="L470" t="s">
        <v>680</v>
      </c>
      <c r="M470" t="s">
        <v>683</v>
      </c>
      <c r="N470" t="s">
        <v>688</v>
      </c>
      <c r="O470" t="s">
        <v>693</v>
      </c>
      <c r="P470">
        <v>9938760</v>
      </c>
      <c r="Q470">
        <v>0</v>
      </c>
      <c r="R470">
        <v>4.8600000000000003</v>
      </c>
      <c r="S470" t="s">
        <v>872</v>
      </c>
      <c r="T470" t="s">
        <v>986</v>
      </c>
      <c r="U470">
        <v>2024</v>
      </c>
      <c r="V470" t="s">
        <v>994</v>
      </c>
      <c r="W470" t="s">
        <v>998</v>
      </c>
      <c r="X470" t="s">
        <v>1002</v>
      </c>
      <c r="Y470">
        <v>5</v>
      </c>
      <c r="Z470">
        <v>7</v>
      </c>
    </row>
    <row r="471" spans="1:26" x14ac:dyDescent="0.3">
      <c r="A471" t="s">
        <v>495</v>
      </c>
      <c r="B471" t="s">
        <v>625</v>
      </c>
      <c r="C471" t="s">
        <v>626</v>
      </c>
      <c r="D471">
        <v>63</v>
      </c>
      <c r="E471" t="s">
        <v>628</v>
      </c>
      <c r="F471">
        <v>500</v>
      </c>
      <c r="G471">
        <v>7616</v>
      </c>
      <c r="H471">
        <v>3808000</v>
      </c>
      <c r="I471" t="s">
        <v>653</v>
      </c>
      <c r="J471" t="s">
        <v>668</v>
      </c>
      <c r="K471" t="s">
        <v>676</v>
      </c>
      <c r="L471" t="s">
        <v>680</v>
      </c>
      <c r="M471" t="s">
        <v>685</v>
      </c>
      <c r="N471" t="s">
        <v>690</v>
      </c>
      <c r="O471" t="s">
        <v>694</v>
      </c>
      <c r="P471">
        <v>1077773</v>
      </c>
      <c r="Q471">
        <v>3</v>
      </c>
      <c r="R471">
        <v>3.42</v>
      </c>
      <c r="S471" t="s">
        <v>906</v>
      </c>
      <c r="T471" t="s">
        <v>985</v>
      </c>
      <c r="U471">
        <v>2024</v>
      </c>
      <c r="V471" t="s">
        <v>993</v>
      </c>
      <c r="W471" t="s">
        <v>997</v>
      </c>
      <c r="X471" t="s">
        <v>1001</v>
      </c>
      <c r="Y471">
        <v>1</v>
      </c>
      <c r="Z471">
        <v>7</v>
      </c>
    </row>
    <row r="472" spans="1:26" x14ac:dyDescent="0.3">
      <c r="A472" t="s">
        <v>496</v>
      </c>
      <c r="B472" t="s">
        <v>553</v>
      </c>
      <c r="C472" t="s">
        <v>626</v>
      </c>
      <c r="D472">
        <v>40</v>
      </c>
      <c r="E472" t="s">
        <v>628</v>
      </c>
      <c r="F472">
        <v>584</v>
      </c>
      <c r="G472">
        <v>41517</v>
      </c>
      <c r="H472">
        <v>24245928</v>
      </c>
      <c r="I472" t="s">
        <v>656</v>
      </c>
      <c r="J472" t="s">
        <v>669</v>
      </c>
      <c r="K472" t="s">
        <v>664</v>
      </c>
      <c r="L472" t="s">
        <v>681</v>
      </c>
      <c r="M472" t="s">
        <v>684</v>
      </c>
      <c r="N472" t="s">
        <v>691</v>
      </c>
      <c r="O472" t="s">
        <v>694</v>
      </c>
      <c r="P472">
        <v>8291369</v>
      </c>
      <c r="Q472">
        <v>24</v>
      </c>
      <c r="R472">
        <v>3.37</v>
      </c>
      <c r="S472" t="s">
        <v>971</v>
      </c>
      <c r="T472" t="s">
        <v>989</v>
      </c>
      <c r="U472">
        <v>2024</v>
      </c>
      <c r="V472" t="s">
        <v>993</v>
      </c>
      <c r="W472" t="s">
        <v>998</v>
      </c>
      <c r="X472" t="s">
        <v>1002</v>
      </c>
      <c r="Y472">
        <v>1</v>
      </c>
      <c r="Z472">
        <v>1</v>
      </c>
    </row>
    <row r="473" spans="1:26" x14ac:dyDescent="0.3">
      <c r="A473" t="s">
        <v>497</v>
      </c>
      <c r="B473" t="s">
        <v>609</v>
      </c>
      <c r="C473" t="s">
        <v>626</v>
      </c>
      <c r="D473">
        <v>48</v>
      </c>
      <c r="E473" t="s">
        <v>629</v>
      </c>
      <c r="F473">
        <v>942</v>
      </c>
      <c r="G473">
        <v>11100</v>
      </c>
      <c r="H473">
        <v>10456200</v>
      </c>
      <c r="I473" t="s">
        <v>658</v>
      </c>
      <c r="J473" t="s">
        <v>670</v>
      </c>
      <c r="K473" t="s">
        <v>640</v>
      </c>
      <c r="L473" t="s">
        <v>682</v>
      </c>
      <c r="M473" t="s">
        <v>684</v>
      </c>
      <c r="N473" t="s">
        <v>692</v>
      </c>
      <c r="O473" t="s">
        <v>693</v>
      </c>
      <c r="P473">
        <v>10456200</v>
      </c>
      <c r="Q473">
        <v>0</v>
      </c>
      <c r="R473">
        <v>6.02</v>
      </c>
      <c r="S473" t="s">
        <v>868</v>
      </c>
      <c r="T473" t="s">
        <v>986</v>
      </c>
      <c r="U473">
        <v>2024</v>
      </c>
      <c r="V473" t="s">
        <v>995</v>
      </c>
      <c r="W473" t="s">
        <v>997</v>
      </c>
      <c r="X473" t="s">
        <v>1000</v>
      </c>
      <c r="Y473">
        <v>1</v>
      </c>
      <c r="Z473">
        <v>41</v>
      </c>
    </row>
    <row r="474" spans="1:26" x14ac:dyDescent="0.3">
      <c r="A474" t="s">
        <v>498</v>
      </c>
      <c r="B474" t="s">
        <v>571</v>
      </c>
      <c r="C474" t="s">
        <v>626</v>
      </c>
      <c r="D474">
        <v>50</v>
      </c>
      <c r="E474" t="s">
        <v>629</v>
      </c>
      <c r="F474">
        <v>246</v>
      </c>
      <c r="G474">
        <v>23333</v>
      </c>
      <c r="H474">
        <v>5739918</v>
      </c>
      <c r="I474" t="s">
        <v>643</v>
      </c>
      <c r="J474" t="s">
        <v>671</v>
      </c>
      <c r="K474" t="s">
        <v>651</v>
      </c>
      <c r="L474" t="s">
        <v>682</v>
      </c>
      <c r="M474" t="s">
        <v>685</v>
      </c>
      <c r="N474" t="s">
        <v>691</v>
      </c>
      <c r="O474" t="s">
        <v>694</v>
      </c>
      <c r="P474">
        <v>2192815</v>
      </c>
      <c r="Q474">
        <v>6</v>
      </c>
      <c r="R474">
        <v>4</v>
      </c>
      <c r="S474" t="s">
        <v>778</v>
      </c>
      <c r="T474" t="s">
        <v>983</v>
      </c>
      <c r="U474">
        <v>2024</v>
      </c>
      <c r="V474" t="s">
        <v>994</v>
      </c>
      <c r="W474" t="s">
        <v>997</v>
      </c>
      <c r="X474" t="s">
        <v>1000</v>
      </c>
      <c r="Y474">
        <v>2</v>
      </c>
      <c r="Z474">
        <v>34</v>
      </c>
    </row>
    <row r="475" spans="1:26" x14ac:dyDescent="0.3">
      <c r="A475" t="s">
        <v>499</v>
      </c>
      <c r="B475" t="s">
        <v>587</v>
      </c>
      <c r="C475" t="s">
        <v>626</v>
      </c>
      <c r="D475">
        <v>27</v>
      </c>
      <c r="E475" t="s">
        <v>630</v>
      </c>
      <c r="F475">
        <v>232</v>
      </c>
      <c r="G475">
        <v>10379</v>
      </c>
      <c r="H475">
        <v>2407928</v>
      </c>
      <c r="I475" t="s">
        <v>652</v>
      </c>
      <c r="J475" t="s">
        <v>672</v>
      </c>
      <c r="K475" t="s">
        <v>675</v>
      </c>
      <c r="L475" t="s">
        <v>682</v>
      </c>
      <c r="M475" t="s">
        <v>686</v>
      </c>
      <c r="N475" t="s">
        <v>688</v>
      </c>
      <c r="O475" t="s">
        <v>694</v>
      </c>
      <c r="P475">
        <v>699273</v>
      </c>
      <c r="Q475">
        <v>3</v>
      </c>
      <c r="R475">
        <v>6.73</v>
      </c>
      <c r="S475" t="s">
        <v>937</v>
      </c>
      <c r="T475" t="s">
        <v>985</v>
      </c>
      <c r="U475">
        <v>2024</v>
      </c>
      <c r="V475" t="s">
        <v>996</v>
      </c>
      <c r="W475" t="s">
        <v>999</v>
      </c>
      <c r="X475" t="s">
        <v>1000</v>
      </c>
      <c r="Y475">
        <v>1</v>
      </c>
      <c r="Z475">
        <v>7</v>
      </c>
    </row>
    <row r="476" spans="1:26" x14ac:dyDescent="0.3">
      <c r="A476" t="s">
        <v>500</v>
      </c>
      <c r="B476" t="s">
        <v>556</v>
      </c>
      <c r="C476" t="s">
        <v>626</v>
      </c>
      <c r="D476">
        <v>25</v>
      </c>
      <c r="E476" t="s">
        <v>629</v>
      </c>
      <c r="F476">
        <v>364</v>
      </c>
      <c r="G476">
        <v>23397</v>
      </c>
      <c r="H476">
        <v>8516508</v>
      </c>
      <c r="I476" t="s">
        <v>634</v>
      </c>
      <c r="J476" t="s">
        <v>670</v>
      </c>
      <c r="K476" t="s">
        <v>664</v>
      </c>
      <c r="L476" t="s">
        <v>681</v>
      </c>
      <c r="M476" t="s">
        <v>683</v>
      </c>
      <c r="N476" t="s">
        <v>692</v>
      </c>
      <c r="O476" t="s">
        <v>694</v>
      </c>
      <c r="P476">
        <v>2266352</v>
      </c>
      <c r="Q476">
        <v>12</v>
      </c>
      <c r="R476">
        <v>2.58</v>
      </c>
      <c r="S476" t="s">
        <v>915</v>
      </c>
      <c r="T476" t="s">
        <v>989</v>
      </c>
      <c r="U476">
        <v>2024</v>
      </c>
      <c r="V476" t="s">
        <v>993</v>
      </c>
      <c r="W476" t="s">
        <v>997</v>
      </c>
      <c r="X476" t="s">
        <v>1002</v>
      </c>
      <c r="Y476">
        <v>4</v>
      </c>
      <c r="Z476">
        <v>46</v>
      </c>
    </row>
    <row r="477" spans="1:26" x14ac:dyDescent="0.3">
      <c r="A477" t="s">
        <v>501</v>
      </c>
      <c r="B477" t="s">
        <v>569</v>
      </c>
      <c r="C477" t="s">
        <v>626</v>
      </c>
      <c r="D477">
        <v>57</v>
      </c>
      <c r="E477" t="s">
        <v>628</v>
      </c>
      <c r="F477">
        <v>869</v>
      </c>
      <c r="G477">
        <v>44080</v>
      </c>
      <c r="H477">
        <v>38305520</v>
      </c>
      <c r="I477" t="s">
        <v>659</v>
      </c>
      <c r="J477" t="s">
        <v>668</v>
      </c>
      <c r="K477" t="s">
        <v>640</v>
      </c>
      <c r="L477" t="s">
        <v>682</v>
      </c>
      <c r="M477" t="s">
        <v>685</v>
      </c>
      <c r="N477" t="s">
        <v>692</v>
      </c>
      <c r="O477" t="s">
        <v>694</v>
      </c>
      <c r="P477">
        <v>10230073</v>
      </c>
      <c r="Q477">
        <v>6</v>
      </c>
      <c r="R477">
        <v>1.1599999999999999</v>
      </c>
      <c r="S477" t="s">
        <v>726</v>
      </c>
      <c r="T477" t="s">
        <v>981</v>
      </c>
      <c r="U477">
        <v>2024</v>
      </c>
      <c r="V477" t="s">
        <v>994</v>
      </c>
      <c r="W477" t="s">
        <v>999</v>
      </c>
      <c r="X477" t="s">
        <v>1002</v>
      </c>
      <c r="Y477">
        <v>4</v>
      </c>
      <c r="Z477">
        <v>37</v>
      </c>
    </row>
    <row r="478" spans="1:26" x14ac:dyDescent="0.3">
      <c r="A478" t="s">
        <v>502</v>
      </c>
      <c r="B478" t="s">
        <v>553</v>
      </c>
      <c r="C478" t="s">
        <v>627</v>
      </c>
      <c r="D478">
        <v>53</v>
      </c>
      <c r="E478" t="s">
        <v>629</v>
      </c>
      <c r="F478">
        <v>263</v>
      </c>
      <c r="G478">
        <v>40670</v>
      </c>
      <c r="H478">
        <v>10696210</v>
      </c>
      <c r="I478" t="s">
        <v>631</v>
      </c>
      <c r="J478" t="s">
        <v>668</v>
      </c>
      <c r="K478" t="s">
        <v>677</v>
      </c>
      <c r="L478" t="s">
        <v>682</v>
      </c>
      <c r="M478" t="s">
        <v>686</v>
      </c>
      <c r="N478" t="s">
        <v>688</v>
      </c>
      <c r="O478" t="s">
        <v>693</v>
      </c>
      <c r="P478">
        <v>10696210</v>
      </c>
      <c r="Q478">
        <v>0</v>
      </c>
      <c r="R478">
        <v>8.4700000000000006</v>
      </c>
      <c r="S478" t="s">
        <v>807</v>
      </c>
      <c r="T478" t="s">
        <v>989</v>
      </c>
      <c r="U478">
        <v>2024</v>
      </c>
      <c r="V478" t="s">
        <v>993</v>
      </c>
      <c r="W478" t="s">
        <v>998</v>
      </c>
      <c r="X478" t="s">
        <v>1000</v>
      </c>
      <c r="Y478">
        <v>5</v>
      </c>
      <c r="Z478">
        <v>30</v>
      </c>
    </row>
    <row r="479" spans="1:26" x14ac:dyDescent="0.3">
      <c r="A479" t="s">
        <v>503</v>
      </c>
      <c r="B479" t="s">
        <v>582</v>
      </c>
      <c r="C479" t="s">
        <v>626</v>
      </c>
      <c r="D479">
        <v>39</v>
      </c>
      <c r="E479" t="s">
        <v>629</v>
      </c>
      <c r="F479">
        <v>424</v>
      </c>
      <c r="G479">
        <v>34757</v>
      </c>
      <c r="H479">
        <v>14736968</v>
      </c>
      <c r="I479" t="s">
        <v>648</v>
      </c>
      <c r="J479" t="s">
        <v>671</v>
      </c>
      <c r="K479" t="s">
        <v>677</v>
      </c>
      <c r="L479" t="s">
        <v>682</v>
      </c>
      <c r="M479" t="s">
        <v>685</v>
      </c>
      <c r="N479" t="s">
        <v>690</v>
      </c>
      <c r="O479" t="s">
        <v>694</v>
      </c>
      <c r="P479">
        <v>5606527</v>
      </c>
      <c r="Q479">
        <v>6</v>
      </c>
      <c r="R479">
        <v>1.46</v>
      </c>
      <c r="S479" t="s">
        <v>972</v>
      </c>
      <c r="T479" t="s">
        <v>984</v>
      </c>
      <c r="U479">
        <v>2024</v>
      </c>
      <c r="V479" t="s">
        <v>995</v>
      </c>
      <c r="W479" t="s">
        <v>997</v>
      </c>
      <c r="X479" t="s">
        <v>1000</v>
      </c>
      <c r="Y479">
        <v>4</v>
      </c>
      <c r="Z479">
        <v>19</v>
      </c>
    </row>
    <row r="480" spans="1:26" x14ac:dyDescent="0.3">
      <c r="A480" t="s">
        <v>504</v>
      </c>
      <c r="B480" t="s">
        <v>606</v>
      </c>
      <c r="C480" t="s">
        <v>626</v>
      </c>
      <c r="D480">
        <v>45</v>
      </c>
      <c r="E480" t="s">
        <v>630</v>
      </c>
      <c r="F480">
        <v>541</v>
      </c>
      <c r="G480">
        <v>12007</v>
      </c>
      <c r="H480">
        <v>6495787</v>
      </c>
      <c r="I480" t="s">
        <v>633</v>
      </c>
      <c r="J480" t="s">
        <v>668</v>
      </c>
      <c r="K480" t="s">
        <v>664</v>
      </c>
      <c r="L480" t="s">
        <v>682</v>
      </c>
      <c r="M480" t="s">
        <v>683</v>
      </c>
      <c r="N480" t="s">
        <v>689</v>
      </c>
      <c r="O480" t="s">
        <v>693</v>
      </c>
      <c r="P480">
        <v>6495787</v>
      </c>
      <c r="Q480">
        <v>0</v>
      </c>
      <c r="R480">
        <v>8.48</v>
      </c>
      <c r="S480" t="s">
        <v>935</v>
      </c>
      <c r="T480" t="s">
        <v>990</v>
      </c>
      <c r="U480">
        <v>2024</v>
      </c>
      <c r="V480" t="s">
        <v>995</v>
      </c>
      <c r="W480" t="s">
        <v>998</v>
      </c>
      <c r="X480" t="s">
        <v>1002</v>
      </c>
      <c r="Y480">
        <v>4</v>
      </c>
      <c r="Z480">
        <v>23</v>
      </c>
    </row>
    <row r="481" spans="1:26" x14ac:dyDescent="0.3">
      <c r="A481" t="s">
        <v>505</v>
      </c>
      <c r="B481" t="s">
        <v>611</v>
      </c>
      <c r="C481" t="s">
        <v>627</v>
      </c>
      <c r="D481">
        <v>40</v>
      </c>
      <c r="E481" t="s">
        <v>629</v>
      </c>
      <c r="F481">
        <v>740</v>
      </c>
      <c r="G481">
        <v>49628</v>
      </c>
      <c r="H481">
        <v>36724720</v>
      </c>
      <c r="I481" t="s">
        <v>666</v>
      </c>
      <c r="J481" t="s">
        <v>670</v>
      </c>
      <c r="K481" t="s">
        <v>676</v>
      </c>
      <c r="L481" t="s">
        <v>680</v>
      </c>
      <c r="M481" t="s">
        <v>687</v>
      </c>
      <c r="N481" t="s">
        <v>691</v>
      </c>
      <c r="O481" t="s">
        <v>694</v>
      </c>
      <c r="P481">
        <v>15017212</v>
      </c>
      <c r="Q481">
        <v>12</v>
      </c>
      <c r="R481">
        <v>1.95</v>
      </c>
      <c r="S481" t="s">
        <v>937</v>
      </c>
      <c r="T481" t="s">
        <v>985</v>
      </c>
      <c r="U481">
        <v>2024</v>
      </c>
      <c r="V481" t="s">
        <v>996</v>
      </c>
      <c r="W481" t="s">
        <v>997</v>
      </c>
      <c r="X481" t="s">
        <v>1000</v>
      </c>
      <c r="Y481">
        <v>4</v>
      </c>
      <c r="Z481">
        <v>45</v>
      </c>
    </row>
    <row r="482" spans="1:26" x14ac:dyDescent="0.3">
      <c r="A482" t="s">
        <v>506</v>
      </c>
      <c r="B482" t="s">
        <v>598</v>
      </c>
      <c r="C482" t="s">
        <v>627</v>
      </c>
      <c r="D482">
        <v>63</v>
      </c>
      <c r="E482" t="s">
        <v>628</v>
      </c>
      <c r="F482">
        <v>414</v>
      </c>
      <c r="G482">
        <v>16295</v>
      </c>
      <c r="H482">
        <v>6746130</v>
      </c>
      <c r="I482" t="s">
        <v>645</v>
      </c>
      <c r="J482" t="s">
        <v>670</v>
      </c>
      <c r="K482" t="s">
        <v>638</v>
      </c>
      <c r="L482" t="s">
        <v>681</v>
      </c>
      <c r="M482" t="s">
        <v>684</v>
      </c>
      <c r="N482" t="s">
        <v>688</v>
      </c>
      <c r="O482" t="s">
        <v>693</v>
      </c>
      <c r="P482">
        <v>6746130</v>
      </c>
      <c r="Q482">
        <v>0</v>
      </c>
      <c r="R482">
        <v>7.35</v>
      </c>
      <c r="S482" t="s">
        <v>973</v>
      </c>
      <c r="T482" t="s">
        <v>988</v>
      </c>
      <c r="U482">
        <v>2024</v>
      </c>
      <c r="V482" t="s">
        <v>993</v>
      </c>
      <c r="W482" t="s">
        <v>999</v>
      </c>
      <c r="X482" t="s">
        <v>1002</v>
      </c>
      <c r="Y482">
        <v>4</v>
      </c>
      <c r="Z482">
        <v>12</v>
      </c>
    </row>
    <row r="483" spans="1:26" x14ac:dyDescent="0.3">
      <c r="A483" t="s">
        <v>507</v>
      </c>
      <c r="B483" t="s">
        <v>565</v>
      </c>
      <c r="C483" t="s">
        <v>626</v>
      </c>
      <c r="D483">
        <v>51</v>
      </c>
      <c r="E483" t="s">
        <v>630</v>
      </c>
      <c r="F483">
        <v>865</v>
      </c>
      <c r="G483">
        <v>24183</v>
      </c>
      <c r="H483">
        <v>20918295</v>
      </c>
      <c r="I483" t="s">
        <v>664</v>
      </c>
      <c r="J483" t="s">
        <v>673</v>
      </c>
      <c r="K483" t="s">
        <v>675</v>
      </c>
      <c r="L483" t="s">
        <v>682</v>
      </c>
      <c r="M483" t="s">
        <v>686</v>
      </c>
      <c r="N483" t="s">
        <v>688</v>
      </c>
      <c r="O483" t="s">
        <v>694</v>
      </c>
      <c r="P483">
        <v>8118218</v>
      </c>
      <c r="Q483">
        <v>6</v>
      </c>
      <c r="R483">
        <v>4.04</v>
      </c>
      <c r="S483" t="s">
        <v>938</v>
      </c>
      <c r="T483" t="s">
        <v>988</v>
      </c>
      <c r="U483">
        <v>2024</v>
      </c>
      <c r="V483" t="s">
        <v>995</v>
      </c>
      <c r="W483" t="s">
        <v>997</v>
      </c>
      <c r="X483" t="s">
        <v>1001</v>
      </c>
      <c r="Y483">
        <v>1</v>
      </c>
      <c r="Z483">
        <v>50</v>
      </c>
    </row>
    <row r="484" spans="1:26" x14ac:dyDescent="0.3">
      <c r="A484" t="s">
        <v>508</v>
      </c>
      <c r="B484" t="s">
        <v>580</v>
      </c>
      <c r="C484" t="s">
        <v>627</v>
      </c>
      <c r="D484">
        <v>21</v>
      </c>
      <c r="E484" t="s">
        <v>629</v>
      </c>
      <c r="F484">
        <v>481</v>
      </c>
      <c r="G484">
        <v>43440</v>
      </c>
      <c r="H484">
        <v>20894640</v>
      </c>
      <c r="I484" t="s">
        <v>658</v>
      </c>
      <c r="J484" t="s">
        <v>670</v>
      </c>
      <c r="K484" t="s">
        <v>640</v>
      </c>
      <c r="L484" t="s">
        <v>682</v>
      </c>
      <c r="M484" t="s">
        <v>686</v>
      </c>
      <c r="N484" t="s">
        <v>691</v>
      </c>
      <c r="O484" t="s">
        <v>694</v>
      </c>
      <c r="P484">
        <v>4251657</v>
      </c>
      <c r="Q484">
        <v>12</v>
      </c>
      <c r="R484">
        <v>1.17</v>
      </c>
      <c r="S484" t="s">
        <v>974</v>
      </c>
      <c r="T484" t="s">
        <v>987</v>
      </c>
      <c r="U484">
        <v>2024</v>
      </c>
      <c r="V484" t="s">
        <v>994</v>
      </c>
      <c r="W484" t="s">
        <v>997</v>
      </c>
      <c r="X484" t="s">
        <v>1001</v>
      </c>
      <c r="Y484">
        <v>1</v>
      </c>
      <c r="Z484">
        <v>38</v>
      </c>
    </row>
    <row r="485" spans="1:26" x14ac:dyDescent="0.3">
      <c r="A485" t="s">
        <v>509</v>
      </c>
      <c r="B485" t="s">
        <v>619</v>
      </c>
      <c r="C485" t="s">
        <v>626</v>
      </c>
      <c r="D485">
        <v>64</v>
      </c>
      <c r="E485" t="s">
        <v>628</v>
      </c>
      <c r="F485">
        <v>860</v>
      </c>
      <c r="G485">
        <v>48054</v>
      </c>
      <c r="H485">
        <v>41326440</v>
      </c>
      <c r="I485" t="s">
        <v>632</v>
      </c>
      <c r="J485" t="s">
        <v>669</v>
      </c>
      <c r="K485" t="s">
        <v>678</v>
      </c>
      <c r="L485" t="s">
        <v>681</v>
      </c>
      <c r="M485" t="s">
        <v>686</v>
      </c>
      <c r="N485" t="s">
        <v>692</v>
      </c>
      <c r="O485" t="s">
        <v>694</v>
      </c>
      <c r="P485">
        <v>15349753</v>
      </c>
      <c r="Q485">
        <v>12</v>
      </c>
      <c r="R485">
        <v>0.99</v>
      </c>
      <c r="S485" t="s">
        <v>975</v>
      </c>
      <c r="T485" t="s">
        <v>981</v>
      </c>
      <c r="U485">
        <v>2024</v>
      </c>
      <c r="V485" t="s">
        <v>995</v>
      </c>
      <c r="W485" t="s">
        <v>999</v>
      </c>
      <c r="X485" t="s">
        <v>1001</v>
      </c>
      <c r="Y485">
        <v>5</v>
      </c>
      <c r="Z485">
        <v>35</v>
      </c>
    </row>
    <row r="486" spans="1:26" x14ac:dyDescent="0.3">
      <c r="A486" t="s">
        <v>510</v>
      </c>
      <c r="B486" t="s">
        <v>624</v>
      </c>
      <c r="C486" t="s">
        <v>626</v>
      </c>
      <c r="D486">
        <v>40</v>
      </c>
      <c r="E486" t="s">
        <v>628</v>
      </c>
      <c r="F486">
        <v>971</v>
      </c>
      <c r="G486">
        <v>15596</v>
      </c>
      <c r="H486">
        <v>15143716</v>
      </c>
      <c r="I486" t="s">
        <v>659</v>
      </c>
      <c r="J486" t="s">
        <v>668</v>
      </c>
      <c r="K486" t="s">
        <v>676</v>
      </c>
      <c r="L486" t="s">
        <v>680</v>
      </c>
      <c r="M486" t="s">
        <v>683</v>
      </c>
      <c r="N486" t="s">
        <v>692</v>
      </c>
      <c r="O486" t="s">
        <v>693</v>
      </c>
      <c r="P486">
        <v>15143716</v>
      </c>
      <c r="Q486">
        <v>0</v>
      </c>
      <c r="R486">
        <v>1.81</v>
      </c>
      <c r="S486" t="s">
        <v>976</v>
      </c>
      <c r="T486" t="s">
        <v>983</v>
      </c>
      <c r="U486">
        <v>2024</v>
      </c>
      <c r="V486" t="s">
        <v>996</v>
      </c>
      <c r="W486" t="s">
        <v>997</v>
      </c>
      <c r="X486" t="s">
        <v>1000</v>
      </c>
      <c r="Y486">
        <v>1</v>
      </c>
      <c r="Z486">
        <v>36</v>
      </c>
    </row>
    <row r="487" spans="1:26" x14ac:dyDescent="0.3">
      <c r="A487" t="s">
        <v>511</v>
      </c>
      <c r="B487" t="s">
        <v>574</v>
      </c>
      <c r="C487" t="s">
        <v>626</v>
      </c>
      <c r="D487">
        <v>22</v>
      </c>
      <c r="E487" t="s">
        <v>629</v>
      </c>
      <c r="F487">
        <v>327</v>
      </c>
      <c r="G487">
        <v>35170</v>
      </c>
      <c r="H487">
        <v>11500590</v>
      </c>
      <c r="I487" t="s">
        <v>643</v>
      </c>
      <c r="J487" t="s">
        <v>671</v>
      </c>
      <c r="K487" t="s">
        <v>676</v>
      </c>
      <c r="L487" t="s">
        <v>681</v>
      </c>
      <c r="M487" t="s">
        <v>686</v>
      </c>
      <c r="N487" t="s">
        <v>691</v>
      </c>
      <c r="O487" t="s">
        <v>694</v>
      </c>
      <c r="P487">
        <v>5633942</v>
      </c>
      <c r="Q487">
        <v>12</v>
      </c>
      <c r="R487">
        <v>1.72</v>
      </c>
      <c r="S487" t="s">
        <v>921</v>
      </c>
      <c r="T487" t="s">
        <v>984</v>
      </c>
      <c r="U487">
        <v>2024</v>
      </c>
      <c r="V487" t="s">
        <v>996</v>
      </c>
      <c r="W487" t="s">
        <v>997</v>
      </c>
      <c r="X487" t="s">
        <v>1002</v>
      </c>
      <c r="Y487">
        <v>3</v>
      </c>
      <c r="Z487">
        <v>34</v>
      </c>
    </row>
    <row r="488" spans="1:26" x14ac:dyDescent="0.3">
      <c r="A488" t="s">
        <v>512</v>
      </c>
      <c r="B488" t="s">
        <v>607</v>
      </c>
      <c r="C488" t="s">
        <v>627</v>
      </c>
      <c r="D488">
        <v>29</v>
      </c>
      <c r="E488" t="s">
        <v>630</v>
      </c>
      <c r="F488">
        <v>722</v>
      </c>
      <c r="G488">
        <v>15752</v>
      </c>
      <c r="H488">
        <v>11372944</v>
      </c>
      <c r="I488" t="s">
        <v>667</v>
      </c>
      <c r="J488" t="s">
        <v>671</v>
      </c>
      <c r="K488" t="s">
        <v>675</v>
      </c>
      <c r="L488" t="s">
        <v>680</v>
      </c>
      <c r="M488" t="s">
        <v>683</v>
      </c>
      <c r="N488" t="s">
        <v>692</v>
      </c>
      <c r="O488" t="s">
        <v>693</v>
      </c>
      <c r="P488">
        <v>11372944</v>
      </c>
      <c r="Q488">
        <v>0</v>
      </c>
      <c r="R488">
        <v>6.63</v>
      </c>
      <c r="S488" t="s">
        <v>977</v>
      </c>
      <c r="T488" t="s">
        <v>988</v>
      </c>
      <c r="U488">
        <v>2024</v>
      </c>
      <c r="V488" t="s">
        <v>996</v>
      </c>
      <c r="W488" t="s">
        <v>997</v>
      </c>
      <c r="X488" t="s">
        <v>1002</v>
      </c>
      <c r="Y488">
        <v>3</v>
      </c>
      <c r="Z488">
        <v>9</v>
      </c>
    </row>
    <row r="489" spans="1:26" x14ac:dyDescent="0.3">
      <c r="A489" t="s">
        <v>513</v>
      </c>
      <c r="B489" t="s">
        <v>531</v>
      </c>
      <c r="C489" t="s">
        <v>626</v>
      </c>
      <c r="D489">
        <v>63</v>
      </c>
      <c r="E489" t="s">
        <v>630</v>
      </c>
      <c r="F489">
        <v>276</v>
      </c>
      <c r="G489">
        <v>38034</v>
      </c>
      <c r="H489">
        <v>10497384</v>
      </c>
      <c r="I489" t="s">
        <v>644</v>
      </c>
      <c r="J489" t="s">
        <v>668</v>
      </c>
      <c r="K489" t="s">
        <v>640</v>
      </c>
      <c r="L489" t="s">
        <v>682</v>
      </c>
      <c r="M489" t="s">
        <v>683</v>
      </c>
      <c r="N489" t="s">
        <v>692</v>
      </c>
      <c r="O489" t="s">
        <v>694</v>
      </c>
      <c r="P489">
        <v>3301791</v>
      </c>
      <c r="Q489">
        <v>12</v>
      </c>
      <c r="R489">
        <v>9.0399999999999991</v>
      </c>
      <c r="S489" t="s">
        <v>978</v>
      </c>
      <c r="T489" t="s">
        <v>991</v>
      </c>
      <c r="U489">
        <v>2024</v>
      </c>
      <c r="V489" t="s">
        <v>996</v>
      </c>
      <c r="W489" t="s">
        <v>999</v>
      </c>
      <c r="X489" t="s">
        <v>1001</v>
      </c>
      <c r="Y489">
        <v>3</v>
      </c>
      <c r="Z489">
        <v>41</v>
      </c>
    </row>
    <row r="490" spans="1:26" x14ac:dyDescent="0.3">
      <c r="A490" t="s">
        <v>514</v>
      </c>
      <c r="B490" t="s">
        <v>618</v>
      </c>
      <c r="C490" t="s">
        <v>626</v>
      </c>
      <c r="D490">
        <v>21</v>
      </c>
      <c r="E490" t="s">
        <v>629</v>
      </c>
      <c r="F490">
        <v>931</v>
      </c>
      <c r="G490">
        <v>26388</v>
      </c>
      <c r="H490">
        <v>24567228</v>
      </c>
      <c r="I490" t="s">
        <v>659</v>
      </c>
      <c r="J490" t="s">
        <v>668</v>
      </c>
      <c r="K490" t="s">
        <v>679</v>
      </c>
      <c r="L490" t="s">
        <v>680</v>
      </c>
      <c r="M490" t="s">
        <v>685</v>
      </c>
      <c r="N490" t="s">
        <v>690</v>
      </c>
      <c r="O490" t="s">
        <v>693</v>
      </c>
      <c r="P490">
        <v>24567228</v>
      </c>
      <c r="Q490">
        <v>0</v>
      </c>
      <c r="R490">
        <v>4.2</v>
      </c>
      <c r="S490" t="s">
        <v>979</v>
      </c>
      <c r="T490" t="s">
        <v>987</v>
      </c>
      <c r="U490">
        <v>2024</v>
      </c>
      <c r="V490" t="s">
        <v>993</v>
      </c>
      <c r="W490" t="s">
        <v>997</v>
      </c>
      <c r="X490" t="s">
        <v>1000</v>
      </c>
      <c r="Y490">
        <v>5</v>
      </c>
      <c r="Z490">
        <v>27</v>
      </c>
    </row>
    <row r="491" spans="1:26" x14ac:dyDescent="0.3">
      <c r="A491" t="s">
        <v>515</v>
      </c>
      <c r="B491" t="s">
        <v>541</v>
      </c>
      <c r="C491" t="s">
        <v>627</v>
      </c>
      <c r="D491">
        <v>44</v>
      </c>
      <c r="E491" t="s">
        <v>628</v>
      </c>
      <c r="F491">
        <v>571</v>
      </c>
      <c r="G491">
        <v>23857</v>
      </c>
      <c r="H491">
        <v>13622347</v>
      </c>
      <c r="I491" t="s">
        <v>646</v>
      </c>
      <c r="J491" t="s">
        <v>673</v>
      </c>
      <c r="K491" t="s">
        <v>676</v>
      </c>
      <c r="L491" t="s">
        <v>680</v>
      </c>
      <c r="M491" t="s">
        <v>683</v>
      </c>
      <c r="N491" t="s">
        <v>692</v>
      </c>
      <c r="O491" t="s">
        <v>694</v>
      </c>
      <c r="P491">
        <v>6275224</v>
      </c>
      <c r="Q491">
        <v>6</v>
      </c>
      <c r="R491">
        <v>2.2599999999999998</v>
      </c>
      <c r="S491" t="s">
        <v>980</v>
      </c>
      <c r="T491" t="s">
        <v>988</v>
      </c>
      <c r="U491">
        <v>2024</v>
      </c>
      <c r="V491" t="s">
        <v>994</v>
      </c>
      <c r="W491" t="s">
        <v>997</v>
      </c>
      <c r="X491" t="s">
        <v>1002</v>
      </c>
      <c r="Y491">
        <v>1</v>
      </c>
      <c r="Z491">
        <v>34</v>
      </c>
    </row>
    <row r="492" spans="1:26" x14ac:dyDescent="0.3">
      <c r="A492" t="s">
        <v>516</v>
      </c>
      <c r="B492" t="s">
        <v>579</v>
      </c>
      <c r="C492" t="s">
        <v>626</v>
      </c>
      <c r="D492">
        <v>50</v>
      </c>
      <c r="E492" t="s">
        <v>629</v>
      </c>
      <c r="F492">
        <v>488</v>
      </c>
      <c r="G492">
        <v>38145</v>
      </c>
      <c r="H492">
        <v>18614760</v>
      </c>
      <c r="I492" t="s">
        <v>636</v>
      </c>
      <c r="J492" t="s">
        <v>671</v>
      </c>
      <c r="K492" t="s">
        <v>674</v>
      </c>
      <c r="L492" t="s">
        <v>680</v>
      </c>
      <c r="M492" t="s">
        <v>687</v>
      </c>
      <c r="N492" t="s">
        <v>689</v>
      </c>
      <c r="O492" t="s">
        <v>694</v>
      </c>
      <c r="P492">
        <v>8729784</v>
      </c>
      <c r="Q492">
        <v>3</v>
      </c>
      <c r="R492">
        <v>1.71</v>
      </c>
      <c r="S492" t="s">
        <v>721</v>
      </c>
      <c r="T492" t="s">
        <v>991</v>
      </c>
      <c r="U492">
        <v>2024</v>
      </c>
      <c r="V492" t="s">
        <v>996</v>
      </c>
      <c r="W492" t="s">
        <v>997</v>
      </c>
      <c r="X492" t="s">
        <v>1000</v>
      </c>
      <c r="Y492">
        <v>2</v>
      </c>
      <c r="Z492">
        <v>25</v>
      </c>
    </row>
    <row r="493" spans="1:26" x14ac:dyDescent="0.3">
      <c r="A493" t="s">
        <v>517</v>
      </c>
      <c r="B493" t="s">
        <v>548</v>
      </c>
      <c r="C493" t="s">
        <v>626</v>
      </c>
      <c r="D493">
        <v>49</v>
      </c>
      <c r="E493" t="s">
        <v>629</v>
      </c>
      <c r="F493">
        <v>254</v>
      </c>
      <c r="G493">
        <v>49541</v>
      </c>
      <c r="H493">
        <v>12583414</v>
      </c>
      <c r="I493" t="s">
        <v>655</v>
      </c>
      <c r="J493" t="s">
        <v>672</v>
      </c>
      <c r="K493" t="s">
        <v>677</v>
      </c>
      <c r="L493" t="s">
        <v>681</v>
      </c>
      <c r="M493" t="s">
        <v>687</v>
      </c>
      <c r="N493" t="s">
        <v>691</v>
      </c>
      <c r="O493" t="s">
        <v>694</v>
      </c>
      <c r="P493">
        <v>5076962</v>
      </c>
      <c r="Q493">
        <v>6</v>
      </c>
      <c r="R493">
        <v>4.18</v>
      </c>
      <c r="S493" t="s">
        <v>899</v>
      </c>
      <c r="T493" t="s">
        <v>989</v>
      </c>
      <c r="U493">
        <v>2024</v>
      </c>
      <c r="V493" t="s">
        <v>996</v>
      </c>
      <c r="W493" t="s">
        <v>998</v>
      </c>
      <c r="X493" t="s">
        <v>1001</v>
      </c>
      <c r="Y493">
        <v>1</v>
      </c>
      <c r="Z493">
        <v>20</v>
      </c>
    </row>
    <row r="494" spans="1:26" x14ac:dyDescent="0.3">
      <c r="A494" t="s">
        <v>518</v>
      </c>
      <c r="B494" t="s">
        <v>556</v>
      </c>
      <c r="C494" t="s">
        <v>627</v>
      </c>
      <c r="D494">
        <v>25</v>
      </c>
      <c r="E494" t="s">
        <v>629</v>
      </c>
      <c r="F494">
        <v>292</v>
      </c>
      <c r="G494">
        <v>43594</v>
      </c>
      <c r="H494">
        <v>12729448</v>
      </c>
      <c r="I494" t="s">
        <v>658</v>
      </c>
      <c r="J494" t="s">
        <v>670</v>
      </c>
      <c r="K494" t="s">
        <v>651</v>
      </c>
      <c r="L494" t="s">
        <v>681</v>
      </c>
      <c r="M494" t="s">
        <v>686</v>
      </c>
      <c r="N494" t="s">
        <v>691</v>
      </c>
      <c r="O494" t="s">
        <v>693</v>
      </c>
      <c r="P494">
        <v>12729448</v>
      </c>
      <c r="Q494">
        <v>0</v>
      </c>
      <c r="R494">
        <v>0.77</v>
      </c>
      <c r="S494" t="s">
        <v>723</v>
      </c>
      <c r="T494" t="s">
        <v>992</v>
      </c>
      <c r="U494">
        <v>2024</v>
      </c>
      <c r="V494" t="s">
        <v>993</v>
      </c>
      <c r="W494" t="s">
        <v>998</v>
      </c>
      <c r="X494" t="s">
        <v>1001</v>
      </c>
      <c r="Y494">
        <v>5</v>
      </c>
      <c r="Z494">
        <v>47</v>
      </c>
    </row>
    <row r="495" spans="1:26" x14ac:dyDescent="0.3">
      <c r="A495" t="s">
        <v>519</v>
      </c>
      <c r="B495" t="s">
        <v>607</v>
      </c>
      <c r="C495" t="s">
        <v>626</v>
      </c>
      <c r="D495">
        <v>64</v>
      </c>
      <c r="E495" t="s">
        <v>629</v>
      </c>
      <c r="F495">
        <v>727</v>
      </c>
      <c r="G495">
        <v>46900</v>
      </c>
      <c r="H495">
        <v>34096300</v>
      </c>
      <c r="I495" t="s">
        <v>632</v>
      </c>
      <c r="J495" t="s">
        <v>669</v>
      </c>
      <c r="K495" t="s">
        <v>678</v>
      </c>
      <c r="L495" t="s">
        <v>682</v>
      </c>
      <c r="M495" t="s">
        <v>687</v>
      </c>
      <c r="N495" t="s">
        <v>688</v>
      </c>
      <c r="O495" t="s">
        <v>693</v>
      </c>
      <c r="P495">
        <v>34096300</v>
      </c>
      <c r="Q495">
        <v>0</v>
      </c>
      <c r="R495">
        <v>4.05</v>
      </c>
      <c r="S495" t="s">
        <v>746</v>
      </c>
      <c r="T495" t="s">
        <v>983</v>
      </c>
      <c r="U495">
        <v>2024</v>
      </c>
      <c r="V495" t="s">
        <v>993</v>
      </c>
      <c r="W495" t="s">
        <v>997</v>
      </c>
      <c r="X495" t="s">
        <v>1002</v>
      </c>
      <c r="Y495">
        <v>2</v>
      </c>
      <c r="Z495">
        <v>44</v>
      </c>
    </row>
    <row r="496" spans="1:26" x14ac:dyDescent="0.3">
      <c r="A496" t="s">
        <v>520</v>
      </c>
      <c r="B496" t="s">
        <v>552</v>
      </c>
      <c r="C496" t="s">
        <v>626</v>
      </c>
      <c r="D496">
        <v>30</v>
      </c>
      <c r="E496" t="s">
        <v>630</v>
      </c>
      <c r="F496">
        <v>276</v>
      </c>
      <c r="G496">
        <v>26055</v>
      </c>
      <c r="H496">
        <v>7191180</v>
      </c>
      <c r="I496" t="s">
        <v>640</v>
      </c>
      <c r="J496" t="s">
        <v>672</v>
      </c>
      <c r="K496" t="s">
        <v>638</v>
      </c>
      <c r="L496" t="s">
        <v>680</v>
      </c>
      <c r="M496" t="s">
        <v>687</v>
      </c>
      <c r="N496" t="s">
        <v>688</v>
      </c>
      <c r="O496" t="s">
        <v>693</v>
      </c>
      <c r="P496">
        <v>7191180</v>
      </c>
      <c r="Q496">
        <v>0</v>
      </c>
      <c r="R496">
        <v>5.14</v>
      </c>
      <c r="S496" t="s">
        <v>730</v>
      </c>
      <c r="T496" t="s">
        <v>988</v>
      </c>
      <c r="U496">
        <v>2024</v>
      </c>
      <c r="V496" t="s">
        <v>993</v>
      </c>
      <c r="W496" t="s">
        <v>998</v>
      </c>
      <c r="X496" t="s">
        <v>1002</v>
      </c>
      <c r="Y496">
        <v>4</v>
      </c>
      <c r="Z496">
        <v>19</v>
      </c>
    </row>
    <row r="497" spans="1:26" x14ac:dyDescent="0.3">
      <c r="A497" t="s">
        <v>521</v>
      </c>
      <c r="B497" t="s">
        <v>563</v>
      </c>
      <c r="C497" t="s">
        <v>626</v>
      </c>
      <c r="D497">
        <v>59</v>
      </c>
      <c r="E497" t="s">
        <v>630</v>
      </c>
      <c r="F497">
        <v>955</v>
      </c>
      <c r="G497">
        <v>43364</v>
      </c>
      <c r="H497">
        <v>41412620</v>
      </c>
      <c r="I497" t="s">
        <v>648</v>
      </c>
      <c r="J497" t="s">
        <v>671</v>
      </c>
      <c r="K497" t="s">
        <v>664</v>
      </c>
      <c r="L497" t="s">
        <v>680</v>
      </c>
      <c r="M497" t="s">
        <v>687</v>
      </c>
      <c r="N497" t="s">
        <v>689</v>
      </c>
      <c r="O497" t="s">
        <v>694</v>
      </c>
      <c r="P497">
        <v>19750379</v>
      </c>
      <c r="Q497">
        <v>6</v>
      </c>
      <c r="R497">
        <v>9.2899999999999991</v>
      </c>
      <c r="S497" t="s">
        <v>769</v>
      </c>
      <c r="T497" t="s">
        <v>983</v>
      </c>
      <c r="U497">
        <v>2024</v>
      </c>
      <c r="V497" t="s">
        <v>995</v>
      </c>
      <c r="W497" t="s">
        <v>998</v>
      </c>
      <c r="X497" t="s">
        <v>1002</v>
      </c>
      <c r="Y497">
        <v>3</v>
      </c>
      <c r="Z497">
        <v>7</v>
      </c>
    </row>
    <row r="498" spans="1:26" x14ac:dyDescent="0.3">
      <c r="A498" t="s">
        <v>522</v>
      </c>
      <c r="B498" t="s">
        <v>616</v>
      </c>
      <c r="C498" t="s">
        <v>627</v>
      </c>
      <c r="D498">
        <v>46</v>
      </c>
      <c r="E498" t="s">
        <v>628</v>
      </c>
      <c r="F498">
        <v>611</v>
      </c>
      <c r="G498">
        <v>25234</v>
      </c>
      <c r="H498">
        <v>15417974</v>
      </c>
      <c r="I498" t="s">
        <v>646</v>
      </c>
      <c r="J498" t="s">
        <v>673</v>
      </c>
      <c r="K498" t="s">
        <v>638</v>
      </c>
      <c r="L498" t="s">
        <v>681</v>
      </c>
      <c r="M498" t="s">
        <v>685</v>
      </c>
      <c r="N498" t="s">
        <v>688</v>
      </c>
      <c r="O498" t="s">
        <v>693</v>
      </c>
      <c r="P498">
        <v>15417974</v>
      </c>
      <c r="Q498">
        <v>0</v>
      </c>
      <c r="R498">
        <v>1.01</v>
      </c>
      <c r="S498" t="s">
        <v>925</v>
      </c>
      <c r="T498" t="s">
        <v>986</v>
      </c>
      <c r="U498">
        <v>2024</v>
      </c>
      <c r="V498" t="s">
        <v>994</v>
      </c>
      <c r="W498" t="s">
        <v>999</v>
      </c>
      <c r="X498" t="s">
        <v>1002</v>
      </c>
      <c r="Y498">
        <v>4</v>
      </c>
      <c r="Z498">
        <v>24</v>
      </c>
    </row>
    <row r="499" spans="1:26" x14ac:dyDescent="0.3">
      <c r="A499" t="s">
        <v>523</v>
      </c>
      <c r="B499" t="s">
        <v>534</v>
      </c>
      <c r="C499" t="s">
        <v>626</v>
      </c>
      <c r="D499">
        <v>47</v>
      </c>
      <c r="E499" t="s">
        <v>628</v>
      </c>
      <c r="F499">
        <v>386</v>
      </c>
      <c r="G499">
        <v>37155</v>
      </c>
      <c r="H499">
        <v>14341830</v>
      </c>
      <c r="I499" t="s">
        <v>657</v>
      </c>
      <c r="J499" t="s">
        <v>671</v>
      </c>
      <c r="K499" t="s">
        <v>640</v>
      </c>
      <c r="L499" t="s">
        <v>681</v>
      </c>
      <c r="M499" t="s">
        <v>683</v>
      </c>
      <c r="N499" t="s">
        <v>689</v>
      </c>
      <c r="O499" t="s">
        <v>694</v>
      </c>
      <c r="P499">
        <v>7125176</v>
      </c>
      <c r="Q499">
        <v>3</v>
      </c>
      <c r="R499">
        <v>6.56</v>
      </c>
      <c r="S499" t="s">
        <v>955</v>
      </c>
      <c r="T499" t="s">
        <v>989</v>
      </c>
      <c r="U499">
        <v>2024</v>
      </c>
      <c r="V499" t="s">
        <v>996</v>
      </c>
      <c r="W499" t="s">
        <v>998</v>
      </c>
      <c r="X499" t="s">
        <v>1000</v>
      </c>
      <c r="Y499">
        <v>2</v>
      </c>
      <c r="Z499">
        <v>26</v>
      </c>
    </row>
    <row r="500" spans="1:26" x14ac:dyDescent="0.3">
      <c r="A500" t="s">
        <v>524</v>
      </c>
      <c r="B500" t="s">
        <v>602</v>
      </c>
      <c r="C500" t="s">
        <v>626</v>
      </c>
      <c r="D500">
        <v>51</v>
      </c>
      <c r="E500" t="s">
        <v>629</v>
      </c>
      <c r="F500">
        <v>232</v>
      </c>
      <c r="G500">
        <v>12506</v>
      </c>
      <c r="H500">
        <v>2901392</v>
      </c>
      <c r="I500" t="s">
        <v>634</v>
      </c>
      <c r="J500" t="s">
        <v>670</v>
      </c>
      <c r="K500" t="s">
        <v>651</v>
      </c>
      <c r="L500" t="s">
        <v>681</v>
      </c>
      <c r="M500" t="s">
        <v>683</v>
      </c>
      <c r="N500" t="s">
        <v>690</v>
      </c>
      <c r="O500" t="s">
        <v>693</v>
      </c>
      <c r="P500">
        <v>2901392</v>
      </c>
      <c r="Q500">
        <v>0</v>
      </c>
      <c r="R500">
        <v>9.48</v>
      </c>
      <c r="S500" t="s">
        <v>972</v>
      </c>
      <c r="T500" t="s">
        <v>984</v>
      </c>
      <c r="U500">
        <v>2024</v>
      </c>
      <c r="V500" t="s">
        <v>995</v>
      </c>
      <c r="W500" t="s">
        <v>997</v>
      </c>
      <c r="X500" t="s">
        <v>1001</v>
      </c>
      <c r="Y500">
        <v>4</v>
      </c>
      <c r="Z500">
        <v>9</v>
      </c>
    </row>
    <row r="501" spans="1:26" x14ac:dyDescent="0.3">
      <c r="A501" t="s">
        <v>525</v>
      </c>
      <c r="B501" t="s">
        <v>618</v>
      </c>
      <c r="C501" t="s">
        <v>627</v>
      </c>
      <c r="D501">
        <v>47</v>
      </c>
      <c r="E501" t="s">
        <v>630</v>
      </c>
      <c r="F501">
        <v>329</v>
      </c>
      <c r="G501">
        <v>12193</v>
      </c>
      <c r="H501">
        <v>4011497</v>
      </c>
      <c r="I501" t="s">
        <v>664</v>
      </c>
      <c r="J501" t="s">
        <v>673</v>
      </c>
      <c r="K501" t="s">
        <v>664</v>
      </c>
      <c r="L501" t="s">
        <v>681</v>
      </c>
      <c r="M501" t="s">
        <v>687</v>
      </c>
      <c r="N501" t="s">
        <v>691</v>
      </c>
      <c r="O501" t="s">
        <v>694</v>
      </c>
      <c r="P501">
        <v>1725808</v>
      </c>
      <c r="Q501">
        <v>3</v>
      </c>
      <c r="R501">
        <v>2.37</v>
      </c>
      <c r="S501" t="s">
        <v>876</v>
      </c>
      <c r="T501" t="s">
        <v>984</v>
      </c>
      <c r="U501">
        <v>2024</v>
      </c>
      <c r="V501" t="s">
        <v>993</v>
      </c>
      <c r="W501" t="s">
        <v>998</v>
      </c>
      <c r="X501" t="s">
        <v>1000</v>
      </c>
      <c r="Y501">
        <v>5</v>
      </c>
      <c r="Z501">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189BF-B5F9-43F7-90BC-8DB879D60639}">
  <sheetPr codeName="Sheet2"/>
  <dimension ref="A1:AO501"/>
  <sheetViews>
    <sheetView workbookViewId="0">
      <selection activeCell="AD3" sqref="AD3"/>
    </sheetView>
  </sheetViews>
  <sheetFormatPr defaultRowHeight="14.4" x14ac:dyDescent="0.3"/>
  <cols>
    <col min="1" max="1" width="18.109375" bestFit="1" customWidth="1"/>
    <col min="2" max="2" width="19.6640625" bestFit="1" customWidth="1"/>
    <col min="3" max="3" width="11.5546875" bestFit="1" customWidth="1"/>
    <col min="4" max="4" width="8.6640625" bestFit="1" customWidth="1"/>
    <col min="5" max="5" width="18" bestFit="1" customWidth="1"/>
    <col min="6" max="6" width="19" bestFit="1" customWidth="1"/>
    <col min="7" max="7" width="18.5546875" bestFit="1" customWidth="1"/>
    <col min="8" max="8" width="14.77734375" bestFit="1" customWidth="1"/>
    <col min="9" max="9" width="10.109375" bestFit="1" customWidth="1"/>
    <col min="10" max="11" width="12.109375" bestFit="1" customWidth="1"/>
    <col min="12" max="12" width="14.44140625" bestFit="1" customWidth="1"/>
    <col min="13" max="13" width="24.44140625" bestFit="1" customWidth="1"/>
    <col min="14" max="14" width="15.6640625" bestFit="1" customWidth="1"/>
    <col min="15" max="15" width="18.21875" bestFit="1" customWidth="1"/>
    <col min="16" max="16" width="17.5546875" bestFit="1" customWidth="1"/>
    <col min="17" max="17" width="23.44140625" bestFit="1" customWidth="1"/>
    <col min="18" max="18" width="15.21875" bestFit="1" customWidth="1"/>
    <col min="19" max="19" width="14.21875" bestFit="1" customWidth="1"/>
    <col min="20" max="20" width="20.21875" bestFit="1" customWidth="1"/>
    <col min="21" max="21" width="11.21875" bestFit="1" customWidth="1"/>
    <col min="22" max="22" width="9.109375" bestFit="1" customWidth="1"/>
    <col min="23" max="23" width="22.21875" bestFit="1" customWidth="1"/>
    <col min="24" max="24" width="18.77734375" bestFit="1" customWidth="1"/>
    <col min="25" max="25" width="15.88671875" bestFit="1" customWidth="1"/>
    <col min="26" max="26" width="21.77734375" bestFit="1" customWidth="1"/>
    <col min="27" max="27" width="26.44140625" bestFit="1" customWidth="1"/>
    <col min="28" max="28" width="12.77734375" bestFit="1" customWidth="1"/>
    <col min="29" max="29" width="24.33203125" bestFit="1" customWidth="1"/>
    <col min="30" max="30" width="16.6640625" bestFit="1" customWidth="1"/>
    <col min="31" max="31" width="31.33203125" bestFit="1" customWidth="1"/>
    <col min="32" max="32" width="21.33203125" bestFit="1" customWidth="1"/>
    <col min="33" max="35" width="22" bestFit="1" customWidth="1"/>
    <col min="36" max="36" width="14.109375" bestFit="1" customWidth="1"/>
    <col min="38" max="39" width="15.21875" bestFit="1" customWidth="1"/>
    <col min="40" max="40" width="13.77734375" bestFit="1" customWidth="1"/>
    <col min="41" max="41" width="10.109375" bestFit="1" customWidth="1"/>
  </cols>
  <sheetData>
    <row r="1" spans="1:4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1004</v>
      </c>
      <c r="T1" s="2" t="s">
        <v>18</v>
      </c>
      <c r="U1" s="2" t="s">
        <v>19</v>
      </c>
      <c r="V1" s="2" t="s">
        <v>20</v>
      </c>
      <c r="W1" s="2" t="s">
        <v>21</v>
      </c>
      <c r="X1" s="2" t="s">
        <v>22</v>
      </c>
      <c r="Y1" s="2" t="s">
        <v>23</v>
      </c>
      <c r="Z1" s="2" t="s">
        <v>24</v>
      </c>
      <c r="AA1" s="2" t="s">
        <v>25</v>
      </c>
      <c r="AB1" s="2" t="s">
        <v>1003</v>
      </c>
      <c r="AC1" s="2" t="s">
        <v>1060</v>
      </c>
      <c r="AD1" s="2" t="s">
        <v>1049</v>
      </c>
      <c r="AE1" s="2" t="s">
        <v>1052</v>
      </c>
      <c r="AF1" s="2" t="s">
        <v>1061</v>
      </c>
    </row>
    <row r="2" spans="1:41" x14ac:dyDescent="0.3">
      <c r="A2" t="s">
        <v>26</v>
      </c>
      <c r="B2" t="s">
        <v>526</v>
      </c>
      <c r="C2" t="s">
        <v>626</v>
      </c>
      <c r="D2">
        <v>22</v>
      </c>
      <c r="E2" t="s">
        <v>628</v>
      </c>
      <c r="F2">
        <v>959</v>
      </c>
      <c r="G2" s="4">
        <v>20024</v>
      </c>
      <c r="H2" s="4">
        <v>19203016</v>
      </c>
      <c r="I2" t="s">
        <v>631</v>
      </c>
      <c r="J2" t="s">
        <v>668</v>
      </c>
      <c r="K2" t="s">
        <v>664</v>
      </c>
      <c r="L2" t="s">
        <v>680</v>
      </c>
      <c r="M2" t="s">
        <v>683</v>
      </c>
      <c r="N2" t="s">
        <v>688</v>
      </c>
      <c r="O2" t="s">
        <v>693</v>
      </c>
      <c r="P2" s="4">
        <v>19203016</v>
      </c>
      <c r="Q2">
        <v>0</v>
      </c>
      <c r="R2" s="7">
        <v>2.23</v>
      </c>
      <c r="S2" s="8">
        <f>Table1[[#This Row],[Discount_%]]/100</f>
        <v>2.23E-2</v>
      </c>
      <c r="T2" s="6" t="s">
        <v>695</v>
      </c>
      <c r="U2" t="s">
        <v>981</v>
      </c>
      <c r="V2">
        <v>2024</v>
      </c>
      <c r="W2" t="s">
        <v>993</v>
      </c>
      <c r="X2" t="s">
        <v>997</v>
      </c>
      <c r="Y2" t="s">
        <v>1000</v>
      </c>
      <c r="Z2">
        <v>5</v>
      </c>
      <c r="AA2">
        <v>27</v>
      </c>
      <c r="AB2" s="4">
        <f>Table1[[#This Row],[Total_Price]]*(1-Table1[[#This Row],[Discount 2]])</f>
        <v>18774788.7432</v>
      </c>
      <c r="AC2" s="4" t="str" cm="1">
        <f t="array" ref="AC2">_xlfn.IFS(Table1[[#This Row],[Revenue]]&gt;=30000000,"High Value",Table1[[#This Row],[Revenue]]&gt;=10000000,"Moderate Value",TRUE,"Low Value")</f>
        <v>Moderate Value</v>
      </c>
      <c r="AD2" t="str">
        <f>IF(Table1[[#This Row],[Discount 2]]&gt;=5%, "YES", "NO")</f>
        <v>NO</v>
      </c>
      <c r="AE2" t="str" cm="1">
        <f t="array" ref="AE2">_xlfn.IFS(Table1[[#This Row],[Revenue]]&gt;=30000000,"High Spender",Table1[[#This Row],[Revenue]]&gt;=10000000,"Moderate Spender",TRUE,"Low Spender")</f>
        <v>Moderate Spender</v>
      </c>
      <c r="AF2" s="4" t="str" cm="1">
        <f t="array" ref="AF2">_xlfn.IFS(Table1[[#This Row],[Land_Size_SQM]]&gt;=730,"LARGE",Table1[[#This Row],[Land_Size_SQM]]&gt;=465,"MEDIUM",TRUE,"SMALL")</f>
        <v>LARGE</v>
      </c>
    </row>
    <row r="3" spans="1:41" x14ac:dyDescent="0.3">
      <c r="A3" t="s">
        <v>27</v>
      </c>
      <c r="B3" t="s">
        <v>527</v>
      </c>
      <c r="C3" t="s">
        <v>627</v>
      </c>
      <c r="D3">
        <v>41</v>
      </c>
      <c r="E3" t="s">
        <v>628</v>
      </c>
      <c r="F3">
        <v>484</v>
      </c>
      <c r="G3" s="4">
        <v>2425</v>
      </c>
      <c r="H3" s="4">
        <v>1173700</v>
      </c>
      <c r="I3" t="s">
        <v>632</v>
      </c>
      <c r="J3" t="s">
        <v>669</v>
      </c>
      <c r="K3" t="s">
        <v>674</v>
      </c>
      <c r="L3" t="s">
        <v>680</v>
      </c>
      <c r="M3" t="s">
        <v>684</v>
      </c>
      <c r="N3" t="s">
        <v>689</v>
      </c>
      <c r="O3" t="s">
        <v>693</v>
      </c>
      <c r="P3" s="4">
        <v>1173700</v>
      </c>
      <c r="Q3">
        <v>0</v>
      </c>
      <c r="R3" s="7">
        <v>6.98</v>
      </c>
      <c r="S3" s="8">
        <f>Table1[[#This Row],[Discount_%]]/100</f>
        <v>6.9800000000000001E-2</v>
      </c>
      <c r="T3" s="6" t="s">
        <v>696</v>
      </c>
      <c r="U3" t="s">
        <v>982</v>
      </c>
      <c r="V3">
        <v>2024</v>
      </c>
      <c r="W3" t="s">
        <v>994</v>
      </c>
      <c r="X3" t="s">
        <v>998</v>
      </c>
      <c r="Y3" t="s">
        <v>1001</v>
      </c>
      <c r="Z3">
        <v>3</v>
      </c>
      <c r="AA3">
        <v>3</v>
      </c>
      <c r="AB3" s="4">
        <f>Table1[[#This Row],[Total_Price]]*(1-Table1[[#This Row],[Discount 2]])</f>
        <v>1091775.74</v>
      </c>
      <c r="AC3" s="4" t="str" cm="1">
        <f t="array" ref="AC3">_xlfn.IFS(Table1[[#This Row],[Revenue]]&gt;=30000000,"High Value",Table1[[#This Row],[Revenue]]&gt;=10000000,"Moderate Value",TRUE,"Low Value")</f>
        <v>Low Value</v>
      </c>
      <c r="AD3" t="str">
        <f>IF(Table1[[#This Row],[Discount 2]]&gt;=5%, "YES", "NO")</f>
        <v>YES</v>
      </c>
      <c r="AE3" t="str" cm="1">
        <f t="array" ref="AE3">_xlfn.IFS(Table1[[#This Row],[Revenue]]&gt;=30000000,"High Spender",Table1[[#This Row],[Revenue]]&gt;=10000000,"Moderate Spender",TRUE,"Low Spender")</f>
        <v>Low Spender</v>
      </c>
      <c r="AF3" s="4" t="str" cm="1">
        <f t="array" ref="AF3">_xlfn.IFS(Table1[[#This Row],[Land_Size_SQM]]&gt;=730,"LARGE",Table1[[#This Row],[Land_Size_SQM]]&gt;=465,"MEDIUM",TRUE,"SMALL")</f>
        <v>MEDIUM</v>
      </c>
      <c r="AJ3" t="s">
        <v>1018</v>
      </c>
    </row>
    <row r="4" spans="1:41" x14ac:dyDescent="0.3">
      <c r="A4" t="s">
        <v>28</v>
      </c>
      <c r="B4" t="s">
        <v>528</v>
      </c>
      <c r="C4" t="s">
        <v>627</v>
      </c>
      <c r="D4">
        <v>65</v>
      </c>
      <c r="E4" t="s">
        <v>628</v>
      </c>
      <c r="F4">
        <v>327</v>
      </c>
      <c r="G4" s="4">
        <v>26807</v>
      </c>
      <c r="H4" s="4">
        <v>8765889</v>
      </c>
      <c r="I4" t="s">
        <v>633</v>
      </c>
      <c r="J4" t="s">
        <v>668</v>
      </c>
      <c r="K4" t="s">
        <v>675</v>
      </c>
      <c r="L4" t="s">
        <v>680</v>
      </c>
      <c r="M4" t="s">
        <v>683</v>
      </c>
      <c r="N4" t="s">
        <v>690</v>
      </c>
      <c r="O4" t="s">
        <v>693</v>
      </c>
      <c r="P4" s="4">
        <v>8765889</v>
      </c>
      <c r="Q4">
        <v>0</v>
      </c>
      <c r="R4" s="7">
        <v>5.52</v>
      </c>
      <c r="S4" s="8">
        <f>Table1[[#This Row],[Discount_%]]/100</f>
        <v>5.5199999999999999E-2</v>
      </c>
      <c r="T4" s="6" t="s">
        <v>697</v>
      </c>
      <c r="U4" t="s">
        <v>983</v>
      </c>
      <c r="V4">
        <v>2024</v>
      </c>
      <c r="W4" t="s">
        <v>993</v>
      </c>
      <c r="X4" t="s">
        <v>999</v>
      </c>
      <c r="Y4" t="s">
        <v>1000</v>
      </c>
      <c r="Z4">
        <v>4</v>
      </c>
      <c r="AA4">
        <v>18</v>
      </c>
      <c r="AB4" s="4">
        <f>Table1[[#This Row],[Total_Price]]*(1-Table1[[#This Row],[Discount 2]])</f>
        <v>8282011.9271999998</v>
      </c>
      <c r="AC4" s="4" t="str" cm="1">
        <f t="array" ref="AC4">_xlfn.IFS(Table1[[#This Row],[Revenue]]&gt;=30000000,"High Value",Table1[[#This Row],[Revenue]]&gt;=10000000,"Moderate Value",TRUE,"Low Value")</f>
        <v>Low Value</v>
      </c>
      <c r="AD4" t="str">
        <f>IF(Table1[[#This Row],[Discount 2]]&gt;=5%, "YES", "NO")</f>
        <v>YES</v>
      </c>
      <c r="AE4" t="str" cm="1">
        <f t="array" ref="AE4">_xlfn.IFS(Table1[[#This Row],[Revenue]]&gt;=30000000,"High Spender",Table1[[#This Row],[Revenue]]&gt;=10000000,"Moderate Spender",TRUE,"Low Spender")</f>
        <v>Low Spender</v>
      </c>
      <c r="AF4" s="4" t="str" cm="1">
        <f t="array" ref="AF4">_xlfn.IFS(Table1[[#This Row],[Land_Size_SQM]]&gt;=730,"LARGE",Table1[[#This Row],[Land_Size_SQM]]&gt;=465,"MEDIUM",TRUE,"SMALL")</f>
        <v>SMALL</v>
      </c>
      <c r="AI4" s="3" t="s">
        <v>0</v>
      </c>
      <c r="AJ4">
        <f>COUNTBLANK(Table1[Transaction_ID])</f>
        <v>0</v>
      </c>
    </row>
    <row r="5" spans="1:41" x14ac:dyDescent="0.3">
      <c r="A5" t="s">
        <v>29</v>
      </c>
      <c r="B5" t="s">
        <v>529</v>
      </c>
      <c r="C5" t="s">
        <v>627</v>
      </c>
      <c r="D5">
        <v>54</v>
      </c>
      <c r="E5" t="s">
        <v>629</v>
      </c>
      <c r="F5">
        <v>366</v>
      </c>
      <c r="G5" s="4">
        <v>26260</v>
      </c>
      <c r="H5" s="4">
        <v>9611160</v>
      </c>
      <c r="I5" t="s">
        <v>634</v>
      </c>
      <c r="J5" t="s">
        <v>670</v>
      </c>
      <c r="K5" t="s">
        <v>651</v>
      </c>
      <c r="L5" t="s">
        <v>680</v>
      </c>
      <c r="M5" t="s">
        <v>683</v>
      </c>
      <c r="N5" t="s">
        <v>691</v>
      </c>
      <c r="O5" t="s">
        <v>694</v>
      </c>
      <c r="P5" s="4">
        <v>3854580</v>
      </c>
      <c r="Q5">
        <v>6</v>
      </c>
      <c r="R5" s="7">
        <v>7.02</v>
      </c>
      <c r="S5" s="8">
        <f>Table1[[#This Row],[Discount_%]]/100</f>
        <v>7.0199999999999999E-2</v>
      </c>
      <c r="T5" s="6" t="s">
        <v>698</v>
      </c>
      <c r="U5" t="s">
        <v>984</v>
      </c>
      <c r="V5">
        <v>2024</v>
      </c>
      <c r="W5" t="s">
        <v>995</v>
      </c>
      <c r="X5" t="s">
        <v>998</v>
      </c>
      <c r="Y5" t="s">
        <v>1001</v>
      </c>
      <c r="Z5">
        <v>5</v>
      </c>
      <c r="AA5">
        <v>15</v>
      </c>
      <c r="AB5" s="4">
        <f>Table1[[#This Row],[Total_Price]]*(1-Table1[[#This Row],[Discount 2]])</f>
        <v>8936456.568</v>
      </c>
      <c r="AC5" s="4" t="str" cm="1">
        <f t="array" ref="AC5">_xlfn.IFS(Table1[[#This Row],[Revenue]]&gt;=30000000,"High Value",Table1[[#This Row],[Revenue]]&gt;=10000000,"Moderate Value",TRUE,"Low Value")</f>
        <v>Low Value</v>
      </c>
      <c r="AD5" t="str">
        <f>IF(Table1[[#This Row],[Discount 2]]&gt;=5%, "YES", "NO")</f>
        <v>YES</v>
      </c>
      <c r="AE5" t="str" cm="1">
        <f t="array" ref="AE5">_xlfn.IFS(Table1[[#This Row],[Revenue]]&gt;=30000000,"High Spender",Table1[[#This Row],[Revenue]]&gt;=10000000,"Moderate Spender",TRUE,"Low Spender")</f>
        <v>Low Spender</v>
      </c>
      <c r="AF5" s="4" t="str" cm="1">
        <f t="array" ref="AF5">_xlfn.IFS(Table1[[#This Row],[Land_Size_SQM]]&gt;=730,"LARGE",Table1[[#This Row],[Land_Size_SQM]]&gt;=465,"MEDIUM",TRUE,"SMALL")</f>
        <v>SMALL</v>
      </c>
      <c r="AI5" s="3" t="s">
        <v>1</v>
      </c>
      <c r="AJ5">
        <f>COUNTBLANK(Table1[Customer_Name])</f>
        <v>0</v>
      </c>
    </row>
    <row r="6" spans="1:41" x14ac:dyDescent="0.3">
      <c r="A6" t="s">
        <v>30</v>
      </c>
      <c r="B6" t="s">
        <v>530</v>
      </c>
      <c r="C6" t="s">
        <v>626</v>
      </c>
      <c r="D6">
        <v>45</v>
      </c>
      <c r="E6" t="s">
        <v>629</v>
      </c>
      <c r="F6">
        <v>434</v>
      </c>
      <c r="G6" s="4">
        <v>4103</v>
      </c>
      <c r="H6" s="4">
        <v>1780702</v>
      </c>
      <c r="I6" t="s">
        <v>635</v>
      </c>
      <c r="J6" t="s">
        <v>668</v>
      </c>
      <c r="K6" t="s">
        <v>664</v>
      </c>
      <c r="L6" t="s">
        <v>681</v>
      </c>
      <c r="M6" t="s">
        <v>683</v>
      </c>
      <c r="N6" t="s">
        <v>690</v>
      </c>
      <c r="O6" t="s">
        <v>694</v>
      </c>
      <c r="P6" s="4">
        <v>499170</v>
      </c>
      <c r="Q6">
        <v>24</v>
      </c>
      <c r="R6" s="7">
        <v>2.11</v>
      </c>
      <c r="S6" s="8">
        <f>Table1[[#This Row],[Discount_%]]/100</f>
        <v>2.1099999999999997E-2</v>
      </c>
      <c r="T6" s="6" t="s">
        <v>699</v>
      </c>
      <c r="U6" t="s">
        <v>985</v>
      </c>
      <c r="V6">
        <v>2024</v>
      </c>
      <c r="W6" t="s">
        <v>996</v>
      </c>
      <c r="X6" t="s">
        <v>999</v>
      </c>
      <c r="Y6" t="s">
        <v>1001</v>
      </c>
      <c r="Z6">
        <v>5</v>
      </c>
      <c r="AA6">
        <v>35</v>
      </c>
      <c r="AB6" s="4">
        <f>Table1[[#This Row],[Total_Price]]*(1-Table1[[#This Row],[Discount 2]])</f>
        <v>1743129.1878</v>
      </c>
      <c r="AC6" s="4" t="str" cm="1">
        <f t="array" ref="AC6">_xlfn.IFS(Table1[[#This Row],[Revenue]]&gt;=30000000,"High Value",Table1[[#This Row],[Revenue]]&gt;=10000000,"Moderate Value",TRUE,"Low Value")</f>
        <v>Low Value</v>
      </c>
      <c r="AD6" t="str">
        <f>IF(Table1[[#This Row],[Discount 2]]&gt;=5%, "YES", "NO")</f>
        <v>NO</v>
      </c>
      <c r="AE6" t="str" cm="1">
        <f t="array" ref="AE6">_xlfn.IFS(Table1[[#This Row],[Revenue]]&gt;=30000000,"High Spender",Table1[[#This Row],[Revenue]]&gt;=10000000,"Moderate Spender",TRUE,"Low Spender")</f>
        <v>Low Spender</v>
      </c>
      <c r="AF6" s="4" t="str" cm="1">
        <f t="array" ref="AF6">_xlfn.IFS(Table1[[#This Row],[Land_Size_SQM]]&gt;=730,"LARGE",Table1[[#This Row],[Land_Size_SQM]]&gt;=465,"MEDIUM",TRUE,"SMALL")</f>
        <v>SMALL</v>
      </c>
      <c r="AI6" s="3" t="s">
        <v>2</v>
      </c>
      <c r="AJ6">
        <f>COUNTBLANK(Table1[Gender])</f>
        <v>0</v>
      </c>
    </row>
    <row r="7" spans="1:41" x14ac:dyDescent="0.3">
      <c r="A7" t="s">
        <v>31</v>
      </c>
      <c r="B7" t="s">
        <v>531</v>
      </c>
      <c r="C7" t="s">
        <v>627</v>
      </c>
      <c r="D7">
        <v>27</v>
      </c>
      <c r="E7" t="s">
        <v>628</v>
      </c>
      <c r="F7">
        <v>638</v>
      </c>
      <c r="G7" s="4">
        <v>40242</v>
      </c>
      <c r="H7" s="4">
        <v>25674396</v>
      </c>
      <c r="I7" t="s">
        <v>636</v>
      </c>
      <c r="J7" t="s">
        <v>671</v>
      </c>
      <c r="K7" t="s">
        <v>674</v>
      </c>
      <c r="L7" t="s">
        <v>682</v>
      </c>
      <c r="M7" t="s">
        <v>683</v>
      </c>
      <c r="N7" t="s">
        <v>691</v>
      </c>
      <c r="O7" t="s">
        <v>694</v>
      </c>
      <c r="P7" s="4">
        <v>6824158</v>
      </c>
      <c r="Q7">
        <v>12</v>
      </c>
      <c r="R7" s="7">
        <v>9.98</v>
      </c>
      <c r="S7" s="8">
        <f>Table1[[#This Row],[Discount_%]]/100</f>
        <v>9.98E-2</v>
      </c>
      <c r="T7" s="6" t="s">
        <v>700</v>
      </c>
      <c r="U7" t="s">
        <v>986</v>
      </c>
      <c r="V7">
        <v>2024</v>
      </c>
      <c r="W7" t="s">
        <v>993</v>
      </c>
      <c r="X7" t="s">
        <v>998</v>
      </c>
      <c r="Y7" t="s">
        <v>1002</v>
      </c>
      <c r="Z7">
        <v>5</v>
      </c>
      <c r="AA7">
        <v>30</v>
      </c>
      <c r="AB7" s="4">
        <f>Table1[[#This Row],[Total_Price]]*(1-Table1[[#This Row],[Discount 2]])</f>
        <v>23112091.279199999</v>
      </c>
      <c r="AC7" s="4" t="str" cm="1">
        <f t="array" ref="AC7">_xlfn.IFS(Table1[[#This Row],[Revenue]]&gt;=30000000,"High Value",Table1[[#This Row],[Revenue]]&gt;=10000000,"Moderate Value",TRUE,"Low Value")</f>
        <v>Moderate Value</v>
      </c>
      <c r="AD7" t="str">
        <f>IF(Table1[[#This Row],[Discount 2]]&gt;=5%, "YES", "NO")</f>
        <v>YES</v>
      </c>
      <c r="AE7" t="str" cm="1">
        <f t="array" ref="AE7">_xlfn.IFS(Table1[[#This Row],[Revenue]]&gt;=30000000,"High Spender",Table1[[#This Row],[Revenue]]&gt;=10000000,"Moderate Spender",TRUE,"Low Spender")</f>
        <v>Moderate Spender</v>
      </c>
      <c r="AF7" s="4" t="str" cm="1">
        <f t="array" ref="AF7">_xlfn.IFS(Table1[[#This Row],[Land_Size_SQM]]&gt;=730,"LARGE",Table1[[#This Row],[Land_Size_SQM]]&gt;=465,"MEDIUM",TRUE,"SMALL")</f>
        <v>MEDIUM</v>
      </c>
      <c r="AI7" s="3" t="s">
        <v>3</v>
      </c>
      <c r="AJ7">
        <f>COUNTBLANK(Table1[Age])</f>
        <v>0</v>
      </c>
      <c r="AM7" t="s">
        <v>1047</v>
      </c>
      <c r="AN7" t="s">
        <v>1003</v>
      </c>
      <c r="AO7" t="s">
        <v>694</v>
      </c>
    </row>
    <row r="8" spans="1:41" x14ac:dyDescent="0.3">
      <c r="A8" t="s">
        <v>32</v>
      </c>
      <c r="B8" t="s">
        <v>532</v>
      </c>
      <c r="C8" t="s">
        <v>627</v>
      </c>
      <c r="D8">
        <v>38</v>
      </c>
      <c r="E8" t="s">
        <v>630</v>
      </c>
      <c r="F8">
        <v>211</v>
      </c>
      <c r="G8" s="4">
        <v>46583</v>
      </c>
      <c r="H8" s="4">
        <v>9829013</v>
      </c>
      <c r="I8" t="s">
        <v>637</v>
      </c>
      <c r="J8" t="s">
        <v>672</v>
      </c>
      <c r="K8" t="s">
        <v>675</v>
      </c>
      <c r="L8" t="s">
        <v>680</v>
      </c>
      <c r="M8" t="s">
        <v>684</v>
      </c>
      <c r="N8" t="s">
        <v>689</v>
      </c>
      <c r="O8" t="s">
        <v>693</v>
      </c>
      <c r="P8" s="4">
        <v>9829013</v>
      </c>
      <c r="Q8">
        <v>0</v>
      </c>
      <c r="R8" s="7">
        <v>6.82</v>
      </c>
      <c r="S8" s="8">
        <f>Table1[[#This Row],[Discount_%]]/100</f>
        <v>6.8199999999999997E-2</v>
      </c>
      <c r="T8" s="6" t="s">
        <v>701</v>
      </c>
      <c r="U8" t="s">
        <v>985</v>
      </c>
      <c r="V8">
        <v>2024</v>
      </c>
      <c r="W8" t="s">
        <v>994</v>
      </c>
      <c r="X8" t="s">
        <v>997</v>
      </c>
      <c r="Y8" t="s">
        <v>1000</v>
      </c>
      <c r="Z8">
        <v>5</v>
      </c>
      <c r="AA8">
        <v>7</v>
      </c>
      <c r="AB8" s="4">
        <f>Table1[[#This Row],[Total_Price]]*(1-Table1[[#This Row],[Discount 2]])</f>
        <v>9158674.3134000003</v>
      </c>
      <c r="AC8" s="4" t="str" cm="1">
        <f t="array" ref="AC8">_xlfn.IFS(Table1[[#This Row],[Revenue]]&gt;=30000000,"High Value",Table1[[#This Row],[Revenue]]&gt;=10000000,"Moderate Value",TRUE,"Low Value")</f>
        <v>Low Value</v>
      </c>
      <c r="AD8" t="str">
        <f>IF(Table1[[#This Row],[Discount 2]]&gt;=5%, "YES", "NO")</f>
        <v>YES</v>
      </c>
      <c r="AE8" t="str" cm="1">
        <f t="array" ref="AE8">_xlfn.IFS(Table1[[#This Row],[Revenue]]&gt;=30000000,"High Spender",Table1[[#This Row],[Revenue]]&gt;=10000000,"Moderate Spender",TRUE,"Low Spender")</f>
        <v>Low Spender</v>
      </c>
      <c r="AF8" s="4" t="str" cm="1">
        <f t="array" ref="AF8">_xlfn.IFS(Table1[[#This Row],[Land_Size_SQM]]&gt;=730,"LARGE",Table1[[#This Row],[Land_Size_SQM]]&gt;=465,"MEDIUM",TRUE,"SMALL")</f>
        <v>SMALL</v>
      </c>
      <c r="AI8" s="3" t="s">
        <v>4</v>
      </c>
      <c r="AJ8">
        <f>COUNTBLANK(Table1[Property_Type])</f>
        <v>0</v>
      </c>
      <c r="AM8" t="s">
        <v>668</v>
      </c>
      <c r="AN8" s="14">
        <f>SUMIF(Table1[Region],AM8,Table1[Revenue])</f>
        <v>1479820169.2875998</v>
      </c>
      <c r="AO8">
        <f>COUNTIFS(Table1[Region],AM8,Table1[Installment_Duration],"&gt;=0")</f>
        <v>98</v>
      </c>
    </row>
    <row r="9" spans="1:41" x14ac:dyDescent="0.3">
      <c r="A9" t="s">
        <v>33</v>
      </c>
      <c r="B9" t="s">
        <v>533</v>
      </c>
      <c r="C9" t="s">
        <v>627</v>
      </c>
      <c r="D9">
        <v>58</v>
      </c>
      <c r="E9" t="s">
        <v>630</v>
      </c>
      <c r="F9">
        <v>823</v>
      </c>
      <c r="G9" s="4">
        <v>15035</v>
      </c>
      <c r="H9" s="4">
        <v>12373805</v>
      </c>
      <c r="I9" t="s">
        <v>635</v>
      </c>
      <c r="J9" t="s">
        <v>668</v>
      </c>
      <c r="K9" t="s">
        <v>675</v>
      </c>
      <c r="L9" t="s">
        <v>681</v>
      </c>
      <c r="M9" t="s">
        <v>685</v>
      </c>
      <c r="N9" t="s">
        <v>689</v>
      </c>
      <c r="O9" t="s">
        <v>693</v>
      </c>
      <c r="P9" s="4">
        <v>12373805</v>
      </c>
      <c r="Q9">
        <v>0</v>
      </c>
      <c r="R9" s="7">
        <v>3.74</v>
      </c>
      <c r="S9" s="8">
        <f>Table1[[#This Row],[Discount_%]]/100</f>
        <v>3.7400000000000003E-2</v>
      </c>
      <c r="T9" s="6" t="s">
        <v>702</v>
      </c>
      <c r="U9" t="s">
        <v>987</v>
      </c>
      <c r="V9">
        <v>2024</v>
      </c>
      <c r="W9" t="s">
        <v>994</v>
      </c>
      <c r="X9" t="s">
        <v>998</v>
      </c>
      <c r="Y9" t="s">
        <v>1000</v>
      </c>
      <c r="Z9">
        <v>1</v>
      </c>
      <c r="AA9">
        <v>16</v>
      </c>
      <c r="AB9" s="4">
        <f>Table1[[#This Row],[Total_Price]]*(1-Table1[[#This Row],[Discount 2]])</f>
        <v>11911024.693</v>
      </c>
      <c r="AC9" s="4" t="str" cm="1">
        <f t="array" ref="AC9">_xlfn.IFS(Table1[[#This Row],[Revenue]]&gt;=30000000,"High Value",Table1[[#This Row],[Revenue]]&gt;=10000000,"Moderate Value",TRUE,"Low Value")</f>
        <v>Moderate Value</v>
      </c>
      <c r="AD9" t="str">
        <f>IF(Table1[[#This Row],[Discount 2]]&gt;=5%, "YES", "NO")</f>
        <v>NO</v>
      </c>
      <c r="AE9" t="str" cm="1">
        <f t="array" ref="AE9">_xlfn.IFS(Table1[[#This Row],[Revenue]]&gt;=30000000,"High Spender",Table1[[#This Row],[Revenue]]&gt;=10000000,"Moderate Spender",TRUE,"Low Spender")</f>
        <v>Moderate Spender</v>
      </c>
      <c r="AF9" s="4" t="str" cm="1">
        <f t="array" ref="AF9">_xlfn.IFS(Table1[[#This Row],[Land_Size_SQM]]&gt;=730,"LARGE",Table1[[#This Row],[Land_Size_SQM]]&gt;=465,"MEDIUM",TRUE,"SMALL")</f>
        <v>LARGE</v>
      </c>
      <c r="AI9" s="3" t="s">
        <v>5</v>
      </c>
      <c r="AJ9">
        <f>COUNTBLANK(Table1[Land_Size_SQM])</f>
        <v>0</v>
      </c>
      <c r="AM9" t="s">
        <v>670</v>
      </c>
      <c r="AN9" s="15">
        <f>SUMIF(Table1[Region],AM9,Table1[Revenue])</f>
        <v>1115523010.0222998</v>
      </c>
      <c r="AO9">
        <f>COUNTIFS(Table1[Region],AM9,Table1[Installment_Duration],"&gt;=0")</f>
        <v>80</v>
      </c>
    </row>
    <row r="10" spans="1:41" x14ac:dyDescent="0.3">
      <c r="A10" t="s">
        <v>34</v>
      </c>
      <c r="B10" t="s">
        <v>534</v>
      </c>
      <c r="C10" t="s">
        <v>626</v>
      </c>
      <c r="D10">
        <v>55</v>
      </c>
      <c r="E10" t="s">
        <v>628</v>
      </c>
      <c r="F10">
        <v>949</v>
      </c>
      <c r="G10" s="4">
        <v>33849</v>
      </c>
      <c r="H10" s="4">
        <v>32122701</v>
      </c>
      <c r="I10" t="s">
        <v>638</v>
      </c>
      <c r="J10" t="s">
        <v>672</v>
      </c>
      <c r="K10" t="s">
        <v>676</v>
      </c>
      <c r="L10" t="s">
        <v>681</v>
      </c>
      <c r="M10" t="s">
        <v>686</v>
      </c>
      <c r="N10" t="s">
        <v>692</v>
      </c>
      <c r="O10" t="s">
        <v>693</v>
      </c>
      <c r="P10" s="4">
        <v>32122701</v>
      </c>
      <c r="Q10">
        <v>0</v>
      </c>
      <c r="R10" s="7">
        <v>9.7799999999999994</v>
      </c>
      <c r="S10" s="8">
        <f>Table1[[#This Row],[Discount_%]]/100</f>
        <v>9.7799999999999998E-2</v>
      </c>
      <c r="T10" s="6" t="s">
        <v>703</v>
      </c>
      <c r="U10" t="s">
        <v>986</v>
      </c>
      <c r="V10">
        <v>2024</v>
      </c>
      <c r="W10" t="s">
        <v>995</v>
      </c>
      <c r="X10" t="s">
        <v>999</v>
      </c>
      <c r="Y10" t="s">
        <v>1001</v>
      </c>
      <c r="Z10">
        <v>2</v>
      </c>
      <c r="AA10">
        <v>46</v>
      </c>
      <c r="AB10" s="4">
        <f>Table1[[#This Row],[Total_Price]]*(1-Table1[[#This Row],[Discount 2]])</f>
        <v>28981100.8422</v>
      </c>
      <c r="AC10" s="4" t="str" cm="1">
        <f t="array" ref="AC10">_xlfn.IFS(Table1[[#This Row],[Revenue]]&gt;=30000000,"High Value",Table1[[#This Row],[Revenue]]&gt;=10000000,"Moderate Value",TRUE,"Low Value")</f>
        <v>Moderate Value</v>
      </c>
      <c r="AD10" t="str">
        <f>IF(Table1[[#This Row],[Discount 2]]&gt;=5%, "YES", "NO")</f>
        <v>YES</v>
      </c>
      <c r="AE10" t="str" cm="1">
        <f t="array" ref="AE10">_xlfn.IFS(Table1[[#This Row],[Revenue]]&gt;=30000000,"High Spender",Table1[[#This Row],[Revenue]]&gt;=10000000,"Moderate Spender",TRUE,"Low Spender")</f>
        <v>Moderate Spender</v>
      </c>
      <c r="AF10" s="4" t="str" cm="1">
        <f t="array" ref="AF10">_xlfn.IFS(Table1[[#This Row],[Land_Size_SQM]]&gt;=730,"LARGE",Table1[[#This Row],[Land_Size_SQM]]&gt;=465,"MEDIUM",TRUE,"SMALL")</f>
        <v>LARGE</v>
      </c>
      <c r="AI10" s="3" t="s">
        <v>6</v>
      </c>
      <c r="AJ10">
        <f>COUNTBLANK(Table1[Price_per_SQM])</f>
        <v>0</v>
      </c>
      <c r="AM10" t="s">
        <v>672</v>
      </c>
      <c r="AN10" s="4">
        <f>SUMIF(Table1[Region],AM10,Table1[Revenue])</f>
        <v>1139692481.9801002</v>
      </c>
      <c r="AO10">
        <f>COUNTIFS(Table1[Region],AM10,Table1[Installment_Duration],"&gt;=0")</f>
        <v>72</v>
      </c>
    </row>
    <row r="11" spans="1:41" x14ac:dyDescent="0.3">
      <c r="A11" t="s">
        <v>35</v>
      </c>
      <c r="B11" t="s">
        <v>535</v>
      </c>
      <c r="C11" t="s">
        <v>627</v>
      </c>
      <c r="D11">
        <v>57</v>
      </c>
      <c r="E11" t="s">
        <v>628</v>
      </c>
      <c r="F11">
        <v>648</v>
      </c>
      <c r="G11" s="4">
        <v>35919</v>
      </c>
      <c r="H11" s="4">
        <v>23275512</v>
      </c>
      <c r="I11" t="s">
        <v>639</v>
      </c>
      <c r="J11" t="s">
        <v>671</v>
      </c>
      <c r="K11" t="s">
        <v>651</v>
      </c>
      <c r="L11" t="s">
        <v>680</v>
      </c>
      <c r="M11" t="s">
        <v>685</v>
      </c>
      <c r="N11" t="s">
        <v>689</v>
      </c>
      <c r="O11" t="s">
        <v>694</v>
      </c>
      <c r="P11" s="4">
        <v>6386141</v>
      </c>
      <c r="Q11">
        <v>3</v>
      </c>
      <c r="R11" s="7">
        <v>0.64</v>
      </c>
      <c r="S11" s="8">
        <f>Table1[[#This Row],[Discount_%]]/100</f>
        <v>6.4000000000000003E-3</v>
      </c>
      <c r="T11" s="6" t="s">
        <v>704</v>
      </c>
      <c r="U11" t="s">
        <v>988</v>
      </c>
      <c r="V11">
        <v>2024</v>
      </c>
      <c r="W11" t="s">
        <v>996</v>
      </c>
      <c r="X11" t="s">
        <v>999</v>
      </c>
      <c r="Y11" t="s">
        <v>1000</v>
      </c>
      <c r="Z11">
        <v>3</v>
      </c>
      <c r="AA11">
        <v>5</v>
      </c>
      <c r="AB11" s="4">
        <f>Table1[[#This Row],[Total_Price]]*(1-Table1[[#This Row],[Discount 2]])</f>
        <v>23126548.723200001</v>
      </c>
      <c r="AC11" s="4" t="str" cm="1">
        <f t="array" ref="AC11">_xlfn.IFS(Table1[[#This Row],[Revenue]]&gt;=30000000,"High Value",Table1[[#This Row],[Revenue]]&gt;=10000000,"Moderate Value",TRUE,"Low Value")</f>
        <v>Moderate Value</v>
      </c>
      <c r="AD11" t="str">
        <f>IF(Table1[[#This Row],[Discount 2]]&gt;=5%, "YES", "NO")</f>
        <v>NO</v>
      </c>
      <c r="AE11" t="str" cm="1">
        <f t="array" ref="AE11">_xlfn.IFS(Table1[[#This Row],[Revenue]]&gt;=30000000,"High Spender",Table1[[#This Row],[Revenue]]&gt;=10000000,"Moderate Spender",TRUE,"Low Spender")</f>
        <v>Moderate Spender</v>
      </c>
      <c r="AF11" s="4" t="str" cm="1">
        <f t="array" ref="AF11">_xlfn.IFS(Table1[[#This Row],[Land_Size_SQM]]&gt;=730,"LARGE",Table1[[#This Row],[Land_Size_SQM]]&gt;=465,"MEDIUM",TRUE,"SMALL")</f>
        <v>MEDIUM</v>
      </c>
      <c r="AI11" s="3" t="s">
        <v>7</v>
      </c>
      <c r="AJ11">
        <f>COUNTBLANK(Table1[Total_Price])</f>
        <v>0</v>
      </c>
      <c r="AM11" t="s">
        <v>669</v>
      </c>
      <c r="AN11" s="4">
        <f>SUMIF(Table1[Region],AM11,Table1[Revenue])</f>
        <v>1373669679.2710001</v>
      </c>
      <c r="AO11">
        <f>COUNTIFS(Table1[Region],AM11,Table1[Installment_Duration],"&gt;=0")</f>
        <v>95</v>
      </c>
    </row>
    <row r="12" spans="1:41" x14ac:dyDescent="0.3">
      <c r="A12" t="s">
        <v>36</v>
      </c>
      <c r="B12" t="s">
        <v>536</v>
      </c>
      <c r="C12" t="s">
        <v>627</v>
      </c>
      <c r="D12">
        <v>50</v>
      </c>
      <c r="E12" t="s">
        <v>630</v>
      </c>
      <c r="F12">
        <v>885</v>
      </c>
      <c r="G12" s="4">
        <v>33812</v>
      </c>
      <c r="H12" s="4">
        <v>29923620</v>
      </c>
      <c r="I12" t="s">
        <v>640</v>
      </c>
      <c r="J12" t="s">
        <v>672</v>
      </c>
      <c r="K12" t="s">
        <v>677</v>
      </c>
      <c r="L12" t="s">
        <v>680</v>
      </c>
      <c r="M12" t="s">
        <v>685</v>
      </c>
      <c r="N12" t="s">
        <v>689</v>
      </c>
      <c r="O12" t="s">
        <v>693</v>
      </c>
      <c r="P12" s="4">
        <v>29923620</v>
      </c>
      <c r="Q12">
        <v>0</v>
      </c>
      <c r="R12" s="7">
        <v>5.39</v>
      </c>
      <c r="S12" s="8">
        <f>Table1[[#This Row],[Discount_%]]/100</f>
        <v>5.3899999999999997E-2</v>
      </c>
      <c r="T12" s="6" t="s">
        <v>705</v>
      </c>
      <c r="U12" t="s">
        <v>985</v>
      </c>
      <c r="V12">
        <v>2024</v>
      </c>
      <c r="W12" t="s">
        <v>995</v>
      </c>
      <c r="X12" t="s">
        <v>998</v>
      </c>
      <c r="Y12" t="s">
        <v>1002</v>
      </c>
      <c r="Z12">
        <v>4</v>
      </c>
      <c r="AA12">
        <v>30</v>
      </c>
      <c r="AB12" s="4">
        <f>Table1[[#This Row],[Total_Price]]*(1-Table1[[#This Row],[Discount 2]])</f>
        <v>28310736.882000003</v>
      </c>
      <c r="AC12" s="4" t="str" cm="1">
        <f t="array" ref="AC12">_xlfn.IFS(Table1[[#This Row],[Revenue]]&gt;=30000000,"High Value",Table1[[#This Row],[Revenue]]&gt;=10000000,"Moderate Value",TRUE,"Low Value")</f>
        <v>Moderate Value</v>
      </c>
      <c r="AD12" t="str">
        <f>IF(Table1[[#This Row],[Discount 2]]&gt;=5%, "YES", "NO")</f>
        <v>YES</v>
      </c>
      <c r="AE12" t="str" cm="1">
        <f t="array" ref="AE12">_xlfn.IFS(Table1[[#This Row],[Revenue]]&gt;=30000000,"High Spender",Table1[[#This Row],[Revenue]]&gt;=10000000,"Moderate Spender",TRUE,"Low Spender")</f>
        <v>Moderate Spender</v>
      </c>
      <c r="AF12" s="4" t="str" cm="1">
        <f t="array" ref="AF12">_xlfn.IFS(Table1[[#This Row],[Land_Size_SQM]]&gt;=730,"LARGE",Table1[[#This Row],[Land_Size_SQM]]&gt;=465,"MEDIUM",TRUE,"SMALL")</f>
        <v>LARGE</v>
      </c>
      <c r="AI12" s="3" t="s">
        <v>8</v>
      </c>
      <c r="AJ12">
        <f>COUNTBLANK(Table1[State])</f>
        <v>0</v>
      </c>
      <c r="AM12" t="s">
        <v>671</v>
      </c>
      <c r="AN12" s="4">
        <f>SUMIF(Table1[Region],AM12,Table1[Revenue])</f>
        <v>1285403700.8934</v>
      </c>
      <c r="AO12">
        <f>COUNTIFS(Table1[Region],AM12,Table1[Installment_Duration],"&gt;=0")</f>
        <v>70</v>
      </c>
    </row>
    <row r="13" spans="1:41" x14ac:dyDescent="0.3">
      <c r="A13" t="s">
        <v>37</v>
      </c>
      <c r="B13" t="s">
        <v>537</v>
      </c>
      <c r="C13" t="s">
        <v>627</v>
      </c>
      <c r="D13">
        <v>37</v>
      </c>
      <c r="E13" t="s">
        <v>630</v>
      </c>
      <c r="F13">
        <v>262</v>
      </c>
      <c r="G13" s="4">
        <v>28386</v>
      </c>
      <c r="H13" s="4">
        <v>7437132</v>
      </c>
      <c r="I13" t="s">
        <v>631</v>
      </c>
      <c r="J13" t="s">
        <v>668</v>
      </c>
      <c r="K13" t="s">
        <v>676</v>
      </c>
      <c r="L13" t="s">
        <v>680</v>
      </c>
      <c r="M13" t="s">
        <v>685</v>
      </c>
      <c r="N13" t="s">
        <v>691</v>
      </c>
      <c r="O13" t="s">
        <v>694</v>
      </c>
      <c r="P13" s="4">
        <v>2042213</v>
      </c>
      <c r="Q13">
        <v>3</v>
      </c>
      <c r="R13" s="7">
        <v>1.9</v>
      </c>
      <c r="S13" s="8">
        <f>Table1[[#This Row],[Discount_%]]/100</f>
        <v>1.9E-2</v>
      </c>
      <c r="T13" s="6" t="s">
        <v>706</v>
      </c>
      <c r="U13" t="s">
        <v>989</v>
      </c>
      <c r="V13">
        <v>2024</v>
      </c>
      <c r="W13" t="s">
        <v>993</v>
      </c>
      <c r="X13" t="s">
        <v>999</v>
      </c>
      <c r="Y13" t="s">
        <v>1001</v>
      </c>
      <c r="Z13">
        <v>5</v>
      </c>
      <c r="AA13">
        <v>1</v>
      </c>
      <c r="AB13" s="4">
        <f>Table1[[#This Row],[Total_Price]]*(1-Table1[[#This Row],[Discount 2]])</f>
        <v>7295826.4919999996</v>
      </c>
      <c r="AC13" s="4" t="str" cm="1">
        <f t="array" ref="AC13">_xlfn.IFS(Table1[[#This Row],[Revenue]]&gt;=30000000,"High Value",Table1[[#This Row],[Revenue]]&gt;=10000000,"Moderate Value",TRUE,"Low Value")</f>
        <v>Low Value</v>
      </c>
      <c r="AD13" t="str">
        <f>IF(Table1[[#This Row],[Discount 2]]&gt;=5%, "YES", "NO")</f>
        <v>NO</v>
      </c>
      <c r="AE13" t="str" cm="1">
        <f t="array" ref="AE13">_xlfn.IFS(Table1[[#This Row],[Revenue]]&gt;=30000000,"High Spender",Table1[[#This Row],[Revenue]]&gt;=10000000,"Moderate Spender",TRUE,"Low Spender")</f>
        <v>Low Spender</v>
      </c>
      <c r="AF13" s="4" t="str" cm="1">
        <f t="array" ref="AF13">_xlfn.IFS(Table1[[#This Row],[Land_Size_SQM]]&gt;=730,"LARGE",Table1[[#This Row],[Land_Size_SQM]]&gt;=465,"MEDIUM",TRUE,"SMALL")</f>
        <v>SMALL</v>
      </c>
      <c r="AI13" s="3" t="s">
        <v>9</v>
      </c>
      <c r="AJ13">
        <f>COUNTBLANK(Table1[Region])</f>
        <v>0</v>
      </c>
      <c r="AM13" t="s">
        <v>673</v>
      </c>
      <c r="AN13" s="4">
        <f>SUMIF(Table1[Region],AM13,Table1[Revenue])</f>
        <v>1344178514.3487</v>
      </c>
      <c r="AO13">
        <f>COUNTIFS(Table1[Region],AM13,Table1[Installment_Duration],"&gt;=0")</f>
        <v>85</v>
      </c>
    </row>
    <row r="14" spans="1:41" x14ac:dyDescent="0.3">
      <c r="A14" t="s">
        <v>38</v>
      </c>
      <c r="B14" t="s">
        <v>538</v>
      </c>
      <c r="C14" t="s">
        <v>626</v>
      </c>
      <c r="D14">
        <v>36</v>
      </c>
      <c r="E14" t="s">
        <v>630</v>
      </c>
      <c r="F14">
        <v>616</v>
      </c>
      <c r="G14" s="4">
        <v>33826</v>
      </c>
      <c r="H14" s="4">
        <v>20836816</v>
      </c>
      <c r="I14" t="s">
        <v>641</v>
      </c>
      <c r="J14" t="s">
        <v>673</v>
      </c>
      <c r="K14" t="s">
        <v>638</v>
      </c>
      <c r="L14" t="s">
        <v>681</v>
      </c>
      <c r="M14" t="s">
        <v>684</v>
      </c>
      <c r="N14" t="s">
        <v>692</v>
      </c>
      <c r="O14" t="s">
        <v>694</v>
      </c>
      <c r="P14" s="4">
        <v>9572332</v>
      </c>
      <c r="Q14">
        <v>6</v>
      </c>
      <c r="R14" s="7">
        <v>9.02</v>
      </c>
      <c r="S14" s="8">
        <f>Table1[[#This Row],[Discount_%]]/100</f>
        <v>9.0200000000000002E-2</v>
      </c>
      <c r="T14" s="6" t="s">
        <v>707</v>
      </c>
      <c r="U14" t="s">
        <v>987</v>
      </c>
      <c r="V14">
        <v>2024</v>
      </c>
      <c r="W14" t="s">
        <v>995</v>
      </c>
      <c r="X14" t="s">
        <v>999</v>
      </c>
      <c r="Y14" t="s">
        <v>1000</v>
      </c>
      <c r="Z14">
        <v>3</v>
      </c>
      <c r="AA14">
        <v>14</v>
      </c>
      <c r="AB14" s="4">
        <f>Table1[[#This Row],[Total_Price]]*(1-Table1[[#This Row],[Discount 2]])</f>
        <v>18957335.196799997</v>
      </c>
      <c r="AC14" s="4" t="str" cm="1">
        <f t="array" ref="AC14">_xlfn.IFS(Table1[[#This Row],[Revenue]]&gt;=30000000,"High Value",Table1[[#This Row],[Revenue]]&gt;=10000000,"Moderate Value",TRUE,"Low Value")</f>
        <v>Moderate Value</v>
      </c>
      <c r="AD14" t="str">
        <f>IF(Table1[[#This Row],[Discount 2]]&gt;=5%, "YES", "NO")</f>
        <v>YES</v>
      </c>
      <c r="AE14" t="str" cm="1">
        <f t="array" ref="AE14">_xlfn.IFS(Table1[[#This Row],[Revenue]]&gt;=30000000,"High Spender",Table1[[#This Row],[Revenue]]&gt;=10000000,"Moderate Spender",TRUE,"Low Spender")</f>
        <v>Moderate Spender</v>
      </c>
      <c r="AF14" s="4" t="str" cm="1">
        <f t="array" ref="AF14">_xlfn.IFS(Table1[[#This Row],[Land_Size_SQM]]&gt;=730,"LARGE",Table1[[#This Row],[Land_Size_SQM]]&gt;=465,"MEDIUM",TRUE,"SMALL")</f>
        <v>MEDIUM</v>
      </c>
      <c r="AI14" s="3" t="s">
        <v>10</v>
      </c>
      <c r="AJ14">
        <f>COUNTBLANK(Table1[City])</f>
        <v>0</v>
      </c>
    </row>
    <row r="15" spans="1:41" x14ac:dyDescent="0.3">
      <c r="A15" t="s">
        <v>39</v>
      </c>
      <c r="B15" t="s">
        <v>533</v>
      </c>
      <c r="C15" t="s">
        <v>627</v>
      </c>
      <c r="D15">
        <v>23</v>
      </c>
      <c r="E15" t="s">
        <v>629</v>
      </c>
      <c r="F15">
        <v>262</v>
      </c>
      <c r="G15" s="4">
        <v>22552</v>
      </c>
      <c r="H15" s="4">
        <v>5908624</v>
      </c>
      <c r="I15" t="s">
        <v>642</v>
      </c>
      <c r="J15" t="s">
        <v>673</v>
      </c>
      <c r="K15" t="s">
        <v>675</v>
      </c>
      <c r="L15" t="s">
        <v>680</v>
      </c>
      <c r="M15" t="s">
        <v>683</v>
      </c>
      <c r="N15" t="s">
        <v>689</v>
      </c>
      <c r="O15" t="s">
        <v>693</v>
      </c>
      <c r="P15" s="4">
        <v>5908624</v>
      </c>
      <c r="Q15">
        <v>0</v>
      </c>
      <c r="R15" s="7">
        <v>0.5</v>
      </c>
      <c r="S15" s="8">
        <f>Table1[[#This Row],[Discount_%]]/100</f>
        <v>5.0000000000000001E-3</v>
      </c>
      <c r="T15" s="6" t="s">
        <v>708</v>
      </c>
      <c r="U15" t="s">
        <v>986</v>
      </c>
      <c r="V15">
        <v>2024</v>
      </c>
      <c r="W15" t="s">
        <v>993</v>
      </c>
      <c r="X15" t="s">
        <v>997</v>
      </c>
      <c r="Y15" t="s">
        <v>1000</v>
      </c>
      <c r="Z15">
        <v>4</v>
      </c>
      <c r="AA15">
        <v>8</v>
      </c>
      <c r="AB15" s="4">
        <f>Table1[[#This Row],[Total_Price]]*(1-Table1[[#This Row],[Discount 2]])</f>
        <v>5879080.8799999999</v>
      </c>
      <c r="AC15" s="4" t="str" cm="1">
        <f t="array" ref="AC15">_xlfn.IFS(Table1[[#This Row],[Revenue]]&gt;=30000000,"High Value",Table1[[#This Row],[Revenue]]&gt;=10000000,"Moderate Value",TRUE,"Low Value")</f>
        <v>Low Value</v>
      </c>
      <c r="AD15" t="str">
        <f>IF(Table1[[#This Row],[Discount 2]]&gt;=5%, "YES", "NO")</f>
        <v>NO</v>
      </c>
      <c r="AE15" t="str" cm="1">
        <f t="array" ref="AE15">_xlfn.IFS(Table1[[#This Row],[Revenue]]&gt;=30000000,"High Spender",Table1[[#This Row],[Revenue]]&gt;=10000000,"Moderate Spender",TRUE,"Low Spender")</f>
        <v>Low Spender</v>
      </c>
      <c r="AF15" s="4" t="str" cm="1">
        <f t="array" ref="AF15">_xlfn.IFS(Table1[[#This Row],[Land_Size_SQM]]&gt;=730,"LARGE",Table1[[#This Row],[Land_Size_SQM]]&gt;=465,"MEDIUM",TRUE,"SMALL")</f>
        <v>SMALL</v>
      </c>
      <c r="AI15" s="3" t="s">
        <v>11</v>
      </c>
      <c r="AJ15">
        <f>COUNTBLANK(Table1[Area_Type])</f>
        <v>0</v>
      </c>
    </row>
    <row r="16" spans="1:41" x14ac:dyDescent="0.3">
      <c r="A16" t="s">
        <v>40</v>
      </c>
      <c r="B16" t="s">
        <v>535</v>
      </c>
      <c r="C16" t="s">
        <v>626</v>
      </c>
      <c r="D16">
        <v>36</v>
      </c>
      <c r="E16" t="s">
        <v>628</v>
      </c>
      <c r="F16">
        <v>808</v>
      </c>
      <c r="G16" s="4">
        <v>4604</v>
      </c>
      <c r="H16" s="4">
        <v>3720032</v>
      </c>
      <c r="I16" t="s">
        <v>640</v>
      </c>
      <c r="J16" t="s">
        <v>672</v>
      </c>
      <c r="K16" t="s">
        <v>674</v>
      </c>
      <c r="L16" t="s">
        <v>682</v>
      </c>
      <c r="M16" t="s">
        <v>687</v>
      </c>
      <c r="N16" t="s">
        <v>688</v>
      </c>
      <c r="O16" t="s">
        <v>693</v>
      </c>
      <c r="P16" s="4">
        <v>3720032</v>
      </c>
      <c r="Q16">
        <v>0</v>
      </c>
      <c r="R16" s="7">
        <v>4.1900000000000004</v>
      </c>
      <c r="S16" s="8">
        <f>Table1[[#This Row],[Discount_%]]/100</f>
        <v>4.1900000000000007E-2</v>
      </c>
      <c r="T16" s="6" t="s">
        <v>709</v>
      </c>
      <c r="U16" t="s">
        <v>985</v>
      </c>
      <c r="V16">
        <v>2024</v>
      </c>
      <c r="W16" t="s">
        <v>994</v>
      </c>
      <c r="X16" t="s">
        <v>998</v>
      </c>
      <c r="Y16" t="s">
        <v>1000</v>
      </c>
      <c r="Z16">
        <v>3</v>
      </c>
      <c r="AA16">
        <v>30</v>
      </c>
      <c r="AB16" s="4">
        <f>Table1[[#This Row],[Total_Price]]*(1-Table1[[#This Row],[Discount 2]])</f>
        <v>3564162.6591999996</v>
      </c>
      <c r="AC16" s="4" t="str" cm="1">
        <f t="array" ref="AC16">_xlfn.IFS(Table1[[#This Row],[Revenue]]&gt;=30000000,"High Value",Table1[[#This Row],[Revenue]]&gt;=10000000,"Moderate Value",TRUE,"Low Value")</f>
        <v>Low Value</v>
      </c>
      <c r="AD16" t="str">
        <f>IF(Table1[[#This Row],[Discount 2]]&gt;=5%, "YES", "NO")</f>
        <v>NO</v>
      </c>
      <c r="AE16" t="str" cm="1">
        <f t="array" ref="AE16">_xlfn.IFS(Table1[[#This Row],[Revenue]]&gt;=30000000,"High Spender",Table1[[#This Row],[Revenue]]&gt;=10000000,"Moderate Spender",TRUE,"Low Spender")</f>
        <v>Low Spender</v>
      </c>
      <c r="AF16" s="4" t="str" cm="1">
        <f t="array" ref="AF16">_xlfn.IFS(Table1[[#This Row],[Land_Size_SQM]]&gt;=730,"LARGE",Table1[[#This Row],[Land_Size_SQM]]&gt;=465,"MEDIUM",TRUE,"SMALL")</f>
        <v>LARGE</v>
      </c>
      <c r="AI16" s="3" t="s">
        <v>12</v>
      </c>
      <c r="AJ16">
        <f>COUNTBLANK(Table1[Real_Estate_Company])</f>
        <v>0</v>
      </c>
      <c r="AM16" t="s">
        <v>1046</v>
      </c>
      <c r="AN16" t="s">
        <v>1003</v>
      </c>
    </row>
    <row r="17" spans="1:40" x14ac:dyDescent="0.3">
      <c r="A17" t="s">
        <v>41</v>
      </c>
      <c r="B17" t="s">
        <v>539</v>
      </c>
      <c r="C17" t="s">
        <v>627</v>
      </c>
      <c r="D17">
        <v>42</v>
      </c>
      <c r="E17" t="s">
        <v>628</v>
      </c>
      <c r="F17">
        <v>669</v>
      </c>
      <c r="G17" s="4">
        <v>42708</v>
      </c>
      <c r="H17" s="4">
        <v>28571652</v>
      </c>
      <c r="I17" t="s">
        <v>643</v>
      </c>
      <c r="J17" t="s">
        <v>671</v>
      </c>
      <c r="K17" t="s">
        <v>664</v>
      </c>
      <c r="L17" t="s">
        <v>680</v>
      </c>
      <c r="M17" t="s">
        <v>687</v>
      </c>
      <c r="N17" t="s">
        <v>690</v>
      </c>
      <c r="O17" t="s">
        <v>693</v>
      </c>
      <c r="P17" s="4">
        <v>28571652</v>
      </c>
      <c r="Q17">
        <v>0</v>
      </c>
      <c r="R17" s="7">
        <v>0.73</v>
      </c>
      <c r="S17" s="8">
        <f>Table1[[#This Row],[Discount_%]]/100</f>
        <v>7.3000000000000001E-3</v>
      </c>
      <c r="T17" s="6" t="s">
        <v>710</v>
      </c>
      <c r="U17" t="s">
        <v>990</v>
      </c>
      <c r="V17">
        <v>2024</v>
      </c>
      <c r="W17" t="s">
        <v>996</v>
      </c>
      <c r="X17" t="s">
        <v>998</v>
      </c>
      <c r="Y17" t="s">
        <v>1001</v>
      </c>
      <c r="Z17">
        <v>3</v>
      </c>
      <c r="AA17">
        <v>40</v>
      </c>
      <c r="AB17" s="4">
        <f>Table1[[#This Row],[Total_Price]]*(1-Table1[[#This Row],[Discount 2]])</f>
        <v>28363078.940400001</v>
      </c>
      <c r="AC17" s="4" t="str" cm="1">
        <f t="array" ref="AC17">_xlfn.IFS(Table1[[#This Row],[Revenue]]&gt;=30000000,"High Value",Table1[[#This Row],[Revenue]]&gt;=10000000,"Moderate Value",TRUE,"Low Value")</f>
        <v>Moderate Value</v>
      </c>
      <c r="AD17" t="str">
        <f>IF(Table1[[#This Row],[Discount 2]]&gt;=5%, "YES", "NO")</f>
        <v>NO</v>
      </c>
      <c r="AE17" t="str" cm="1">
        <f t="array" ref="AE17">_xlfn.IFS(Table1[[#This Row],[Revenue]]&gt;=30000000,"High Spender",Table1[[#This Row],[Revenue]]&gt;=10000000,"Moderate Spender",TRUE,"Low Spender")</f>
        <v>Moderate Spender</v>
      </c>
      <c r="AF17" s="4" t="str" cm="1">
        <f t="array" ref="AF17">_xlfn.IFS(Table1[[#This Row],[Land_Size_SQM]]&gt;=730,"LARGE",Table1[[#This Row],[Land_Size_SQM]]&gt;=465,"MEDIUM",TRUE,"SMALL")</f>
        <v>MEDIUM</v>
      </c>
      <c r="AI17" s="3" t="s">
        <v>13</v>
      </c>
      <c r="AJ17">
        <f>COUNTBLANK(Table1[Sales_Agent])</f>
        <v>0</v>
      </c>
      <c r="AM17" t="s">
        <v>630</v>
      </c>
      <c r="AN17" s="14">
        <f>SUMIF(Table1[Property_Type],AM17,Table1[Revenue])</f>
        <v>2667382613.0330009</v>
      </c>
    </row>
    <row r="18" spans="1:40" x14ac:dyDescent="0.3">
      <c r="A18" t="s">
        <v>42</v>
      </c>
      <c r="B18" t="s">
        <v>540</v>
      </c>
      <c r="C18" t="s">
        <v>627</v>
      </c>
      <c r="D18">
        <v>37</v>
      </c>
      <c r="E18" t="s">
        <v>630</v>
      </c>
      <c r="F18">
        <v>883</v>
      </c>
      <c r="G18" s="4">
        <v>38346</v>
      </c>
      <c r="H18" s="4">
        <v>33859518</v>
      </c>
      <c r="I18" t="s">
        <v>644</v>
      </c>
      <c r="J18" t="s">
        <v>668</v>
      </c>
      <c r="K18" t="s">
        <v>664</v>
      </c>
      <c r="L18" t="s">
        <v>682</v>
      </c>
      <c r="M18" t="s">
        <v>683</v>
      </c>
      <c r="N18" t="s">
        <v>690</v>
      </c>
      <c r="O18" t="s">
        <v>694</v>
      </c>
      <c r="P18" s="4">
        <v>16309419</v>
      </c>
      <c r="Q18">
        <v>3</v>
      </c>
      <c r="R18" s="7">
        <v>1.34</v>
      </c>
      <c r="S18" s="8">
        <f>Table1[[#This Row],[Discount_%]]/100</f>
        <v>1.34E-2</v>
      </c>
      <c r="T18" s="6" t="s">
        <v>711</v>
      </c>
      <c r="U18" t="s">
        <v>981</v>
      </c>
      <c r="V18">
        <v>2024</v>
      </c>
      <c r="W18" t="s">
        <v>996</v>
      </c>
      <c r="X18" t="s">
        <v>997</v>
      </c>
      <c r="Y18" t="s">
        <v>1001</v>
      </c>
      <c r="Z18">
        <v>3</v>
      </c>
      <c r="AA18">
        <v>33</v>
      </c>
      <c r="AB18" s="4">
        <f>Table1[[#This Row],[Total_Price]]*(1-Table1[[#This Row],[Discount 2]])</f>
        <v>33405800.458800003</v>
      </c>
      <c r="AC18" s="4" t="str" cm="1">
        <f t="array" ref="AC18">_xlfn.IFS(Table1[[#This Row],[Revenue]]&gt;=30000000,"High Value",Table1[[#This Row],[Revenue]]&gt;=10000000,"Moderate Value",TRUE,"Low Value")</f>
        <v>High Value</v>
      </c>
      <c r="AD18" t="str">
        <f>IF(Table1[[#This Row],[Discount 2]]&gt;=5%, "YES", "NO")</f>
        <v>NO</v>
      </c>
      <c r="AE18" t="str" cm="1">
        <f t="array" ref="AE18">_xlfn.IFS(Table1[[#This Row],[Revenue]]&gt;=30000000,"High Spender",Table1[[#This Row],[Revenue]]&gt;=10000000,"Moderate Spender",TRUE,"Low Spender")</f>
        <v>High Spender</v>
      </c>
      <c r="AF18" s="4" t="str" cm="1">
        <f t="array" ref="AF18">_xlfn.IFS(Table1[[#This Row],[Land_Size_SQM]]&gt;=730,"LARGE",Table1[[#This Row],[Land_Size_SQM]]&gt;=465,"MEDIUM",TRUE,"SMALL")</f>
        <v>LARGE</v>
      </c>
      <c r="AI18" s="3" t="s">
        <v>14</v>
      </c>
      <c r="AJ18">
        <f>COUNTBLANK(Table1[Payment_Type])</f>
        <v>0</v>
      </c>
      <c r="AM18" t="s">
        <v>1048</v>
      </c>
      <c r="AN18" s="15">
        <f>SUMIF(Table1[Property_Type],AM18,Table1[Revenue])</f>
        <v>2508161112.158699</v>
      </c>
    </row>
    <row r="19" spans="1:40" x14ac:dyDescent="0.3">
      <c r="A19" t="s">
        <v>43</v>
      </c>
      <c r="B19" t="s">
        <v>527</v>
      </c>
      <c r="C19" t="s">
        <v>626</v>
      </c>
      <c r="D19">
        <v>55</v>
      </c>
      <c r="E19" t="s">
        <v>629</v>
      </c>
      <c r="F19">
        <v>294</v>
      </c>
      <c r="G19" s="4">
        <v>43568</v>
      </c>
      <c r="H19" s="4">
        <v>12808992</v>
      </c>
      <c r="I19" t="s">
        <v>645</v>
      </c>
      <c r="J19" t="s">
        <v>670</v>
      </c>
      <c r="K19" t="s">
        <v>664</v>
      </c>
      <c r="L19" t="s">
        <v>681</v>
      </c>
      <c r="M19" t="s">
        <v>686</v>
      </c>
      <c r="N19" t="s">
        <v>689</v>
      </c>
      <c r="O19" t="s">
        <v>694</v>
      </c>
      <c r="P19" s="4">
        <v>2731210</v>
      </c>
      <c r="Q19">
        <v>12</v>
      </c>
      <c r="R19" s="7">
        <v>3.34</v>
      </c>
      <c r="S19" s="8">
        <f>Table1[[#This Row],[Discount_%]]/100</f>
        <v>3.3399999999999999E-2</v>
      </c>
      <c r="T19" s="6" t="s">
        <v>712</v>
      </c>
      <c r="U19" t="s">
        <v>987</v>
      </c>
      <c r="V19">
        <v>2024</v>
      </c>
      <c r="W19" t="s">
        <v>993</v>
      </c>
      <c r="X19" t="s">
        <v>999</v>
      </c>
      <c r="Y19" t="s">
        <v>1001</v>
      </c>
      <c r="Z19">
        <v>2</v>
      </c>
      <c r="AA19">
        <v>35</v>
      </c>
      <c r="AB19" s="4">
        <f>Table1[[#This Row],[Total_Price]]*(1-Table1[[#This Row],[Discount 2]])</f>
        <v>12381171.667200001</v>
      </c>
      <c r="AC19" s="4" t="str" cm="1">
        <f t="array" ref="AC19">_xlfn.IFS(Table1[[#This Row],[Revenue]]&gt;=30000000,"High Value",Table1[[#This Row],[Revenue]]&gt;=10000000,"Moderate Value",TRUE,"Low Value")</f>
        <v>Moderate Value</v>
      </c>
      <c r="AD19" t="str">
        <f>IF(Table1[[#This Row],[Discount 2]]&gt;=5%, "YES", "NO")</f>
        <v>NO</v>
      </c>
      <c r="AE19" t="str" cm="1">
        <f t="array" ref="AE19">_xlfn.IFS(Table1[[#This Row],[Revenue]]&gt;=30000000,"High Spender",Table1[[#This Row],[Revenue]]&gt;=10000000,"Moderate Spender",TRUE,"Low Spender")</f>
        <v>Moderate Spender</v>
      </c>
      <c r="AF19" s="4" t="str" cm="1">
        <f t="array" ref="AF19">_xlfn.IFS(Table1[[#This Row],[Land_Size_SQM]]&gt;=730,"LARGE",Table1[[#This Row],[Land_Size_SQM]]&gt;=465,"MEDIUM",TRUE,"SMALL")</f>
        <v>SMALL</v>
      </c>
      <c r="AI19" s="3" t="s">
        <v>15</v>
      </c>
      <c r="AJ19">
        <f>COUNTBLANK(Table1[Initial_Deposit])</f>
        <v>0</v>
      </c>
      <c r="AM19" t="s">
        <v>628</v>
      </c>
      <c r="AN19" s="4">
        <f>SUMIF(Table1[Property_Type],AM19,Table1[Revenue])</f>
        <v>2562743830.6114011</v>
      </c>
    </row>
    <row r="20" spans="1:40" x14ac:dyDescent="0.3">
      <c r="A20" t="s">
        <v>44</v>
      </c>
      <c r="B20" t="s">
        <v>530</v>
      </c>
      <c r="C20" t="s">
        <v>627</v>
      </c>
      <c r="D20">
        <v>62</v>
      </c>
      <c r="E20" t="s">
        <v>628</v>
      </c>
      <c r="F20">
        <v>765</v>
      </c>
      <c r="G20" s="4">
        <v>11705</v>
      </c>
      <c r="H20" s="4">
        <v>8954325</v>
      </c>
      <c r="I20" t="s">
        <v>646</v>
      </c>
      <c r="J20" t="s">
        <v>673</v>
      </c>
      <c r="K20" t="s">
        <v>674</v>
      </c>
      <c r="L20" t="s">
        <v>681</v>
      </c>
      <c r="M20" t="s">
        <v>686</v>
      </c>
      <c r="N20" t="s">
        <v>691</v>
      </c>
      <c r="O20" t="s">
        <v>694</v>
      </c>
      <c r="P20" s="4">
        <v>1903230</v>
      </c>
      <c r="Q20">
        <v>6</v>
      </c>
      <c r="R20" s="7">
        <v>3.65</v>
      </c>
      <c r="S20" s="8">
        <f>Table1[[#This Row],[Discount_%]]/100</f>
        <v>3.6499999999999998E-2</v>
      </c>
      <c r="T20" s="6" t="s">
        <v>713</v>
      </c>
      <c r="U20" t="s">
        <v>988</v>
      </c>
      <c r="V20">
        <v>2024</v>
      </c>
      <c r="W20" t="s">
        <v>996</v>
      </c>
      <c r="X20" t="s">
        <v>999</v>
      </c>
      <c r="Y20" t="s">
        <v>1000</v>
      </c>
      <c r="Z20">
        <v>2</v>
      </c>
      <c r="AA20">
        <v>27</v>
      </c>
      <c r="AB20" s="4">
        <f>Table1[[#This Row],[Total_Price]]*(1-Table1[[#This Row],[Discount 2]])</f>
        <v>8627492.1375000011</v>
      </c>
      <c r="AC20" s="4" t="str" cm="1">
        <f t="array" ref="AC20">_xlfn.IFS(Table1[[#This Row],[Revenue]]&gt;=30000000,"High Value",Table1[[#This Row],[Revenue]]&gt;=10000000,"Moderate Value",TRUE,"Low Value")</f>
        <v>Low Value</v>
      </c>
      <c r="AD20" t="str">
        <f>IF(Table1[[#This Row],[Discount 2]]&gt;=5%, "YES", "NO")</f>
        <v>NO</v>
      </c>
      <c r="AE20" t="str" cm="1">
        <f t="array" ref="AE20">_xlfn.IFS(Table1[[#This Row],[Revenue]]&gt;=30000000,"High Spender",Table1[[#This Row],[Revenue]]&gt;=10000000,"Moderate Spender",TRUE,"Low Spender")</f>
        <v>Low Spender</v>
      </c>
      <c r="AF20" s="4" t="str" cm="1">
        <f t="array" ref="AF20">_xlfn.IFS(Table1[[#This Row],[Land_Size_SQM]]&gt;=730,"LARGE",Table1[[#This Row],[Land_Size_SQM]]&gt;=465,"MEDIUM",TRUE,"SMALL")</f>
        <v>LARGE</v>
      </c>
      <c r="AI20" s="3" t="s">
        <v>16</v>
      </c>
      <c r="AJ20">
        <f>COUNTBLANK(Table1[Installment_Duration])</f>
        <v>0</v>
      </c>
    </row>
    <row r="21" spans="1:40" x14ac:dyDescent="0.3">
      <c r="A21" t="s">
        <v>45</v>
      </c>
      <c r="B21" t="s">
        <v>541</v>
      </c>
      <c r="C21" t="s">
        <v>627</v>
      </c>
      <c r="D21">
        <v>50</v>
      </c>
      <c r="E21" t="s">
        <v>628</v>
      </c>
      <c r="F21">
        <v>621</v>
      </c>
      <c r="G21" s="4">
        <v>45903</v>
      </c>
      <c r="H21" s="4">
        <v>28505763</v>
      </c>
      <c r="I21" t="s">
        <v>641</v>
      </c>
      <c r="J21" t="s">
        <v>673</v>
      </c>
      <c r="K21" t="s">
        <v>651</v>
      </c>
      <c r="L21" t="s">
        <v>680</v>
      </c>
      <c r="M21" t="s">
        <v>684</v>
      </c>
      <c r="N21" t="s">
        <v>690</v>
      </c>
      <c r="O21" t="s">
        <v>693</v>
      </c>
      <c r="P21" s="4">
        <v>28505763</v>
      </c>
      <c r="Q21">
        <v>0</v>
      </c>
      <c r="R21" s="7">
        <v>2.67</v>
      </c>
      <c r="S21" s="8">
        <f>Table1[[#This Row],[Discount_%]]/100</f>
        <v>2.6699999999999998E-2</v>
      </c>
      <c r="T21" s="6" t="s">
        <v>714</v>
      </c>
      <c r="U21" t="s">
        <v>984</v>
      </c>
      <c r="V21">
        <v>2024</v>
      </c>
      <c r="W21" t="s">
        <v>994</v>
      </c>
      <c r="X21" t="s">
        <v>999</v>
      </c>
      <c r="Y21" t="s">
        <v>1000</v>
      </c>
      <c r="Z21">
        <v>1</v>
      </c>
      <c r="AA21">
        <v>43</v>
      </c>
      <c r="AB21" s="4">
        <f>Table1[[#This Row],[Total_Price]]*(1-Table1[[#This Row],[Discount 2]])</f>
        <v>27744659.127900001</v>
      </c>
      <c r="AC21" s="4" t="str" cm="1">
        <f t="array" ref="AC21">_xlfn.IFS(Table1[[#This Row],[Revenue]]&gt;=30000000,"High Value",Table1[[#This Row],[Revenue]]&gt;=10000000,"Moderate Value",TRUE,"Low Value")</f>
        <v>Moderate Value</v>
      </c>
      <c r="AD21" t="str">
        <f>IF(Table1[[#This Row],[Discount 2]]&gt;=5%, "YES", "NO")</f>
        <v>NO</v>
      </c>
      <c r="AE21" t="str" cm="1">
        <f t="array" ref="AE21">_xlfn.IFS(Table1[[#This Row],[Revenue]]&gt;=30000000,"High Spender",Table1[[#This Row],[Revenue]]&gt;=10000000,"Moderate Spender",TRUE,"Low Spender")</f>
        <v>Moderate Spender</v>
      </c>
      <c r="AF21" s="4" t="str" cm="1">
        <f t="array" ref="AF21">_xlfn.IFS(Table1[[#This Row],[Land_Size_SQM]]&gt;=730,"LARGE",Table1[[#This Row],[Land_Size_SQM]]&gt;=465,"MEDIUM",TRUE,"SMALL")</f>
        <v>MEDIUM</v>
      </c>
      <c r="AI21" s="3" t="s">
        <v>17</v>
      </c>
      <c r="AJ21">
        <f>COUNTBLANK(Table1[Discount_%])</f>
        <v>0</v>
      </c>
    </row>
    <row r="22" spans="1:40" x14ac:dyDescent="0.3">
      <c r="A22" t="s">
        <v>46</v>
      </c>
      <c r="B22" t="s">
        <v>542</v>
      </c>
      <c r="C22" t="s">
        <v>627</v>
      </c>
      <c r="D22">
        <v>36</v>
      </c>
      <c r="E22" t="s">
        <v>628</v>
      </c>
      <c r="F22">
        <v>485</v>
      </c>
      <c r="G22" s="4">
        <v>6549</v>
      </c>
      <c r="H22" s="4">
        <v>3176265</v>
      </c>
      <c r="I22" t="s">
        <v>632</v>
      </c>
      <c r="J22" t="s">
        <v>669</v>
      </c>
      <c r="K22" t="s">
        <v>651</v>
      </c>
      <c r="L22" t="s">
        <v>682</v>
      </c>
      <c r="M22" t="s">
        <v>687</v>
      </c>
      <c r="N22" t="s">
        <v>689</v>
      </c>
      <c r="O22" t="s">
        <v>694</v>
      </c>
      <c r="P22" s="4">
        <v>1246508</v>
      </c>
      <c r="Q22">
        <v>12</v>
      </c>
      <c r="R22" s="7">
        <v>4</v>
      </c>
      <c r="S22" s="8">
        <f>Table1[[#This Row],[Discount_%]]/100</f>
        <v>0.04</v>
      </c>
      <c r="T22" s="6" t="s">
        <v>701</v>
      </c>
      <c r="U22" t="s">
        <v>985</v>
      </c>
      <c r="V22">
        <v>2024</v>
      </c>
      <c r="W22" t="s">
        <v>993</v>
      </c>
      <c r="X22" t="s">
        <v>997</v>
      </c>
      <c r="Y22" t="s">
        <v>1002</v>
      </c>
      <c r="Z22">
        <v>3</v>
      </c>
      <c r="AA22">
        <v>47</v>
      </c>
      <c r="AB22" s="4">
        <f>Table1[[#This Row],[Total_Price]]*(1-Table1[[#This Row],[Discount 2]])</f>
        <v>3049214.4</v>
      </c>
      <c r="AC22" s="4" t="str" cm="1">
        <f t="array" ref="AC22">_xlfn.IFS(Table1[[#This Row],[Revenue]]&gt;=30000000,"High Value",Table1[[#This Row],[Revenue]]&gt;=10000000,"Moderate Value",TRUE,"Low Value")</f>
        <v>Low Value</v>
      </c>
      <c r="AD22" t="str">
        <f>IF(Table1[[#This Row],[Discount 2]]&gt;=5%, "YES", "NO")</f>
        <v>NO</v>
      </c>
      <c r="AE22" t="str" cm="1">
        <f t="array" ref="AE22">_xlfn.IFS(Table1[[#This Row],[Revenue]]&gt;=30000000,"High Spender",Table1[[#This Row],[Revenue]]&gt;=10000000,"Moderate Spender",TRUE,"Low Spender")</f>
        <v>Low Spender</v>
      </c>
      <c r="AF22" s="4" t="str" cm="1">
        <f t="array" ref="AF22">_xlfn.IFS(Table1[[#This Row],[Land_Size_SQM]]&gt;=730,"LARGE",Table1[[#This Row],[Land_Size_SQM]]&gt;=465,"MEDIUM",TRUE,"SMALL")</f>
        <v>MEDIUM</v>
      </c>
      <c r="AI22" s="3" t="s">
        <v>18</v>
      </c>
      <c r="AJ22">
        <f>COUNTBLANK(Table1[Transaction_Date])</f>
        <v>0</v>
      </c>
    </row>
    <row r="23" spans="1:40" x14ac:dyDescent="0.3">
      <c r="A23" t="s">
        <v>47</v>
      </c>
      <c r="B23" t="s">
        <v>533</v>
      </c>
      <c r="C23" t="s">
        <v>627</v>
      </c>
      <c r="D23">
        <v>43</v>
      </c>
      <c r="E23" t="s">
        <v>630</v>
      </c>
      <c r="F23">
        <v>723</v>
      </c>
      <c r="G23" s="4">
        <v>9578</v>
      </c>
      <c r="H23" s="4">
        <v>6924894</v>
      </c>
      <c r="I23" t="s">
        <v>639</v>
      </c>
      <c r="J23" t="s">
        <v>671</v>
      </c>
      <c r="K23" t="s">
        <v>674</v>
      </c>
      <c r="L23" t="s">
        <v>680</v>
      </c>
      <c r="M23" t="s">
        <v>687</v>
      </c>
      <c r="N23" t="s">
        <v>692</v>
      </c>
      <c r="O23" t="s">
        <v>694</v>
      </c>
      <c r="P23" s="4">
        <v>1914157</v>
      </c>
      <c r="Q23">
        <v>6</v>
      </c>
      <c r="R23" s="7">
        <v>7.09</v>
      </c>
      <c r="S23" s="8">
        <f>Table1[[#This Row],[Discount_%]]/100</f>
        <v>7.0900000000000005E-2</v>
      </c>
      <c r="T23" s="6" t="s">
        <v>715</v>
      </c>
      <c r="U23" t="s">
        <v>988</v>
      </c>
      <c r="V23">
        <v>2024</v>
      </c>
      <c r="W23" t="s">
        <v>994</v>
      </c>
      <c r="X23" t="s">
        <v>997</v>
      </c>
      <c r="Y23" t="s">
        <v>1000</v>
      </c>
      <c r="Z23">
        <v>3</v>
      </c>
      <c r="AA23">
        <v>33</v>
      </c>
      <c r="AB23" s="4">
        <f>Table1[[#This Row],[Total_Price]]*(1-Table1[[#This Row],[Discount 2]])</f>
        <v>6433919.0153999999</v>
      </c>
      <c r="AC23" s="4" t="str" cm="1">
        <f t="array" ref="AC23">_xlfn.IFS(Table1[[#This Row],[Revenue]]&gt;=30000000,"High Value",Table1[[#This Row],[Revenue]]&gt;=10000000,"Moderate Value",TRUE,"Low Value")</f>
        <v>Low Value</v>
      </c>
      <c r="AD23" t="str">
        <f>IF(Table1[[#This Row],[Discount 2]]&gt;=5%, "YES", "NO")</f>
        <v>YES</v>
      </c>
      <c r="AE23" t="str" cm="1">
        <f t="array" ref="AE23">_xlfn.IFS(Table1[[#This Row],[Revenue]]&gt;=30000000,"High Spender",Table1[[#This Row],[Revenue]]&gt;=10000000,"Moderate Spender",TRUE,"Low Spender")</f>
        <v>Low Spender</v>
      </c>
      <c r="AF23" s="4" t="str" cm="1">
        <f t="array" ref="AF23">_xlfn.IFS(Table1[[#This Row],[Land_Size_SQM]]&gt;=730,"LARGE",Table1[[#This Row],[Land_Size_SQM]]&gt;=465,"MEDIUM",TRUE,"SMALL")</f>
        <v>MEDIUM</v>
      </c>
      <c r="AI23" s="3" t="s">
        <v>19</v>
      </c>
      <c r="AJ23">
        <f>COUNTBLANK(Table1[Month])</f>
        <v>0</v>
      </c>
    </row>
    <row r="24" spans="1:40" x14ac:dyDescent="0.3">
      <c r="A24" t="s">
        <v>48</v>
      </c>
      <c r="B24" t="s">
        <v>543</v>
      </c>
      <c r="C24" t="s">
        <v>626</v>
      </c>
      <c r="D24">
        <v>45</v>
      </c>
      <c r="E24" t="s">
        <v>629</v>
      </c>
      <c r="F24">
        <v>534</v>
      </c>
      <c r="G24" s="4">
        <v>28371</v>
      </c>
      <c r="H24" s="4">
        <v>15150114</v>
      </c>
      <c r="I24" t="s">
        <v>636</v>
      </c>
      <c r="J24" t="s">
        <v>671</v>
      </c>
      <c r="K24" t="s">
        <v>640</v>
      </c>
      <c r="L24" t="s">
        <v>680</v>
      </c>
      <c r="M24" t="s">
        <v>687</v>
      </c>
      <c r="N24" t="s">
        <v>690</v>
      </c>
      <c r="O24" t="s">
        <v>694</v>
      </c>
      <c r="P24" s="4">
        <v>3901943</v>
      </c>
      <c r="Q24">
        <v>6</v>
      </c>
      <c r="R24" s="7">
        <v>6.65</v>
      </c>
      <c r="S24" s="8">
        <f>Table1[[#This Row],[Discount_%]]/100</f>
        <v>6.6500000000000004E-2</v>
      </c>
      <c r="T24" s="6" t="s">
        <v>716</v>
      </c>
      <c r="U24" t="s">
        <v>991</v>
      </c>
      <c r="V24">
        <v>2024</v>
      </c>
      <c r="W24" t="s">
        <v>996</v>
      </c>
      <c r="X24" t="s">
        <v>998</v>
      </c>
      <c r="Y24" t="s">
        <v>1001</v>
      </c>
      <c r="Z24">
        <v>5</v>
      </c>
      <c r="AA24">
        <v>42</v>
      </c>
      <c r="AB24" s="4">
        <f>Table1[[#This Row],[Total_Price]]*(1-Table1[[#This Row],[Discount 2]])</f>
        <v>14142631.419</v>
      </c>
      <c r="AC24" s="4" t="str" cm="1">
        <f t="array" ref="AC24">_xlfn.IFS(Table1[[#This Row],[Revenue]]&gt;=30000000,"High Value",Table1[[#This Row],[Revenue]]&gt;=10000000,"Moderate Value",TRUE,"Low Value")</f>
        <v>Moderate Value</v>
      </c>
      <c r="AD24" t="str">
        <f>IF(Table1[[#This Row],[Discount 2]]&gt;=5%, "YES", "NO")</f>
        <v>YES</v>
      </c>
      <c r="AE24" t="str" cm="1">
        <f t="array" ref="AE24">_xlfn.IFS(Table1[[#This Row],[Revenue]]&gt;=30000000,"High Spender",Table1[[#This Row],[Revenue]]&gt;=10000000,"Moderate Spender",TRUE,"Low Spender")</f>
        <v>Moderate Spender</v>
      </c>
      <c r="AF24" s="4" t="str" cm="1">
        <f t="array" ref="AF24">_xlfn.IFS(Table1[[#This Row],[Land_Size_SQM]]&gt;=730,"LARGE",Table1[[#This Row],[Land_Size_SQM]]&gt;=465,"MEDIUM",TRUE,"SMALL")</f>
        <v>MEDIUM</v>
      </c>
      <c r="AI24" s="3" t="s">
        <v>20</v>
      </c>
      <c r="AJ24">
        <f>COUNTBLANK(Table1[Year])</f>
        <v>0</v>
      </c>
    </row>
    <row r="25" spans="1:40" x14ac:dyDescent="0.3">
      <c r="A25" t="s">
        <v>49</v>
      </c>
      <c r="B25" t="s">
        <v>544</v>
      </c>
      <c r="C25" t="s">
        <v>626</v>
      </c>
      <c r="D25">
        <v>25</v>
      </c>
      <c r="E25" t="s">
        <v>628</v>
      </c>
      <c r="F25">
        <v>652</v>
      </c>
      <c r="G25" s="4">
        <v>46277</v>
      </c>
      <c r="H25" s="4">
        <v>30172604</v>
      </c>
      <c r="I25" t="s">
        <v>639</v>
      </c>
      <c r="J25" t="s">
        <v>671</v>
      </c>
      <c r="K25" t="s">
        <v>678</v>
      </c>
      <c r="L25" t="s">
        <v>682</v>
      </c>
      <c r="M25" t="s">
        <v>687</v>
      </c>
      <c r="N25" t="s">
        <v>688</v>
      </c>
      <c r="O25" t="s">
        <v>693</v>
      </c>
      <c r="P25" s="4">
        <v>30172604</v>
      </c>
      <c r="Q25">
        <v>0</v>
      </c>
      <c r="R25" s="7">
        <v>5.1100000000000003</v>
      </c>
      <c r="S25" s="8">
        <f>Table1[[#This Row],[Discount_%]]/100</f>
        <v>5.1100000000000007E-2</v>
      </c>
      <c r="T25" s="6" t="s">
        <v>717</v>
      </c>
      <c r="U25" t="s">
        <v>987</v>
      </c>
      <c r="V25">
        <v>2024</v>
      </c>
      <c r="W25" t="s">
        <v>996</v>
      </c>
      <c r="X25" t="s">
        <v>999</v>
      </c>
      <c r="Y25" t="s">
        <v>1000</v>
      </c>
      <c r="Z25">
        <v>1</v>
      </c>
      <c r="AA25">
        <v>16</v>
      </c>
      <c r="AB25" s="4">
        <f>Table1[[#This Row],[Total_Price]]*(1-Table1[[#This Row],[Discount 2]])</f>
        <v>28630783.935599998</v>
      </c>
      <c r="AC25" s="4" t="str" cm="1">
        <f t="array" ref="AC25">_xlfn.IFS(Table1[[#This Row],[Revenue]]&gt;=30000000,"High Value",Table1[[#This Row],[Revenue]]&gt;=10000000,"Moderate Value",TRUE,"Low Value")</f>
        <v>Moderate Value</v>
      </c>
      <c r="AD25" t="str">
        <f>IF(Table1[[#This Row],[Discount 2]]&gt;=5%, "YES", "NO")</f>
        <v>YES</v>
      </c>
      <c r="AE25" t="str" cm="1">
        <f t="array" ref="AE25">_xlfn.IFS(Table1[[#This Row],[Revenue]]&gt;=30000000,"High Spender",Table1[[#This Row],[Revenue]]&gt;=10000000,"Moderate Spender",TRUE,"Low Spender")</f>
        <v>Moderate Spender</v>
      </c>
      <c r="AF25" s="4" t="str" cm="1">
        <f t="array" ref="AF25">_xlfn.IFS(Table1[[#This Row],[Land_Size_SQM]]&gt;=730,"LARGE",Table1[[#This Row],[Land_Size_SQM]]&gt;=465,"MEDIUM",TRUE,"SMALL")</f>
        <v>MEDIUM</v>
      </c>
      <c r="AI25" s="3" t="s">
        <v>21</v>
      </c>
      <c r="AJ25">
        <f>COUNTBLANK(Table1[Marketing_Channel])</f>
        <v>0</v>
      </c>
    </row>
    <row r="26" spans="1:40" x14ac:dyDescent="0.3">
      <c r="A26" t="s">
        <v>50</v>
      </c>
      <c r="B26" t="s">
        <v>545</v>
      </c>
      <c r="C26" t="s">
        <v>627</v>
      </c>
      <c r="D26">
        <v>29</v>
      </c>
      <c r="E26" t="s">
        <v>629</v>
      </c>
      <c r="F26">
        <v>666</v>
      </c>
      <c r="G26" s="4">
        <v>29160</v>
      </c>
      <c r="H26" s="4">
        <v>19420560</v>
      </c>
      <c r="I26" t="s">
        <v>647</v>
      </c>
      <c r="J26" t="s">
        <v>670</v>
      </c>
      <c r="K26" t="s">
        <v>676</v>
      </c>
      <c r="L26" t="s">
        <v>682</v>
      </c>
      <c r="M26" t="s">
        <v>685</v>
      </c>
      <c r="N26" t="s">
        <v>689</v>
      </c>
      <c r="O26" t="s">
        <v>693</v>
      </c>
      <c r="P26" s="4">
        <v>19420560</v>
      </c>
      <c r="Q26">
        <v>0</v>
      </c>
      <c r="R26" s="7">
        <v>7.18</v>
      </c>
      <c r="S26" s="8">
        <f>Table1[[#This Row],[Discount_%]]/100</f>
        <v>7.1800000000000003E-2</v>
      </c>
      <c r="T26" s="6" t="s">
        <v>718</v>
      </c>
      <c r="U26" t="s">
        <v>991</v>
      </c>
      <c r="V26">
        <v>2024</v>
      </c>
      <c r="W26" t="s">
        <v>995</v>
      </c>
      <c r="X26" t="s">
        <v>999</v>
      </c>
      <c r="Y26" t="s">
        <v>1000</v>
      </c>
      <c r="Z26">
        <v>5</v>
      </c>
      <c r="AA26">
        <v>30</v>
      </c>
      <c r="AB26" s="4">
        <f>Table1[[#This Row],[Total_Price]]*(1-Table1[[#This Row],[Discount 2]])</f>
        <v>18026163.791999999</v>
      </c>
      <c r="AC26" s="4" t="str" cm="1">
        <f t="array" ref="AC26">_xlfn.IFS(Table1[[#This Row],[Revenue]]&gt;=30000000,"High Value",Table1[[#This Row],[Revenue]]&gt;=10000000,"Moderate Value",TRUE,"Low Value")</f>
        <v>Moderate Value</v>
      </c>
      <c r="AD26" t="str">
        <f>IF(Table1[[#This Row],[Discount 2]]&gt;=5%, "YES", "NO")</f>
        <v>YES</v>
      </c>
      <c r="AE26" t="str" cm="1">
        <f t="array" ref="AE26">_xlfn.IFS(Table1[[#This Row],[Revenue]]&gt;=30000000,"High Spender",Table1[[#This Row],[Revenue]]&gt;=10000000,"Moderate Spender",TRUE,"Low Spender")</f>
        <v>Moderate Spender</v>
      </c>
      <c r="AF26" s="4" t="str" cm="1">
        <f t="array" ref="AF26">_xlfn.IFS(Table1[[#This Row],[Land_Size_SQM]]&gt;=730,"LARGE",Table1[[#This Row],[Land_Size_SQM]]&gt;=465,"MEDIUM",TRUE,"SMALL")</f>
        <v>MEDIUM</v>
      </c>
      <c r="AI26" s="3" t="s">
        <v>22</v>
      </c>
      <c r="AJ26">
        <f>COUNTBLANK(Table1[Customer_Type])</f>
        <v>0</v>
      </c>
    </row>
    <row r="27" spans="1:40" x14ac:dyDescent="0.3">
      <c r="A27" t="s">
        <v>51</v>
      </c>
      <c r="B27" t="s">
        <v>533</v>
      </c>
      <c r="C27" t="s">
        <v>626</v>
      </c>
      <c r="D27">
        <v>48</v>
      </c>
      <c r="E27" t="s">
        <v>629</v>
      </c>
      <c r="F27">
        <v>324</v>
      </c>
      <c r="G27" s="4">
        <v>31914</v>
      </c>
      <c r="H27" s="4">
        <v>10340136</v>
      </c>
      <c r="I27" t="s">
        <v>642</v>
      </c>
      <c r="J27" t="s">
        <v>673</v>
      </c>
      <c r="K27" t="s">
        <v>679</v>
      </c>
      <c r="L27" t="s">
        <v>682</v>
      </c>
      <c r="M27" t="s">
        <v>686</v>
      </c>
      <c r="N27" t="s">
        <v>691</v>
      </c>
      <c r="O27" t="s">
        <v>693</v>
      </c>
      <c r="P27" s="4">
        <v>10340136</v>
      </c>
      <c r="Q27">
        <v>0</v>
      </c>
      <c r="R27" s="7">
        <v>8.01</v>
      </c>
      <c r="S27" s="8">
        <f>Table1[[#This Row],[Discount_%]]/100</f>
        <v>8.0100000000000005E-2</v>
      </c>
      <c r="T27" s="6" t="s">
        <v>719</v>
      </c>
      <c r="U27" t="s">
        <v>984</v>
      </c>
      <c r="V27">
        <v>2024</v>
      </c>
      <c r="W27" t="s">
        <v>995</v>
      </c>
      <c r="X27" t="s">
        <v>999</v>
      </c>
      <c r="Y27" t="s">
        <v>1001</v>
      </c>
      <c r="Z27">
        <v>4</v>
      </c>
      <c r="AA27">
        <v>29</v>
      </c>
      <c r="AB27" s="4">
        <f>Table1[[#This Row],[Total_Price]]*(1-Table1[[#This Row],[Discount 2]])</f>
        <v>9511891.1063999999</v>
      </c>
      <c r="AC27" s="4" t="str" cm="1">
        <f t="array" ref="AC27">_xlfn.IFS(Table1[[#This Row],[Revenue]]&gt;=30000000,"High Value",Table1[[#This Row],[Revenue]]&gt;=10000000,"Moderate Value",TRUE,"Low Value")</f>
        <v>Low Value</v>
      </c>
      <c r="AD27" t="str">
        <f>IF(Table1[[#This Row],[Discount 2]]&gt;=5%, "YES", "NO")</f>
        <v>YES</v>
      </c>
      <c r="AE27" t="str" cm="1">
        <f t="array" ref="AE27">_xlfn.IFS(Table1[[#This Row],[Revenue]]&gt;=30000000,"High Spender",Table1[[#This Row],[Revenue]]&gt;=10000000,"Moderate Spender",TRUE,"Low Spender")</f>
        <v>Low Spender</v>
      </c>
      <c r="AF27" s="4" t="str" cm="1">
        <f t="array" ref="AF27">_xlfn.IFS(Table1[[#This Row],[Land_Size_SQM]]&gt;=730,"LARGE",Table1[[#This Row],[Land_Size_SQM]]&gt;=465,"MEDIUM",TRUE,"SMALL")</f>
        <v>SMALL</v>
      </c>
      <c r="AI27" s="3" t="s">
        <v>23</v>
      </c>
      <c r="AJ27">
        <f>COUNTBLANK(Table1[Sales_Status])</f>
        <v>0</v>
      </c>
    </row>
    <row r="28" spans="1:40" x14ac:dyDescent="0.3">
      <c r="A28" t="s">
        <v>52</v>
      </c>
      <c r="B28" t="s">
        <v>546</v>
      </c>
      <c r="C28" t="s">
        <v>626</v>
      </c>
      <c r="D28">
        <v>40</v>
      </c>
      <c r="E28" t="s">
        <v>629</v>
      </c>
      <c r="F28">
        <v>984</v>
      </c>
      <c r="G28" s="4">
        <v>36163</v>
      </c>
      <c r="H28" s="4">
        <v>35584392</v>
      </c>
      <c r="I28" t="s">
        <v>648</v>
      </c>
      <c r="J28" t="s">
        <v>671</v>
      </c>
      <c r="K28" t="s">
        <v>677</v>
      </c>
      <c r="L28" t="s">
        <v>680</v>
      </c>
      <c r="M28" t="s">
        <v>683</v>
      </c>
      <c r="N28" t="s">
        <v>688</v>
      </c>
      <c r="O28" t="s">
        <v>694</v>
      </c>
      <c r="P28" s="4">
        <v>10048293</v>
      </c>
      <c r="Q28">
        <v>6</v>
      </c>
      <c r="R28" s="7">
        <v>0.77</v>
      </c>
      <c r="S28" s="8">
        <f>Table1[[#This Row],[Discount_%]]/100</f>
        <v>7.7000000000000002E-3</v>
      </c>
      <c r="T28" s="6" t="s">
        <v>720</v>
      </c>
      <c r="U28" t="s">
        <v>992</v>
      </c>
      <c r="V28">
        <v>2024</v>
      </c>
      <c r="W28" t="s">
        <v>996</v>
      </c>
      <c r="X28" t="s">
        <v>998</v>
      </c>
      <c r="Y28" t="s">
        <v>1001</v>
      </c>
      <c r="Z28">
        <v>2</v>
      </c>
      <c r="AA28">
        <v>46</v>
      </c>
      <c r="AB28" s="4">
        <f>Table1[[#This Row],[Total_Price]]*(1-Table1[[#This Row],[Discount 2]])</f>
        <v>35310392.181599997</v>
      </c>
      <c r="AC28" s="4" t="str" cm="1">
        <f t="array" ref="AC28">_xlfn.IFS(Table1[[#This Row],[Revenue]]&gt;=30000000,"High Value",Table1[[#This Row],[Revenue]]&gt;=10000000,"Moderate Value",TRUE,"Low Value")</f>
        <v>High Value</v>
      </c>
      <c r="AD28" t="str">
        <f>IF(Table1[[#This Row],[Discount 2]]&gt;=5%, "YES", "NO")</f>
        <v>NO</v>
      </c>
      <c r="AE28" t="str" cm="1">
        <f t="array" ref="AE28">_xlfn.IFS(Table1[[#This Row],[Revenue]]&gt;=30000000,"High Spender",Table1[[#This Row],[Revenue]]&gt;=10000000,"Moderate Spender",TRUE,"Low Spender")</f>
        <v>High Spender</v>
      </c>
      <c r="AF28" s="4" t="str" cm="1">
        <f t="array" ref="AF28">_xlfn.IFS(Table1[[#This Row],[Land_Size_SQM]]&gt;=730,"LARGE",Table1[[#This Row],[Land_Size_SQM]]&gt;=465,"MEDIUM",TRUE,"SMALL")</f>
        <v>LARGE</v>
      </c>
      <c r="AI28" s="3" t="s">
        <v>24</v>
      </c>
      <c r="AJ28">
        <f>COUNTBLANK(Table1[Satisfaction_Rating])</f>
        <v>0</v>
      </c>
    </row>
    <row r="29" spans="1:40" x14ac:dyDescent="0.3">
      <c r="A29" t="s">
        <v>53</v>
      </c>
      <c r="B29" t="s">
        <v>547</v>
      </c>
      <c r="C29" t="s">
        <v>626</v>
      </c>
      <c r="D29">
        <v>50</v>
      </c>
      <c r="E29" t="s">
        <v>628</v>
      </c>
      <c r="F29">
        <v>617</v>
      </c>
      <c r="G29" s="4">
        <v>23684</v>
      </c>
      <c r="H29" s="4">
        <v>14613028</v>
      </c>
      <c r="I29" t="s">
        <v>649</v>
      </c>
      <c r="J29" t="s">
        <v>669</v>
      </c>
      <c r="K29" t="s">
        <v>640</v>
      </c>
      <c r="L29" t="s">
        <v>681</v>
      </c>
      <c r="M29" t="s">
        <v>687</v>
      </c>
      <c r="N29" t="s">
        <v>691</v>
      </c>
      <c r="O29" t="s">
        <v>694</v>
      </c>
      <c r="P29" s="4">
        <v>3195573</v>
      </c>
      <c r="Q29">
        <v>24</v>
      </c>
      <c r="R29" s="7">
        <v>8.33</v>
      </c>
      <c r="S29" s="8">
        <f>Table1[[#This Row],[Discount_%]]/100</f>
        <v>8.3299999999999999E-2</v>
      </c>
      <c r="T29" s="6" t="s">
        <v>721</v>
      </c>
      <c r="U29" t="s">
        <v>991</v>
      </c>
      <c r="V29">
        <v>2024</v>
      </c>
      <c r="W29" t="s">
        <v>995</v>
      </c>
      <c r="X29" t="s">
        <v>997</v>
      </c>
      <c r="Y29" t="s">
        <v>1001</v>
      </c>
      <c r="Z29">
        <v>5</v>
      </c>
      <c r="AA29">
        <v>39</v>
      </c>
      <c r="AB29" s="4">
        <f>Table1[[#This Row],[Total_Price]]*(1-Table1[[#This Row],[Discount 2]])</f>
        <v>13395762.7676</v>
      </c>
      <c r="AC29" s="4" t="str" cm="1">
        <f t="array" ref="AC29">_xlfn.IFS(Table1[[#This Row],[Revenue]]&gt;=30000000,"High Value",Table1[[#This Row],[Revenue]]&gt;=10000000,"Moderate Value",TRUE,"Low Value")</f>
        <v>Moderate Value</v>
      </c>
      <c r="AD29" t="str">
        <f>IF(Table1[[#This Row],[Discount 2]]&gt;=5%, "YES", "NO")</f>
        <v>YES</v>
      </c>
      <c r="AE29" t="str" cm="1">
        <f t="array" ref="AE29">_xlfn.IFS(Table1[[#This Row],[Revenue]]&gt;=30000000,"High Spender",Table1[[#This Row],[Revenue]]&gt;=10000000,"Moderate Spender",TRUE,"Low Spender")</f>
        <v>Moderate Spender</v>
      </c>
      <c r="AF29" s="4" t="str" cm="1">
        <f t="array" ref="AF29">_xlfn.IFS(Table1[[#This Row],[Land_Size_SQM]]&gt;=730,"LARGE",Table1[[#This Row],[Land_Size_SQM]]&gt;=465,"MEDIUM",TRUE,"SMALL")</f>
        <v>MEDIUM</v>
      </c>
      <c r="AI29" s="3" t="s">
        <v>25</v>
      </c>
      <c r="AJ29">
        <f>COUNTBLANK(Table1[Distance_to_City_Center])</f>
        <v>0</v>
      </c>
    </row>
    <row r="30" spans="1:40" x14ac:dyDescent="0.3">
      <c r="A30" t="s">
        <v>54</v>
      </c>
      <c r="B30" t="s">
        <v>548</v>
      </c>
      <c r="C30" t="s">
        <v>627</v>
      </c>
      <c r="D30">
        <v>59</v>
      </c>
      <c r="E30" t="s">
        <v>629</v>
      </c>
      <c r="F30">
        <v>479</v>
      </c>
      <c r="G30" s="4">
        <v>30562</v>
      </c>
      <c r="H30" s="4">
        <v>14639198</v>
      </c>
      <c r="I30" t="s">
        <v>632</v>
      </c>
      <c r="J30" t="s">
        <v>669</v>
      </c>
      <c r="K30" t="s">
        <v>679</v>
      </c>
      <c r="L30" t="s">
        <v>680</v>
      </c>
      <c r="M30" t="s">
        <v>684</v>
      </c>
      <c r="N30" t="s">
        <v>692</v>
      </c>
      <c r="O30" t="s">
        <v>694</v>
      </c>
      <c r="P30" s="4">
        <v>4635607</v>
      </c>
      <c r="Q30">
        <v>3</v>
      </c>
      <c r="R30" s="7">
        <v>6.69</v>
      </c>
      <c r="S30" s="8">
        <f>Table1[[#This Row],[Discount_%]]/100</f>
        <v>6.6900000000000001E-2</v>
      </c>
      <c r="T30" s="6" t="s">
        <v>722</v>
      </c>
      <c r="U30" t="s">
        <v>991</v>
      </c>
      <c r="V30">
        <v>2024</v>
      </c>
      <c r="W30" t="s">
        <v>993</v>
      </c>
      <c r="X30" t="s">
        <v>999</v>
      </c>
      <c r="Y30" t="s">
        <v>1001</v>
      </c>
      <c r="Z30">
        <v>4</v>
      </c>
      <c r="AA30">
        <v>9</v>
      </c>
      <c r="AB30" s="4">
        <f>Table1[[#This Row],[Total_Price]]*(1-Table1[[#This Row],[Discount 2]])</f>
        <v>13659835.653800001</v>
      </c>
      <c r="AC30" s="4" t="str" cm="1">
        <f t="array" ref="AC30">_xlfn.IFS(Table1[[#This Row],[Revenue]]&gt;=30000000,"High Value",Table1[[#This Row],[Revenue]]&gt;=10000000,"Moderate Value",TRUE,"Low Value")</f>
        <v>Moderate Value</v>
      </c>
      <c r="AD30" t="str">
        <f>IF(Table1[[#This Row],[Discount 2]]&gt;=5%, "YES", "NO")</f>
        <v>YES</v>
      </c>
      <c r="AE30" t="str" cm="1">
        <f t="array" ref="AE30">_xlfn.IFS(Table1[[#This Row],[Revenue]]&gt;=30000000,"High Spender",Table1[[#This Row],[Revenue]]&gt;=10000000,"Moderate Spender",TRUE,"Low Spender")</f>
        <v>Moderate Spender</v>
      </c>
      <c r="AF30" s="4" t="str" cm="1">
        <f t="array" ref="AF30">_xlfn.IFS(Table1[[#This Row],[Land_Size_SQM]]&gt;=730,"LARGE",Table1[[#This Row],[Land_Size_SQM]]&gt;=465,"MEDIUM",TRUE,"SMALL")</f>
        <v>MEDIUM</v>
      </c>
    </row>
    <row r="31" spans="1:40" x14ac:dyDescent="0.3">
      <c r="A31" t="s">
        <v>55</v>
      </c>
      <c r="B31" t="s">
        <v>549</v>
      </c>
      <c r="C31" t="s">
        <v>626</v>
      </c>
      <c r="D31">
        <v>25</v>
      </c>
      <c r="E31" t="s">
        <v>630</v>
      </c>
      <c r="F31">
        <v>466</v>
      </c>
      <c r="G31" s="4">
        <v>26844</v>
      </c>
      <c r="H31" s="4">
        <v>12509304</v>
      </c>
      <c r="I31" t="s">
        <v>650</v>
      </c>
      <c r="J31" t="s">
        <v>670</v>
      </c>
      <c r="K31" t="s">
        <v>664</v>
      </c>
      <c r="L31" t="s">
        <v>680</v>
      </c>
      <c r="M31" t="s">
        <v>686</v>
      </c>
      <c r="N31" t="s">
        <v>689</v>
      </c>
      <c r="O31" t="s">
        <v>694</v>
      </c>
      <c r="P31" s="4">
        <v>4208252</v>
      </c>
      <c r="Q31">
        <v>6</v>
      </c>
      <c r="R31" s="7">
        <v>3.38</v>
      </c>
      <c r="S31" s="8">
        <f>Table1[[#This Row],[Discount_%]]/100</f>
        <v>3.3799999999999997E-2</v>
      </c>
      <c r="T31" s="6" t="s">
        <v>716</v>
      </c>
      <c r="U31" t="s">
        <v>991</v>
      </c>
      <c r="V31">
        <v>2024</v>
      </c>
      <c r="W31" t="s">
        <v>994</v>
      </c>
      <c r="X31" t="s">
        <v>999</v>
      </c>
      <c r="Y31" t="s">
        <v>1001</v>
      </c>
      <c r="Z31">
        <v>1</v>
      </c>
      <c r="AA31">
        <v>50</v>
      </c>
      <c r="AB31" s="4">
        <f>Table1[[#This Row],[Total_Price]]*(1-Table1[[#This Row],[Discount 2]])</f>
        <v>12086489.524799999</v>
      </c>
      <c r="AC31" s="4" t="str" cm="1">
        <f t="array" ref="AC31">_xlfn.IFS(Table1[[#This Row],[Revenue]]&gt;=30000000,"High Value",Table1[[#This Row],[Revenue]]&gt;=10000000,"Moderate Value",TRUE,"Low Value")</f>
        <v>Moderate Value</v>
      </c>
      <c r="AD31" t="str">
        <f>IF(Table1[[#This Row],[Discount 2]]&gt;=5%, "YES", "NO")</f>
        <v>NO</v>
      </c>
      <c r="AE31" t="str" cm="1">
        <f t="array" ref="AE31">_xlfn.IFS(Table1[[#This Row],[Revenue]]&gt;=30000000,"High Spender",Table1[[#This Row],[Revenue]]&gt;=10000000,"Moderate Spender",TRUE,"Low Spender")</f>
        <v>Moderate Spender</v>
      </c>
      <c r="AF31" s="4" t="str" cm="1">
        <f t="array" ref="AF31">_xlfn.IFS(Table1[[#This Row],[Land_Size_SQM]]&gt;=730,"LARGE",Table1[[#This Row],[Land_Size_SQM]]&gt;=465,"MEDIUM",TRUE,"SMALL")</f>
        <v>MEDIUM</v>
      </c>
    </row>
    <row r="32" spans="1:40" x14ac:dyDescent="0.3">
      <c r="A32" t="s">
        <v>56</v>
      </c>
      <c r="B32" t="s">
        <v>548</v>
      </c>
      <c r="C32" t="s">
        <v>627</v>
      </c>
      <c r="D32">
        <v>56</v>
      </c>
      <c r="E32" t="s">
        <v>628</v>
      </c>
      <c r="F32">
        <v>453</v>
      </c>
      <c r="G32" s="4">
        <v>15065</v>
      </c>
      <c r="H32" s="4">
        <v>6824445</v>
      </c>
      <c r="I32" t="s">
        <v>631</v>
      </c>
      <c r="J32" t="s">
        <v>668</v>
      </c>
      <c r="K32" t="s">
        <v>664</v>
      </c>
      <c r="L32" t="s">
        <v>681</v>
      </c>
      <c r="M32" t="s">
        <v>687</v>
      </c>
      <c r="N32" t="s">
        <v>690</v>
      </c>
      <c r="O32" t="s">
        <v>693</v>
      </c>
      <c r="P32" s="4">
        <v>6824445</v>
      </c>
      <c r="Q32">
        <v>0</v>
      </c>
      <c r="R32" s="7">
        <v>6.21</v>
      </c>
      <c r="S32" s="8">
        <f>Table1[[#This Row],[Discount_%]]/100</f>
        <v>6.2100000000000002E-2</v>
      </c>
      <c r="T32" s="6" t="s">
        <v>723</v>
      </c>
      <c r="U32" t="s">
        <v>992</v>
      </c>
      <c r="V32">
        <v>2024</v>
      </c>
      <c r="W32" t="s">
        <v>996</v>
      </c>
      <c r="X32" t="s">
        <v>997</v>
      </c>
      <c r="Y32" t="s">
        <v>1001</v>
      </c>
      <c r="Z32">
        <v>1</v>
      </c>
      <c r="AA32">
        <v>50</v>
      </c>
      <c r="AB32" s="4">
        <f>Table1[[#This Row],[Total_Price]]*(1-Table1[[#This Row],[Discount 2]])</f>
        <v>6400646.9654999999</v>
      </c>
      <c r="AC32" s="4" t="str" cm="1">
        <f t="array" ref="AC32">_xlfn.IFS(Table1[[#This Row],[Revenue]]&gt;=30000000,"High Value",Table1[[#This Row],[Revenue]]&gt;=10000000,"Moderate Value",TRUE,"Low Value")</f>
        <v>Low Value</v>
      </c>
      <c r="AD32" t="str">
        <f>IF(Table1[[#This Row],[Discount 2]]&gt;=5%, "YES", "NO")</f>
        <v>YES</v>
      </c>
      <c r="AE32" t="str" cm="1">
        <f t="array" ref="AE32">_xlfn.IFS(Table1[[#This Row],[Revenue]]&gt;=30000000,"High Spender",Table1[[#This Row],[Revenue]]&gt;=10000000,"Moderate Spender",TRUE,"Low Spender")</f>
        <v>Low Spender</v>
      </c>
      <c r="AF32" s="4" t="str" cm="1">
        <f t="array" ref="AF32">_xlfn.IFS(Table1[[#This Row],[Land_Size_SQM]]&gt;=730,"LARGE",Table1[[#This Row],[Land_Size_SQM]]&gt;=465,"MEDIUM",TRUE,"SMALL")</f>
        <v>SMALL</v>
      </c>
    </row>
    <row r="33" spans="1:32" x14ac:dyDescent="0.3">
      <c r="A33" t="s">
        <v>57</v>
      </c>
      <c r="B33" t="s">
        <v>550</v>
      </c>
      <c r="C33" t="s">
        <v>627</v>
      </c>
      <c r="D33">
        <v>64</v>
      </c>
      <c r="E33" t="s">
        <v>630</v>
      </c>
      <c r="F33">
        <v>792</v>
      </c>
      <c r="G33" s="4">
        <v>3682</v>
      </c>
      <c r="H33" s="4">
        <v>2916144</v>
      </c>
      <c r="I33" t="s">
        <v>651</v>
      </c>
      <c r="J33" t="s">
        <v>669</v>
      </c>
      <c r="K33" t="s">
        <v>676</v>
      </c>
      <c r="L33" t="s">
        <v>682</v>
      </c>
      <c r="M33" t="s">
        <v>686</v>
      </c>
      <c r="N33" t="s">
        <v>689</v>
      </c>
      <c r="O33" t="s">
        <v>694</v>
      </c>
      <c r="P33" s="4">
        <v>930239</v>
      </c>
      <c r="Q33">
        <v>24</v>
      </c>
      <c r="R33" s="7">
        <v>7.15</v>
      </c>
      <c r="S33" s="8">
        <f>Table1[[#This Row],[Discount_%]]/100</f>
        <v>7.1500000000000008E-2</v>
      </c>
      <c r="T33" s="6" t="s">
        <v>724</v>
      </c>
      <c r="U33" t="s">
        <v>981</v>
      </c>
      <c r="V33">
        <v>2024</v>
      </c>
      <c r="W33" t="s">
        <v>993</v>
      </c>
      <c r="X33" t="s">
        <v>998</v>
      </c>
      <c r="Y33" t="s">
        <v>1001</v>
      </c>
      <c r="Z33">
        <v>4</v>
      </c>
      <c r="AA33">
        <v>43</v>
      </c>
      <c r="AB33" s="4">
        <f>Table1[[#This Row],[Total_Price]]*(1-Table1[[#This Row],[Discount 2]])</f>
        <v>2707639.7039999999</v>
      </c>
      <c r="AC33" s="4" t="str" cm="1">
        <f t="array" ref="AC33">_xlfn.IFS(Table1[[#This Row],[Revenue]]&gt;=30000000,"High Value",Table1[[#This Row],[Revenue]]&gt;=10000000,"Moderate Value",TRUE,"Low Value")</f>
        <v>Low Value</v>
      </c>
      <c r="AD33" t="str">
        <f>IF(Table1[[#This Row],[Discount 2]]&gt;=5%, "YES", "NO")</f>
        <v>YES</v>
      </c>
      <c r="AE33" t="str" cm="1">
        <f t="array" ref="AE33">_xlfn.IFS(Table1[[#This Row],[Revenue]]&gt;=30000000,"High Spender",Table1[[#This Row],[Revenue]]&gt;=10000000,"Moderate Spender",TRUE,"Low Spender")</f>
        <v>Low Spender</v>
      </c>
      <c r="AF33" s="4" t="str" cm="1">
        <f t="array" ref="AF33">_xlfn.IFS(Table1[[#This Row],[Land_Size_SQM]]&gt;=730,"LARGE",Table1[[#This Row],[Land_Size_SQM]]&gt;=465,"MEDIUM",TRUE,"SMALL")</f>
        <v>LARGE</v>
      </c>
    </row>
    <row r="34" spans="1:32" x14ac:dyDescent="0.3">
      <c r="A34" t="s">
        <v>58</v>
      </c>
      <c r="B34" t="s">
        <v>541</v>
      </c>
      <c r="C34" t="s">
        <v>626</v>
      </c>
      <c r="D34">
        <v>60</v>
      </c>
      <c r="E34" t="s">
        <v>630</v>
      </c>
      <c r="F34">
        <v>863</v>
      </c>
      <c r="G34" s="4">
        <v>24362</v>
      </c>
      <c r="H34" s="4">
        <v>21024406</v>
      </c>
      <c r="I34" t="s">
        <v>643</v>
      </c>
      <c r="J34" t="s">
        <v>671</v>
      </c>
      <c r="K34" t="s">
        <v>675</v>
      </c>
      <c r="L34" t="s">
        <v>682</v>
      </c>
      <c r="M34" t="s">
        <v>683</v>
      </c>
      <c r="N34" t="s">
        <v>691</v>
      </c>
      <c r="O34" t="s">
        <v>693</v>
      </c>
      <c r="P34" s="4">
        <v>21024406</v>
      </c>
      <c r="Q34">
        <v>0</v>
      </c>
      <c r="R34" s="7">
        <v>8.5</v>
      </c>
      <c r="S34" s="8">
        <f>Table1[[#This Row],[Discount_%]]/100</f>
        <v>8.5000000000000006E-2</v>
      </c>
      <c r="T34" s="6" t="s">
        <v>725</v>
      </c>
      <c r="U34" t="s">
        <v>986</v>
      </c>
      <c r="V34">
        <v>2024</v>
      </c>
      <c r="W34" t="s">
        <v>996</v>
      </c>
      <c r="X34" t="s">
        <v>997</v>
      </c>
      <c r="Y34" t="s">
        <v>1001</v>
      </c>
      <c r="Z34">
        <v>3</v>
      </c>
      <c r="AA34">
        <v>40</v>
      </c>
      <c r="AB34" s="4">
        <f>Table1[[#This Row],[Total_Price]]*(1-Table1[[#This Row],[Discount 2]])</f>
        <v>19237331.490000002</v>
      </c>
      <c r="AC34" s="4" t="str" cm="1">
        <f t="array" ref="AC34">_xlfn.IFS(Table1[[#This Row],[Revenue]]&gt;=30000000,"High Value",Table1[[#This Row],[Revenue]]&gt;=10000000,"Moderate Value",TRUE,"Low Value")</f>
        <v>Moderate Value</v>
      </c>
      <c r="AD34" t="str">
        <f>IF(Table1[[#This Row],[Discount 2]]&gt;=5%, "YES", "NO")</f>
        <v>YES</v>
      </c>
      <c r="AE34" t="str" cm="1">
        <f t="array" ref="AE34">_xlfn.IFS(Table1[[#This Row],[Revenue]]&gt;=30000000,"High Spender",Table1[[#This Row],[Revenue]]&gt;=10000000,"Moderate Spender",TRUE,"Low Spender")</f>
        <v>Moderate Spender</v>
      </c>
      <c r="AF34" s="4" t="str" cm="1">
        <f t="array" ref="AF34">_xlfn.IFS(Table1[[#This Row],[Land_Size_SQM]]&gt;=730,"LARGE",Table1[[#This Row],[Land_Size_SQM]]&gt;=465,"MEDIUM",TRUE,"SMALL")</f>
        <v>LARGE</v>
      </c>
    </row>
    <row r="35" spans="1:32" x14ac:dyDescent="0.3">
      <c r="A35" t="s">
        <v>59</v>
      </c>
      <c r="B35" t="s">
        <v>551</v>
      </c>
      <c r="C35" t="s">
        <v>627</v>
      </c>
      <c r="D35">
        <v>49</v>
      </c>
      <c r="E35" t="s">
        <v>629</v>
      </c>
      <c r="F35">
        <v>676</v>
      </c>
      <c r="G35" s="4">
        <v>30545</v>
      </c>
      <c r="H35" s="4">
        <v>20648420</v>
      </c>
      <c r="I35" t="s">
        <v>652</v>
      </c>
      <c r="J35" t="s">
        <v>672</v>
      </c>
      <c r="K35" t="s">
        <v>678</v>
      </c>
      <c r="L35" t="s">
        <v>682</v>
      </c>
      <c r="M35" t="s">
        <v>684</v>
      </c>
      <c r="N35" t="s">
        <v>690</v>
      </c>
      <c r="O35" t="s">
        <v>694</v>
      </c>
      <c r="P35" s="4">
        <v>9405643</v>
      </c>
      <c r="Q35">
        <v>12</v>
      </c>
      <c r="R35" s="7">
        <v>8.31</v>
      </c>
      <c r="S35" s="8">
        <f>Table1[[#This Row],[Discount_%]]/100</f>
        <v>8.3100000000000007E-2</v>
      </c>
      <c r="T35" s="6" t="s">
        <v>726</v>
      </c>
      <c r="U35" t="s">
        <v>981</v>
      </c>
      <c r="V35">
        <v>2024</v>
      </c>
      <c r="W35" t="s">
        <v>993</v>
      </c>
      <c r="X35" t="s">
        <v>998</v>
      </c>
      <c r="Y35" t="s">
        <v>1002</v>
      </c>
      <c r="Z35">
        <v>2</v>
      </c>
      <c r="AA35">
        <v>32</v>
      </c>
      <c r="AB35" s="4">
        <f>Table1[[#This Row],[Total_Price]]*(1-Table1[[#This Row],[Discount 2]])</f>
        <v>18932536.298</v>
      </c>
      <c r="AC35" s="4" t="str" cm="1">
        <f t="array" ref="AC35">_xlfn.IFS(Table1[[#This Row],[Revenue]]&gt;=30000000,"High Value",Table1[[#This Row],[Revenue]]&gt;=10000000,"Moderate Value",TRUE,"Low Value")</f>
        <v>Moderate Value</v>
      </c>
      <c r="AD35" t="str">
        <f>IF(Table1[[#This Row],[Discount 2]]&gt;=5%, "YES", "NO")</f>
        <v>YES</v>
      </c>
      <c r="AE35" t="str" cm="1">
        <f t="array" ref="AE35">_xlfn.IFS(Table1[[#This Row],[Revenue]]&gt;=30000000,"High Spender",Table1[[#This Row],[Revenue]]&gt;=10000000,"Moderate Spender",TRUE,"Low Spender")</f>
        <v>Moderate Spender</v>
      </c>
      <c r="AF35" s="4" t="str" cm="1">
        <f t="array" ref="AF35">_xlfn.IFS(Table1[[#This Row],[Land_Size_SQM]]&gt;=730,"LARGE",Table1[[#This Row],[Land_Size_SQM]]&gt;=465,"MEDIUM",TRUE,"SMALL")</f>
        <v>MEDIUM</v>
      </c>
    </row>
    <row r="36" spans="1:32" x14ac:dyDescent="0.3">
      <c r="A36" t="s">
        <v>60</v>
      </c>
      <c r="B36" t="s">
        <v>552</v>
      </c>
      <c r="C36" t="s">
        <v>627</v>
      </c>
      <c r="D36">
        <v>64</v>
      </c>
      <c r="E36" t="s">
        <v>630</v>
      </c>
      <c r="F36">
        <v>548</v>
      </c>
      <c r="G36" s="4">
        <v>20327</v>
      </c>
      <c r="H36" s="4">
        <v>11139196</v>
      </c>
      <c r="I36" t="s">
        <v>651</v>
      </c>
      <c r="J36" t="s">
        <v>669</v>
      </c>
      <c r="K36" t="s">
        <v>677</v>
      </c>
      <c r="L36" t="s">
        <v>682</v>
      </c>
      <c r="M36" t="s">
        <v>684</v>
      </c>
      <c r="N36" t="s">
        <v>691</v>
      </c>
      <c r="O36" t="s">
        <v>694</v>
      </c>
      <c r="P36" s="4">
        <v>3954283</v>
      </c>
      <c r="Q36">
        <v>3</v>
      </c>
      <c r="R36" s="7">
        <v>1.91</v>
      </c>
      <c r="S36" s="8">
        <f>Table1[[#This Row],[Discount_%]]/100</f>
        <v>1.9099999999999999E-2</v>
      </c>
      <c r="T36" s="6" t="s">
        <v>727</v>
      </c>
      <c r="U36" t="s">
        <v>992</v>
      </c>
      <c r="V36">
        <v>2024</v>
      </c>
      <c r="W36" t="s">
        <v>993</v>
      </c>
      <c r="X36" t="s">
        <v>999</v>
      </c>
      <c r="Y36" t="s">
        <v>1002</v>
      </c>
      <c r="Z36">
        <v>2</v>
      </c>
      <c r="AA36">
        <v>26</v>
      </c>
      <c r="AB36" s="4">
        <f>Table1[[#This Row],[Total_Price]]*(1-Table1[[#This Row],[Discount 2]])</f>
        <v>10926437.3564</v>
      </c>
      <c r="AC36" s="4" t="str" cm="1">
        <f t="array" ref="AC36">_xlfn.IFS(Table1[[#This Row],[Revenue]]&gt;=30000000,"High Value",Table1[[#This Row],[Revenue]]&gt;=10000000,"Moderate Value",TRUE,"Low Value")</f>
        <v>Moderate Value</v>
      </c>
      <c r="AD36" t="str">
        <f>IF(Table1[[#This Row],[Discount 2]]&gt;=5%, "YES", "NO")</f>
        <v>NO</v>
      </c>
      <c r="AE36" t="str" cm="1">
        <f t="array" ref="AE36">_xlfn.IFS(Table1[[#This Row],[Revenue]]&gt;=30000000,"High Spender",Table1[[#This Row],[Revenue]]&gt;=10000000,"Moderate Spender",TRUE,"Low Spender")</f>
        <v>Moderate Spender</v>
      </c>
      <c r="AF36" s="4" t="str" cm="1">
        <f t="array" ref="AF36">_xlfn.IFS(Table1[[#This Row],[Land_Size_SQM]]&gt;=730,"LARGE",Table1[[#This Row],[Land_Size_SQM]]&gt;=465,"MEDIUM",TRUE,"SMALL")</f>
        <v>MEDIUM</v>
      </c>
    </row>
    <row r="37" spans="1:32" x14ac:dyDescent="0.3">
      <c r="A37" t="s">
        <v>61</v>
      </c>
      <c r="B37" t="s">
        <v>553</v>
      </c>
      <c r="C37" t="s">
        <v>626</v>
      </c>
      <c r="D37">
        <v>37</v>
      </c>
      <c r="E37" t="s">
        <v>630</v>
      </c>
      <c r="F37">
        <v>879</v>
      </c>
      <c r="G37" s="4">
        <v>40112</v>
      </c>
      <c r="H37" s="4">
        <v>35258448</v>
      </c>
      <c r="I37" t="s">
        <v>653</v>
      </c>
      <c r="J37" t="s">
        <v>668</v>
      </c>
      <c r="K37" t="s">
        <v>677</v>
      </c>
      <c r="L37" t="s">
        <v>681</v>
      </c>
      <c r="M37" t="s">
        <v>683</v>
      </c>
      <c r="N37" t="s">
        <v>689</v>
      </c>
      <c r="O37" t="s">
        <v>694</v>
      </c>
      <c r="P37" s="4">
        <v>12906069</v>
      </c>
      <c r="Q37">
        <v>24</v>
      </c>
      <c r="R37" s="7">
        <v>3.44</v>
      </c>
      <c r="S37" s="8">
        <f>Table1[[#This Row],[Discount_%]]/100</f>
        <v>3.44E-2</v>
      </c>
      <c r="T37" s="6" t="s">
        <v>728</v>
      </c>
      <c r="U37" t="s">
        <v>985</v>
      </c>
      <c r="V37">
        <v>2024</v>
      </c>
      <c r="W37" t="s">
        <v>996</v>
      </c>
      <c r="X37" t="s">
        <v>998</v>
      </c>
      <c r="Y37" t="s">
        <v>1000</v>
      </c>
      <c r="Z37">
        <v>5</v>
      </c>
      <c r="AA37">
        <v>49</v>
      </c>
      <c r="AB37" s="4">
        <f>Table1[[#This Row],[Total_Price]]*(1-Table1[[#This Row],[Discount 2]])</f>
        <v>34045557.388800003</v>
      </c>
      <c r="AC37" s="4" t="str" cm="1">
        <f t="array" ref="AC37">_xlfn.IFS(Table1[[#This Row],[Revenue]]&gt;=30000000,"High Value",Table1[[#This Row],[Revenue]]&gt;=10000000,"Moderate Value",TRUE,"Low Value")</f>
        <v>High Value</v>
      </c>
      <c r="AD37" t="str">
        <f>IF(Table1[[#This Row],[Discount 2]]&gt;=5%, "YES", "NO")</f>
        <v>NO</v>
      </c>
      <c r="AE37" t="str" cm="1">
        <f t="array" ref="AE37">_xlfn.IFS(Table1[[#This Row],[Revenue]]&gt;=30000000,"High Spender",Table1[[#This Row],[Revenue]]&gt;=10000000,"Moderate Spender",TRUE,"Low Spender")</f>
        <v>High Spender</v>
      </c>
      <c r="AF37" s="4" t="str" cm="1">
        <f t="array" ref="AF37">_xlfn.IFS(Table1[[#This Row],[Land_Size_SQM]]&gt;=730,"LARGE",Table1[[#This Row],[Land_Size_SQM]]&gt;=465,"MEDIUM",TRUE,"SMALL")</f>
        <v>LARGE</v>
      </c>
    </row>
    <row r="38" spans="1:32" x14ac:dyDescent="0.3">
      <c r="A38" t="s">
        <v>62</v>
      </c>
      <c r="B38" t="s">
        <v>554</v>
      </c>
      <c r="C38" t="s">
        <v>627</v>
      </c>
      <c r="D38">
        <v>39</v>
      </c>
      <c r="E38" t="s">
        <v>628</v>
      </c>
      <c r="F38">
        <v>421</v>
      </c>
      <c r="G38" s="4">
        <v>33732</v>
      </c>
      <c r="H38" s="4">
        <v>14201172</v>
      </c>
      <c r="I38" t="s">
        <v>653</v>
      </c>
      <c r="J38" t="s">
        <v>668</v>
      </c>
      <c r="K38" t="s">
        <v>679</v>
      </c>
      <c r="L38" t="s">
        <v>682</v>
      </c>
      <c r="M38" t="s">
        <v>686</v>
      </c>
      <c r="N38" t="s">
        <v>688</v>
      </c>
      <c r="O38" t="s">
        <v>694</v>
      </c>
      <c r="P38" s="4">
        <v>7017554</v>
      </c>
      <c r="Q38">
        <v>12</v>
      </c>
      <c r="R38" s="7">
        <v>8.33</v>
      </c>
      <c r="S38" s="8">
        <f>Table1[[#This Row],[Discount_%]]/100</f>
        <v>8.3299999999999999E-2</v>
      </c>
      <c r="T38" s="6" t="s">
        <v>729</v>
      </c>
      <c r="U38" t="s">
        <v>992</v>
      </c>
      <c r="V38">
        <v>2024</v>
      </c>
      <c r="W38" t="s">
        <v>994</v>
      </c>
      <c r="X38" t="s">
        <v>999</v>
      </c>
      <c r="Y38" t="s">
        <v>1000</v>
      </c>
      <c r="Z38">
        <v>5</v>
      </c>
      <c r="AA38">
        <v>19</v>
      </c>
      <c r="AB38" s="4">
        <f>Table1[[#This Row],[Total_Price]]*(1-Table1[[#This Row],[Discount 2]])</f>
        <v>13018214.372399999</v>
      </c>
      <c r="AC38" s="4" t="str" cm="1">
        <f t="array" ref="AC38">_xlfn.IFS(Table1[[#This Row],[Revenue]]&gt;=30000000,"High Value",Table1[[#This Row],[Revenue]]&gt;=10000000,"Moderate Value",TRUE,"Low Value")</f>
        <v>Moderate Value</v>
      </c>
      <c r="AD38" t="str">
        <f>IF(Table1[[#This Row],[Discount 2]]&gt;=5%, "YES", "NO")</f>
        <v>YES</v>
      </c>
      <c r="AE38" t="str" cm="1">
        <f t="array" ref="AE38">_xlfn.IFS(Table1[[#This Row],[Revenue]]&gt;=30000000,"High Spender",Table1[[#This Row],[Revenue]]&gt;=10000000,"Moderate Spender",TRUE,"Low Spender")</f>
        <v>Moderate Spender</v>
      </c>
      <c r="AF38" s="4" t="str" cm="1">
        <f t="array" ref="AF38">_xlfn.IFS(Table1[[#This Row],[Land_Size_SQM]]&gt;=730,"LARGE",Table1[[#This Row],[Land_Size_SQM]]&gt;=465,"MEDIUM",TRUE,"SMALL")</f>
        <v>SMALL</v>
      </c>
    </row>
    <row r="39" spans="1:32" x14ac:dyDescent="0.3">
      <c r="A39" t="s">
        <v>63</v>
      </c>
      <c r="B39" t="s">
        <v>551</v>
      </c>
      <c r="C39" t="s">
        <v>627</v>
      </c>
      <c r="D39">
        <v>24</v>
      </c>
      <c r="E39" t="s">
        <v>630</v>
      </c>
      <c r="F39">
        <v>305</v>
      </c>
      <c r="G39" s="4">
        <v>2803</v>
      </c>
      <c r="H39" s="4">
        <v>854915</v>
      </c>
      <c r="I39" t="s">
        <v>653</v>
      </c>
      <c r="J39" t="s">
        <v>668</v>
      </c>
      <c r="K39" t="s">
        <v>678</v>
      </c>
      <c r="L39" t="s">
        <v>681</v>
      </c>
      <c r="M39" t="s">
        <v>685</v>
      </c>
      <c r="N39" t="s">
        <v>692</v>
      </c>
      <c r="O39" t="s">
        <v>694</v>
      </c>
      <c r="P39" s="4">
        <v>293761</v>
      </c>
      <c r="Q39">
        <v>24</v>
      </c>
      <c r="R39" s="7">
        <v>3.41</v>
      </c>
      <c r="S39" s="8">
        <f>Table1[[#This Row],[Discount_%]]/100</f>
        <v>3.4099999999999998E-2</v>
      </c>
      <c r="T39" s="6" t="s">
        <v>730</v>
      </c>
      <c r="U39" t="s">
        <v>988</v>
      </c>
      <c r="V39">
        <v>2024</v>
      </c>
      <c r="W39" t="s">
        <v>993</v>
      </c>
      <c r="X39" t="s">
        <v>999</v>
      </c>
      <c r="Y39" t="s">
        <v>1000</v>
      </c>
      <c r="Z39">
        <v>5</v>
      </c>
      <c r="AA39">
        <v>20</v>
      </c>
      <c r="AB39" s="4">
        <f>Table1[[#This Row],[Total_Price]]*(1-Table1[[#This Row],[Discount 2]])</f>
        <v>825762.39850000001</v>
      </c>
      <c r="AC39" s="4" t="str" cm="1">
        <f t="array" ref="AC39">_xlfn.IFS(Table1[[#This Row],[Revenue]]&gt;=30000000,"High Value",Table1[[#This Row],[Revenue]]&gt;=10000000,"Moderate Value",TRUE,"Low Value")</f>
        <v>Low Value</v>
      </c>
      <c r="AD39" t="str">
        <f>IF(Table1[[#This Row],[Discount 2]]&gt;=5%, "YES", "NO")</f>
        <v>NO</v>
      </c>
      <c r="AE39" t="str" cm="1">
        <f t="array" ref="AE39">_xlfn.IFS(Table1[[#This Row],[Revenue]]&gt;=30000000,"High Spender",Table1[[#This Row],[Revenue]]&gt;=10000000,"Moderate Spender",TRUE,"Low Spender")</f>
        <v>Low Spender</v>
      </c>
      <c r="AF39" s="4" t="str" cm="1">
        <f t="array" ref="AF39">_xlfn.IFS(Table1[[#This Row],[Land_Size_SQM]]&gt;=730,"LARGE",Table1[[#This Row],[Land_Size_SQM]]&gt;=465,"MEDIUM",TRUE,"SMALL")</f>
        <v>SMALL</v>
      </c>
    </row>
    <row r="40" spans="1:32" x14ac:dyDescent="0.3">
      <c r="A40" t="s">
        <v>64</v>
      </c>
      <c r="B40" t="s">
        <v>555</v>
      </c>
      <c r="C40" t="s">
        <v>626</v>
      </c>
      <c r="D40">
        <v>57</v>
      </c>
      <c r="E40" t="s">
        <v>630</v>
      </c>
      <c r="F40">
        <v>771</v>
      </c>
      <c r="G40" s="4">
        <v>29274</v>
      </c>
      <c r="H40" s="4">
        <v>22570254</v>
      </c>
      <c r="I40" t="s">
        <v>641</v>
      </c>
      <c r="J40" t="s">
        <v>673</v>
      </c>
      <c r="K40" t="s">
        <v>676</v>
      </c>
      <c r="L40" t="s">
        <v>681</v>
      </c>
      <c r="M40" t="s">
        <v>686</v>
      </c>
      <c r="N40" t="s">
        <v>692</v>
      </c>
      <c r="O40" t="s">
        <v>693</v>
      </c>
      <c r="P40" s="4">
        <v>22570254</v>
      </c>
      <c r="Q40">
        <v>0</v>
      </c>
      <c r="R40" s="7">
        <v>7.76</v>
      </c>
      <c r="S40" s="8">
        <f>Table1[[#This Row],[Discount_%]]/100</f>
        <v>7.7600000000000002E-2</v>
      </c>
      <c r="T40" s="6" t="s">
        <v>716</v>
      </c>
      <c r="U40" t="s">
        <v>991</v>
      </c>
      <c r="V40">
        <v>2024</v>
      </c>
      <c r="W40" t="s">
        <v>993</v>
      </c>
      <c r="X40" t="s">
        <v>997</v>
      </c>
      <c r="Y40" t="s">
        <v>1001</v>
      </c>
      <c r="Z40">
        <v>1</v>
      </c>
      <c r="AA40">
        <v>49</v>
      </c>
      <c r="AB40" s="4">
        <f>Table1[[#This Row],[Total_Price]]*(1-Table1[[#This Row],[Discount 2]])</f>
        <v>20818802.2896</v>
      </c>
      <c r="AC40" s="4" t="str" cm="1">
        <f t="array" ref="AC40">_xlfn.IFS(Table1[[#This Row],[Revenue]]&gt;=30000000,"High Value",Table1[[#This Row],[Revenue]]&gt;=10000000,"Moderate Value",TRUE,"Low Value")</f>
        <v>Moderate Value</v>
      </c>
      <c r="AD40" t="str">
        <f>IF(Table1[[#This Row],[Discount 2]]&gt;=5%, "YES", "NO")</f>
        <v>YES</v>
      </c>
      <c r="AE40" t="str" cm="1">
        <f t="array" ref="AE40">_xlfn.IFS(Table1[[#This Row],[Revenue]]&gt;=30000000,"High Spender",Table1[[#This Row],[Revenue]]&gt;=10000000,"Moderate Spender",TRUE,"Low Spender")</f>
        <v>Moderate Spender</v>
      </c>
      <c r="AF40" s="4" t="str" cm="1">
        <f t="array" ref="AF40">_xlfn.IFS(Table1[[#This Row],[Land_Size_SQM]]&gt;=730,"LARGE",Table1[[#This Row],[Land_Size_SQM]]&gt;=465,"MEDIUM",TRUE,"SMALL")</f>
        <v>LARGE</v>
      </c>
    </row>
    <row r="41" spans="1:32" x14ac:dyDescent="0.3">
      <c r="A41" t="s">
        <v>65</v>
      </c>
      <c r="B41" t="s">
        <v>556</v>
      </c>
      <c r="C41" t="s">
        <v>627</v>
      </c>
      <c r="D41">
        <v>46</v>
      </c>
      <c r="E41" t="s">
        <v>630</v>
      </c>
      <c r="F41">
        <v>876</v>
      </c>
      <c r="G41" s="4">
        <v>7320</v>
      </c>
      <c r="H41" s="4">
        <v>6412320</v>
      </c>
      <c r="I41" t="s">
        <v>654</v>
      </c>
      <c r="J41" t="s">
        <v>669</v>
      </c>
      <c r="K41" t="s">
        <v>677</v>
      </c>
      <c r="L41" t="s">
        <v>682</v>
      </c>
      <c r="M41" t="s">
        <v>686</v>
      </c>
      <c r="N41" t="s">
        <v>691</v>
      </c>
      <c r="O41" t="s">
        <v>693</v>
      </c>
      <c r="P41" s="4">
        <v>6412320</v>
      </c>
      <c r="Q41">
        <v>0</v>
      </c>
      <c r="R41" s="7">
        <v>2.4</v>
      </c>
      <c r="S41" s="8">
        <f>Table1[[#This Row],[Discount_%]]/100</f>
        <v>2.4E-2</v>
      </c>
      <c r="T41" s="6" t="s">
        <v>731</v>
      </c>
      <c r="U41" t="s">
        <v>985</v>
      </c>
      <c r="V41">
        <v>2024</v>
      </c>
      <c r="W41" t="s">
        <v>994</v>
      </c>
      <c r="X41" t="s">
        <v>999</v>
      </c>
      <c r="Y41" t="s">
        <v>1000</v>
      </c>
      <c r="Z41">
        <v>3</v>
      </c>
      <c r="AA41">
        <v>46</v>
      </c>
      <c r="AB41" s="4">
        <f>Table1[[#This Row],[Total_Price]]*(1-Table1[[#This Row],[Discount 2]])</f>
        <v>6258424.3200000003</v>
      </c>
      <c r="AC41" s="4" t="str" cm="1">
        <f t="array" ref="AC41">_xlfn.IFS(Table1[[#This Row],[Revenue]]&gt;=30000000,"High Value",Table1[[#This Row],[Revenue]]&gt;=10000000,"Moderate Value",TRUE,"Low Value")</f>
        <v>Low Value</v>
      </c>
      <c r="AD41" t="str">
        <f>IF(Table1[[#This Row],[Discount 2]]&gt;=5%, "YES", "NO")</f>
        <v>NO</v>
      </c>
      <c r="AE41" t="str" cm="1">
        <f t="array" ref="AE41">_xlfn.IFS(Table1[[#This Row],[Revenue]]&gt;=30000000,"High Spender",Table1[[#This Row],[Revenue]]&gt;=10000000,"Moderate Spender",TRUE,"Low Spender")</f>
        <v>Low Spender</v>
      </c>
      <c r="AF41" s="4" t="str" cm="1">
        <f t="array" ref="AF41">_xlfn.IFS(Table1[[#This Row],[Land_Size_SQM]]&gt;=730,"LARGE",Table1[[#This Row],[Land_Size_SQM]]&gt;=465,"MEDIUM",TRUE,"SMALL")</f>
        <v>LARGE</v>
      </c>
    </row>
    <row r="42" spans="1:32" x14ac:dyDescent="0.3">
      <c r="A42" t="s">
        <v>66</v>
      </c>
      <c r="B42" t="s">
        <v>550</v>
      </c>
      <c r="C42" t="s">
        <v>626</v>
      </c>
      <c r="D42">
        <v>27</v>
      </c>
      <c r="E42" t="s">
        <v>629</v>
      </c>
      <c r="F42">
        <v>272</v>
      </c>
      <c r="G42" s="4">
        <v>47048</v>
      </c>
      <c r="H42" s="4">
        <v>12797056</v>
      </c>
      <c r="I42" t="s">
        <v>636</v>
      </c>
      <c r="J42" t="s">
        <v>671</v>
      </c>
      <c r="K42" t="s">
        <v>678</v>
      </c>
      <c r="L42" t="s">
        <v>680</v>
      </c>
      <c r="M42" t="s">
        <v>683</v>
      </c>
      <c r="N42" t="s">
        <v>690</v>
      </c>
      <c r="O42" t="s">
        <v>693</v>
      </c>
      <c r="P42" s="4">
        <v>12797056</v>
      </c>
      <c r="Q42">
        <v>0</v>
      </c>
      <c r="R42" s="7">
        <v>9.24</v>
      </c>
      <c r="S42" s="8">
        <f>Table1[[#This Row],[Discount_%]]/100</f>
        <v>9.2399999999999996E-2</v>
      </c>
      <c r="T42" s="6" t="s">
        <v>732</v>
      </c>
      <c r="U42" t="s">
        <v>983</v>
      </c>
      <c r="V42">
        <v>2024</v>
      </c>
      <c r="W42" t="s">
        <v>996</v>
      </c>
      <c r="X42" t="s">
        <v>999</v>
      </c>
      <c r="Y42" t="s">
        <v>1000</v>
      </c>
      <c r="Z42">
        <v>2</v>
      </c>
      <c r="AA42">
        <v>20</v>
      </c>
      <c r="AB42" s="4">
        <f>Table1[[#This Row],[Total_Price]]*(1-Table1[[#This Row],[Discount 2]])</f>
        <v>11614608.025599999</v>
      </c>
      <c r="AC42" s="4" t="str" cm="1">
        <f t="array" ref="AC42">_xlfn.IFS(Table1[[#This Row],[Revenue]]&gt;=30000000,"High Value",Table1[[#This Row],[Revenue]]&gt;=10000000,"Moderate Value",TRUE,"Low Value")</f>
        <v>Moderate Value</v>
      </c>
      <c r="AD42" t="str">
        <f>IF(Table1[[#This Row],[Discount 2]]&gt;=5%, "YES", "NO")</f>
        <v>YES</v>
      </c>
      <c r="AE42" t="str" cm="1">
        <f t="array" ref="AE42">_xlfn.IFS(Table1[[#This Row],[Revenue]]&gt;=30000000,"High Spender",Table1[[#This Row],[Revenue]]&gt;=10000000,"Moderate Spender",TRUE,"Low Spender")</f>
        <v>Moderate Spender</v>
      </c>
      <c r="AF42" s="4" t="str" cm="1">
        <f t="array" ref="AF42">_xlfn.IFS(Table1[[#This Row],[Land_Size_SQM]]&gt;=730,"LARGE",Table1[[#This Row],[Land_Size_SQM]]&gt;=465,"MEDIUM",TRUE,"SMALL")</f>
        <v>SMALL</v>
      </c>
    </row>
    <row r="43" spans="1:32" x14ac:dyDescent="0.3">
      <c r="A43" t="s">
        <v>67</v>
      </c>
      <c r="B43" t="s">
        <v>557</v>
      </c>
      <c r="C43" t="s">
        <v>626</v>
      </c>
      <c r="D43">
        <v>48</v>
      </c>
      <c r="E43" t="s">
        <v>628</v>
      </c>
      <c r="F43">
        <v>495</v>
      </c>
      <c r="G43" s="4">
        <v>30780</v>
      </c>
      <c r="H43" s="4">
        <v>15236100</v>
      </c>
      <c r="I43" t="s">
        <v>655</v>
      </c>
      <c r="J43" t="s">
        <v>672</v>
      </c>
      <c r="K43" t="s">
        <v>674</v>
      </c>
      <c r="L43" t="s">
        <v>682</v>
      </c>
      <c r="M43" t="s">
        <v>685</v>
      </c>
      <c r="N43" t="s">
        <v>691</v>
      </c>
      <c r="O43" t="s">
        <v>693</v>
      </c>
      <c r="P43" s="4">
        <v>15236100</v>
      </c>
      <c r="Q43">
        <v>0</v>
      </c>
      <c r="R43" s="7">
        <v>4.6900000000000004</v>
      </c>
      <c r="S43" s="8">
        <f>Table1[[#This Row],[Discount_%]]/100</f>
        <v>4.6900000000000004E-2</v>
      </c>
      <c r="T43" s="6" t="s">
        <v>733</v>
      </c>
      <c r="U43" t="s">
        <v>982</v>
      </c>
      <c r="V43">
        <v>2024</v>
      </c>
      <c r="W43" t="s">
        <v>994</v>
      </c>
      <c r="X43" t="s">
        <v>997</v>
      </c>
      <c r="Y43" t="s">
        <v>1002</v>
      </c>
      <c r="Z43">
        <v>1</v>
      </c>
      <c r="AA43">
        <v>6</v>
      </c>
      <c r="AB43" s="4">
        <f>Table1[[#This Row],[Total_Price]]*(1-Table1[[#This Row],[Discount 2]])</f>
        <v>14521526.909999998</v>
      </c>
      <c r="AC43" s="4" t="str" cm="1">
        <f t="array" ref="AC43">_xlfn.IFS(Table1[[#This Row],[Revenue]]&gt;=30000000,"High Value",Table1[[#This Row],[Revenue]]&gt;=10000000,"Moderate Value",TRUE,"Low Value")</f>
        <v>Moderate Value</v>
      </c>
      <c r="AD43" t="str">
        <f>IF(Table1[[#This Row],[Discount 2]]&gt;=5%, "YES", "NO")</f>
        <v>NO</v>
      </c>
      <c r="AE43" t="str" cm="1">
        <f t="array" ref="AE43">_xlfn.IFS(Table1[[#This Row],[Revenue]]&gt;=30000000,"High Spender",Table1[[#This Row],[Revenue]]&gt;=10000000,"Moderate Spender",TRUE,"Low Spender")</f>
        <v>Moderate Spender</v>
      </c>
      <c r="AF43" s="4" t="str" cm="1">
        <f t="array" ref="AF43">_xlfn.IFS(Table1[[#This Row],[Land_Size_SQM]]&gt;=730,"LARGE",Table1[[#This Row],[Land_Size_SQM]]&gt;=465,"MEDIUM",TRUE,"SMALL")</f>
        <v>MEDIUM</v>
      </c>
    </row>
    <row r="44" spans="1:32" x14ac:dyDescent="0.3">
      <c r="A44" t="s">
        <v>68</v>
      </c>
      <c r="B44" t="s">
        <v>558</v>
      </c>
      <c r="C44" t="s">
        <v>627</v>
      </c>
      <c r="D44">
        <v>57</v>
      </c>
      <c r="E44" t="s">
        <v>630</v>
      </c>
      <c r="F44">
        <v>221</v>
      </c>
      <c r="G44" s="4">
        <v>46058</v>
      </c>
      <c r="H44" s="4">
        <v>10178818</v>
      </c>
      <c r="I44" t="s">
        <v>656</v>
      </c>
      <c r="J44" t="s">
        <v>669</v>
      </c>
      <c r="K44" t="s">
        <v>674</v>
      </c>
      <c r="L44" t="s">
        <v>682</v>
      </c>
      <c r="M44" t="s">
        <v>684</v>
      </c>
      <c r="N44" t="s">
        <v>689</v>
      </c>
      <c r="O44" t="s">
        <v>694</v>
      </c>
      <c r="P44" s="4">
        <v>4366028</v>
      </c>
      <c r="Q44">
        <v>3</v>
      </c>
      <c r="R44" s="7">
        <v>1.75</v>
      </c>
      <c r="S44" s="8">
        <f>Table1[[#This Row],[Discount_%]]/100</f>
        <v>1.7500000000000002E-2</v>
      </c>
      <c r="T44" s="6" t="s">
        <v>734</v>
      </c>
      <c r="U44" t="s">
        <v>986</v>
      </c>
      <c r="V44">
        <v>2024</v>
      </c>
      <c r="W44" t="s">
        <v>995</v>
      </c>
      <c r="X44" t="s">
        <v>998</v>
      </c>
      <c r="Y44" t="s">
        <v>1002</v>
      </c>
      <c r="Z44">
        <v>3</v>
      </c>
      <c r="AA44">
        <v>21</v>
      </c>
      <c r="AB44" s="4">
        <f>Table1[[#This Row],[Total_Price]]*(1-Table1[[#This Row],[Discount 2]])</f>
        <v>10000688.685000001</v>
      </c>
      <c r="AC44" s="4" t="str" cm="1">
        <f t="array" ref="AC44">_xlfn.IFS(Table1[[#This Row],[Revenue]]&gt;=30000000,"High Value",Table1[[#This Row],[Revenue]]&gt;=10000000,"Moderate Value",TRUE,"Low Value")</f>
        <v>Moderate Value</v>
      </c>
      <c r="AD44" t="str">
        <f>IF(Table1[[#This Row],[Discount 2]]&gt;=5%, "YES", "NO")</f>
        <v>NO</v>
      </c>
      <c r="AE44" t="str" cm="1">
        <f t="array" ref="AE44">_xlfn.IFS(Table1[[#This Row],[Revenue]]&gt;=30000000,"High Spender",Table1[[#This Row],[Revenue]]&gt;=10000000,"Moderate Spender",TRUE,"Low Spender")</f>
        <v>Moderate Spender</v>
      </c>
      <c r="AF44" s="4" t="str" cm="1">
        <f t="array" ref="AF44">_xlfn.IFS(Table1[[#This Row],[Land_Size_SQM]]&gt;=730,"LARGE",Table1[[#This Row],[Land_Size_SQM]]&gt;=465,"MEDIUM",TRUE,"SMALL")</f>
        <v>SMALL</v>
      </c>
    </row>
    <row r="45" spans="1:32" x14ac:dyDescent="0.3">
      <c r="A45" t="s">
        <v>69</v>
      </c>
      <c r="B45" t="s">
        <v>559</v>
      </c>
      <c r="C45" t="s">
        <v>627</v>
      </c>
      <c r="D45">
        <v>40</v>
      </c>
      <c r="E45" t="s">
        <v>630</v>
      </c>
      <c r="F45">
        <v>537</v>
      </c>
      <c r="G45" s="4">
        <v>28977</v>
      </c>
      <c r="H45" s="4">
        <v>15560649</v>
      </c>
      <c r="I45" t="s">
        <v>631</v>
      </c>
      <c r="J45" t="s">
        <v>668</v>
      </c>
      <c r="K45" t="s">
        <v>638</v>
      </c>
      <c r="L45" t="s">
        <v>681</v>
      </c>
      <c r="M45" t="s">
        <v>685</v>
      </c>
      <c r="N45" t="s">
        <v>691</v>
      </c>
      <c r="O45" t="s">
        <v>694</v>
      </c>
      <c r="P45" s="4">
        <v>6205199</v>
      </c>
      <c r="Q45">
        <v>12</v>
      </c>
      <c r="R45" s="7">
        <v>4</v>
      </c>
      <c r="S45" s="8">
        <f>Table1[[#This Row],[Discount_%]]/100</f>
        <v>0.04</v>
      </c>
      <c r="T45" s="6" t="s">
        <v>728</v>
      </c>
      <c r="U45" t="s">
        <v>985</v>
      </c>
      <c r="V45">
        <v>2024</v>
      </c>
      <c r="W45" t="s">
        <v>993</v>
      </c>
      <c r="X45" t="s">
        <v>997</v>
      </c>
      <c r="Y45" t="s">
        <v>1001</v>
      </c>
      <c r="Z45">
        <v>4</v>
      </c>
      <c r="AA45">
        <v>27</v>
      </c>
      <c r="AB45" s="4">
        <f>Table1[[#This Row],[Total_Price]]*(1-Table1[[#This Row],[Discount 2]])</f>
        <v>14938223.039999999</v>
      </c>
      <c r="AC45" s="4" t="str" cm="1">
        <f t="array" ref="AC45">_xlfn.IFS(Table1[[#This Row],[Revenue]]&gt;=30000000,"High Value",Table1[[#This Row],[Revenue]]&gt;=10000000,"Moderate Value",TRUE,"Low Value")</f>
        <v>Moderate Value</v>
      </c>
      <c r="AD45" t="str">
        <f>IF(Table1[[#This Row],[Discount 2]]&gt;=5%, "YES", "NO")</f>
        <v>NO</v>
      </c>
      <c r="AE45" t="str" cm="1">
        <f t="array" ref="AE45">_xlfn.IFS(Table1[[#This Row],[Revenue]]&gt;=30000000,"High Spender",Table1[[#This Row],[Revenue]]&gt;=10000000,"Moderate Spender",TRUE,"Low Spender")</f>
        <v>Moderate Spender</v>
      </c>
      <c r="AF45" s="4" t="str" cm="1">
        <f t="array" ref="AF45">_xlfn.IFS(Table1[[#This Row],[Land_Size_SQM]]&gt;=730,"LARGE",Table1[[#This Row],[Land_Size_SQM]]&gt;=465,"MEDIUM",TRUE,"SMALL")</f>
        <v>MEDIUM</v>
      </c>
    </row>
    <row r="46" spans="1:32" x14ac:dyDescent="0.3">
      <c r="A46" t="s">
        <v>70</v>
      </c>
      <c r="B46" t="s">
        <v>560</v>
      </c>
      <c r="C46" t="s">
        <v>626</v>
      </c>
      <c r="D46">
        <v>64</v>
      </c>
      <c r="E46" t="s">
        <v>630</v>
      </c>
      <c r="F46">
        <v>570</v>
      </c>
      <c r="G46" s="4">
        <v>42804</v>
      </c>
      <c r="H46" s="4">
        <v>24398280</v>
      </c>
      <c r="I46" t="s">
        <v>641</v>
      </c>
      <c r="J46" t="s">
        <v>673</v>
      </c>
      <c r="K46" t="s">
        <v>675</v>
      </c>
      <c r="L46" t="s">
        <v>680</v>
      </c>
      <c r="M46" t="s">
        <v>685</v>
      </c>
      <c r="N46" t="s">
        <v>692</v>
      </c>
      <c r="O46" t="s">
        <v>694</v>
      </c>
      <c r="P46" s="4">
        <v>10442395</v>
      </c>
      <c r="Q46">
        <v>24</v>
      </c>
      <c r="R46" s="7">
        <v>2.04</v>
      </c>
      <c r="S46" s="8">
        <f>Table1[[#This Row],[Discount_%]]/100</f>
        <v>2.0400000000000001E-2</v>
      </c>
      <c r="T46" s="6" t="s">
        <v>728</v>
      </c>
      <c r="U46" t="s">
        <v>985</v>
      </c>
      <c r="V46">
        <v>2024</v>
      </c>
      <c r="W46" t="s">
        <v>996</v>
      </c>
      <c r="X46" t="s">
        <v>997</v>
      </c>
      <c r="Y46" t="s">
        <v>1000</v>
      </c>
      <c r="Z46">
        <v>3</v>
      </c>
      <c r="AA46">
        <v>36</v>
      </c>
      <c r="AB46" s="4">
        <f>Table1[[#This Row],[Total_Price]]*(1-Table1[[#This Row],[Discount 2]])</f>
        <v>23900555.088</v>
      </c>
      <c r="AC46" s="4" t="str" cm="1">
        <f t="array" ref="AC46">_xlfn.IFS(Table1[[#This Row],[Revenue]]&gt;=30000000,"High Value",Table1[[#This Row],[Revenue]]&gt;=10000000,"Moderate Value",TRUE,"Low Value")</f>
        <v>Moderate Value</v>
      </c>
      <c r="AD46" t="str">
        <f>IF(Table1[[#This Row],[Discount 2]]&gt;=5%, "YES", "NO")</f>
        <v>NO</v>
      </c>
      <c r="AE46" t="str" cm="1">
        <f t="array" ref="AE46">_xlfn.IFS(Table1[[#This Row],[Revenue]]&gt;=30000000,"High Spender",Table1[[#This Row],[Revenue]]&gt;=10000000,"Moderate Spender",TRUE,"Low Spender")</f>
        <v>Moderate Spender</v>
      </c>
      <c r="AF46" s="4" t="str" cm="1">
        <f t="array" ref="AF46">_xlfn.IFS(Table1[[#This Row],[Land_Size_SQM]]&gt;=730,"LARGE",Table1[[#This Row],[Land_Size_SQM]]&gt;=465,"MEDIUM",TRUE,"SMALL")</f>
        <v>MEDIUM</v>
      </c>
    </row>
    <row r="47" spans="1:32" x14ac:dyDescent="0.3">
      <c r="A47" t="s">
        <v>71</v>
      </c>
      <c r="B47" t="s">
        <v>548</v>
      </c>
      <c r="C47" t="s">
        <v>626</v>
      </c>
      <c r="D47">
        <v>52</v>
      </c>
      <c r="E47" t="s">
        <v>629</v>
      </c>
      <c r="F47">
        <v>295</v>
      </c>
      <c r="G47" s="4">
        <v>16725</v>
      </c>
      <c r="H47" s="4">
        <v>4933875</v>
      </c>
      <c r="I47" t="s">
        <v>642</v>
      </c>
      <c r="J47" t="s">
        <v>673</v>
      </c>
      <c r="K47" t="s">
        <v>640</v>
      </c>
      <c r="L47" t="s">
        <v>681</v>
      </c>
      <c r="M47" t="s">
        <v>684</v>
      </c>
      <c r="N47" t="s">
        <v>691</v>
      </c>
      <c r="O47" t="s">
        <v>693</v>
      </c>
      <c r="P47" s="4">
        <v>4933875</v>
      </c>
      <c r="Q47">
        <v>0</v>
      </c>
      <c r="R47" s="7">
        <v>4.6100000000000003</v>
      </c>
      <c r="S47" s="8">
        <f>Table1[[#This Row],[Discount_%]]/100</f>
        <v>4.6100000000000002E-2</v>
      </c>
      <c r="T47" s="6" t="s">
        <v>735</v>
      </c>
      <c r="U47" t="s">
        <v>987</v>
      </c>
      <c r="V47">
        <v>2024</v>
      </c>
      <c r="W47" t="s">
        <v>995</v>
      </c>
      <c r="X47" t="s">
        <v>999</v>
      </c>
      <c r="Y47" t="s">
        <v>1002</v>
      </c>
      <c r="Z47">
        <v>5</v>
      </c>
      <c r="AA47">
        <v>10</v>
      </c>
      <c r="AB47" s="4">
        <f>Table1[[#This Row],[Total_Price]]*(1-Table1[[#This Row],[Discount 2]])</f>
        <v>4706423.3624999998</v>
      </c>
      <c r="AC47" s="4" t="str" cm="1">
        <f t="array" ref="AC47">_xlfn.IFS(Table1[[#This Row],[Revenue]]&gt;=30000000,"High Value",Table1[[#This Row],[Revenue]]&gt;=10000000,"Moderate Value",TRUE,"Low Value")</f>
        <v>Low Value</v>
      </c>
      <c r="AD47" t="str">
        <f>IF(Table1[[#This Row],[Discount 2]]&gt;=5%, "YES", "NO")</f>
        <v>NO</v>
      </c>
      <c r="AE47" t="str" cm="1">
        <f t="array" ref="AE47">_xlfn.IFS(Table1[[#This Row],[Revenue]]&gt;=30000000,"High Spender",Table1[[#This Row],[Revenue]]&gt;=10000000,"Moderate Spender",TRUE,"Low Spender")</f>
        <v>Low Spender</v>
      </c>
      <c r="AF47" s="4" t="str" cm="1">
        <f t="array" ref="AF47">_xlfn.IFS(Table1[[#This Row],[Land_Size_SQM]]&gt;=730,"LARGE",Table1[[#This Row],[Land_Size_SQM]]&gt;=465,"MEDIUM",TRUE,"SMALL")</f>
        <v>SMALL</v>
      </c>
    </row>
    <row r="48" spans="1:32" x14ac:dyDescent="0.3">
      <c r="A48" t="s">
        <v>72</v>
      </c>
      <c r="B48" t="s">
        <v>561</v>
      </c>
      <c r="C48" t="s">
        <v>626</v>
      </c>
      <c r="D48">
        <v>20</v>
      </c>
      <c r="E48" t="s">
        <v>630</v>
      </c>
      <c r="F48">
        <v>720</v>
      </c>
      <c r="G48" s="4">
        <v>10946</v>
      </c>
      <c r="H48" s="4">
        <v>7881120</v>
      </c>
      <c r="I48" t="s">
        <v>650</v>
      </c>
      <c r="J48" t="s">
        <v>670</v>
      </c>
      <c r="K48" t="s">
        <v>674</v>
      </c>
      <c r="L48" t="s">
        <v>682</v>
      </c>
      <c r="M48" t="s">
        <v>687</v>
      </c>
      <c r="N48" t="s">
        <v>692</v>
      </c>
      <c r="O48" t="s">
        <v>693</v>
      </c>
      <c r="P48" s="4">
        <v>7881120</v>
      </c>
      <c r="Q48">
        <v>0</v>
      </c>
      <c r="R48" s="7">
        <v>2.76</v>
      </c>
      <c r="S48" s="8">
        <f>Table1[[#This Row],[Discount_%]]/100</f>
        <v>2.76E-2</v>
      </c>
      <c r="T48" s="6" t="s">
        <v>736</v>
      </c>
      <c r="U48" t="s">
        <v>991</v>
      </c>
      <c r="V48">
        <v>2024</v>
      </c>
      <c r="W48" t="s">
        <v>995</v>
      </c>
      <c r="X48" t="s">
        <v>999</v>
      </c>
      <c r="Y48" t="s">
        <v>1002</v>
      </c>
      <c r="Z48">
        <v>5</v>
      </c>
      <c r="AA48">
        <v>31</v>
      </c>
      <c r="AB48" s="4">
        <f>Table1[[#This Row],[Total_Price]]*(1-Table1[[#This Row],[Discount 2]])</f>
        <v>7663601.0880000005</v>
      </c>
      <c r="AC48" s="4" t="str" cm="1">
        <f t="array" ref="AC48">_xlfn.IFS(Table1[[#This Row],[Revenue]]&gt;=30000000,"High Value",Table1[[#This Row],[Revenue]]&gt;=10000000,"Moderate Value",TRUE,"Low Value")</f>
        <v>Low Value</v>
      </c>
      <c r="AD48" t="str">
        <f>IF(Table1[[#This Row],[Discount 2]]&gt;=5%, "YES", "NO")</f>
        <v>NO</v>
      </c>
      <c r="AE48" t="str" cm="1">
        <f t="array" ref="AE48">_xlfn.IFS(Table1[[#This Row],[Revenue]]&gt;=30000000,"High Spender",Table1[[#This Row],[Revenue]]&gt;=10000000,"Moderate Spender",TRUE,"Low Spender")</f>
        <v>Low Spender</v>
      </c>
      <c r="AF48" s="4" t="str" cm="1">
        <f t="array" ref="AF48">_xlfn.IFS(Table1[[#This Row],[Land_Size_SQM]]&gt;=730,"LARGE",Table1[[#This Row],[Land_Size_SQM]]&gt;=465,"MEDIUM",TRUE,"SMALL")</f>
        <v>MEDIUM</v>
      </c>
    </row>
    <row r="49" spans="1:32" x14ac:dyDescent="0.3">
      <c r="A49" t="s">
        <v>73</v>
      </c>
      <c r="B49" t="s">
        <v>562</v>
      </c>
      <c r="C49" t="s">
        <v>626</v>
      </c>
      <c r="D49">
        <v>34</v>
      </c>
      <c r="E49" t="s">
        <v>630</v>
      </c>
      <c r="F49">
        <v>981</v>
      </c>
      <c r="G49" s="4">
        <v>37614</v>
      </c>
      <c r="H49" s="4">
        <v>36899334</v>
      </c>
      <c r="I49" t="s">
        <v>657</v>
      </c>
      <c r="J49" t="s">
        <v>671</v>
      </c>
      <c r="K49" t="s">
        <v>675</v>
      </c>
      <c r="L49" t="s">
        <v>680</v>
      </c>
      <c r="M49" t="s">
        <v>687</v>
      </c>
      <c r="N49" t="s">
        <v>691</v>
      </c>
      <c r="O49" t="s">
        <v>694</v>
      </c>
      <c r="P49" s="4">
        <v>17706355</v>
      </c>
      <c r="Q49">
        <v>24</v>
      </c>
      <c r="R49" s="7">
        <v>8.6999999999999993</v>
      </c>
      <c r="S49" s="8">
        <f>Table1[[#This Row],[Discount_%]]/100</f>
        <v>8.6999999999999994E-2</v>
      </c>
      <c r="T49" s="6" t="s">
        <v>737</v>
      </c>
      <c r="U49" t="s">
        <v>984</v>
      </c>
      <c r="V49">
        <v>2024</v>
      </c>
      <c r="W49" t="s">
        <v>995</v>
      </c>
      <c r="X49" t="s">
        <v>998</v>
      </c>
      <c r="Y49" t="s">
        <v>1001</v>
      </c>
      <c r="Z49">
        <v>2</v>
      </c>
      <c r="AA49">
        <v>32</v>
      </c>
      <c r="AB49" s="4">
        <f>Table1[[#This Row],[Total_Price]]*(1-Table1[[#This Row],[Discount 2]])</f>
        <v>33689091.942000002</v>
      </c>
      <c r="AC49" s="4" t="str" cm="1">
        <f t="array" ref="AC49">_xlfn.IFS(Table1[[#This Row],[Revenue]]&gt;=30000000,"High Value",Table1[[#This Row],[Revenue]]&gt;=10000000,"Moderate Value",TRUE,"Low Value")</f>
        <v>High Value</v>
      </c>
      <c r="AD49" t="str">
        <f>IF(Table1[[#This Row],[Discount 2]]&gt;=5%, "YES", "NO")</f>
        <v>YES</v>
      </c>
      <c r="AE49" t="str" cm="1">
        <f t="array" ref="AE49">_xlfn.IFS(Table1[[#This Row],[Revenue]]&gt;=30000000,"High Spender",Table1[[#This Row],[Revenue]]&gt;=10000000,"Moderate Spender",TRUE,"Low Spender")</f>
        <v>High Spender</v>
      </c>
      <c r="AF49" s="4" t="str" cm="1">
        <f t="array" ref="AF49">_xlfn.IFS(Table1[[#This Row],[Land_Size_SQM]]&gt;=730,"LARGE",Table1[[#This Row],[Land_Size_SQM]]&gt;=465,"MEDIUM",TRUE,"SMALL")</f>
        <v>LARGE</v>
      </c>
    </row>
    <row r="50" spans="1:32" x14ac:dyDescent="0.3">
      <c r="A50" t="s">
        <v>74</v>
      </c>
      <c r="B50" t="s">
        <v>540</v>
      </c>
      <c r="C50" t="s">
        <v>626</v>
      </c>
      <c r="D50">
        <v>20</v>
      </c>
      <c r="E50" t="s">
        <v>629</v>
      </c>
      <c r="F50">
        <v>804</v>
      </c>
      <c r="G50" s="4">
        <v>23757</v>
      </c>
      <c r="H50" s="4">
        <v>19100628</v>
      </c>
      <c r="I50" t="s">
        <v>641</v>
      </c>
      <c r="J50" t="s">
        <v>673</v>
      </c>
      <c r="K50" t="s">
        <v>675</v>
      </c>
      <c r="L50" t="s">
        <v>680</v>
      </c>
      <c r="M50" t="s">
        <v>684</v>
      </c>
      <c r="N50" t="s">
        <v>688</v>
      </c>
      <c r="O50" t="s">
        <v>693</v>
      </c>
      <c r="P50" s="4">
        <v>19100628</v>
      </c>
      <c r="Q50">
        <v>0</v>
      </c>
      <c r="R50" s="7">
        <v>8.74</v>
      </c>
      <c r="S50" s="8">
        <f>Table1[[#This Row],[Discount_%]]/100</f>
        <v>8.7400000000000005E-2</v>
      </c>
      <c r="T50" s="6" t="s">
        <v>738</v>
      </c>
      <c r="U50" t="s">
        <v>989</v>
      </c>
      <c r="V50">
        <v>2024</v>
      </c>
      <c r="W50" t="s">
        <v>993</v>
      </c>
      <c r="X50" t="s">
        <v>998</v>
      </c>
      <c r="Y50" t="s">
        <v>1002</v>
      </c>
      <c r="Z50">
        <v>3</v>
      </c>
      <c r="AA50">
        <v>40</v>
      </c>
      <c r="AB50" s="4">
        <f>Table1[[#This Row],[Total_Price]]*(1-Table1[[#This Row],[Discount 2]])</f>
        <v>17431233.112799998</v>
      </c>
      <c r="AC50" s="4" t="str" cm="1">
        <f t="array" ref="AC50">_xlfn.IFS(Table1[[#This Row],[Revenue]]&gt;=30000000,"High Value",Table1[[#This Row],[Revenue]]&gt;=10000000,"Moderate Value",TRUE,"Low Value")</f>
        <v>Moderate Value</v>
      </c>
      <c r="AD50" t="str">
        <f>IF(Table1[[#This Row],[Discount 2]]&gt;=5%, "YES", "NO")</f>
        <v>YES</v>
      </c>
      <c r="AE50" t="str" cm="1">
        <f t="array" ref="AE50">_xlfn.IFS(Table1[[#This Row],[Revenue]]&gt;=30000000,"High Spender",Table1[[#This Row],[Revenue]]&gt;=10000000,"Moderate Spender",TRUE,"Low Spender")</f>
        <v>Moderate Spender</v>
      </c>
      <c r="AF50" s="4" t="str" cm="1">
        <f t="array" ref="AF50">_xlfn.IFS(Table1[[#This Row],[Land_Size_SQM]]&gt;=730,"LARGE",Table1[[#This Row],[Land_Size_SQM]]&gt;=465,"MEDIUM",TRUE,"SMALL")</f>
        <v>LARGE</v>
      </c>
    </row>
    <row r="51" spans="1:32" x14ac:dyDescent="0.3">
      <c r="A51" t="s">
        <v>75</v>
      </c>
      <c r="B51" t="s">
        <v>563</v>
      </c>
      <c r="C51" t="s">
        <v>627</v>
      </c>
      <c r="D51">
        <v>35</v>
      </c>
      <c r="E51" t="s">
        <v>629</v>
      </c>
      <c r="F51">
        <v>536</v>
      </c>
      <c r="G51" s="4">
        <v>46194</v>
      </c>
      <c r="H51" s="4">
        <v>24759984</v>
      </c>
      <c r="I51" t="s">
        <v>633</v>
      </c>
      <c r="J51" t="s">
        <v>668</v>
      </c>
      <c r="K51" t="s">
        <v>676</v>
      </c>
      <c r="L51" t="s">
        <v>682</v>
      </c>
      <c r="M51" t="s">
        <v>687</v>
      </c>
      <c r="N51" t="s">
        <v>688</v>
      </c>
      <c r="O51" t="s">
        <v>694</v>
      </c>
      <c r="P51" s="4">
        <v>9607858</v>
      </c>
      <c r="Q51">
        <v>12</v>
      </c>
      <c r="R51" s="7">
        <v>8.8699999999999992</v>
      </c>
      <c r="S51" s="8">
        <f>Table1[[#This Row],[Discount_%]]/100</f>
        <v>8.8699999999999987E-2</v>
      </c>
      <c r="T51" s="6" t="s">
        <v>739</v>
      </c>
      <c r="U51" t="s">
        <v>986</v>
      </c>
      <c r="V51">
        <v>2024</v>
      </c>
      <c r="W51" t="s">
        <v>993</v>
      </c>
      <c r="X51" t="s">
        <v>998</v>
      </c>
      <c r="Y51" t="s">
        <v>1000</v>
      </c>
      <c r="Z51">
        <v>1</v>
      </c>
      <c r="AA51">
        <v>29</v>
      </c>
      <c r="AB51" s="4">
        <f>Table1[[#This Row],[Total_Price]]*(1-Table1[[#This Row],[Discount 2]])</f>
        <v>22563773.419199999</v>
      </c>
      <c r="AC51" s="4" t="str" cm="1">
        <f t="array" ref="AC51">_xlfn.IFS(Table1[[#This Row],[Revenue]]&gt;=30000000,"High Value",Table1[[#This Row],[Revenue]]&gt;=10000000,"Moderate Value",TRUE,"Low Value")</f>
        <v>Moderate Value</v>
      </c>
      <c r="AD51" t="str">
        <f>IF(Table1[[#This Row],[Discount 2]]&gt;=5%, "YES", "NO")</f>
        <v>YES</v>
      </c>
      <c r="AE51" t="str" cm="1">
        <f t="array" ref="AE51">_xlfn.IFS(Table1[[#This Row],[Revenue]]&gt;=30000000,"High Spender",Table1[[#This Row],[Revenue]]&gt;=10000000,"Moderate Spender",TRUE,"Low Spender")</f>
        <v>Moderate Spender</v>
      </c>
      <c r="AF51" s="4" t="str" cm="1">
        <f t="array" ref="AF51">_xlfn.IFS(Table1[[#This Row],[Land_Size_SQM]]&gt;=730,"LARGE",Table1[[#This Row],[Land_Size_SQM]]&gt;=465,"MEDIUM",TRUE,"SMALL")</f>
        <v>MEDIUM</v>
      </c>
    </row>
    <row r="52" spans="1:32" x14ac:dyDescent="0.3">
      <c r="A52" t="s">
        <v>76</v>
      </c>
      <c r="B52" t="s">
        <v>564</v>
      </c>
      <c r="C52" t="s">
        <v>627</v>
      </c>
      <c r="D52">
        <v>53</v>
      </c>
      <c r="E52" t="s">
        <v>630</v>
      </c>
      <c r="F52">
        <v>247</v>
      </c>
      <c r="G52" s="4">
        <v>23258</v>
      </c>
      <c r="H52" s="4">
        <v>5744726</v>
      </c>
      <c r="I52" t="s">
        <v>651</v>
      </c>
      <c r="J52" t="s">
        <v>669</v>
      </c>
      <c r="K52" t="s">
        <v>664</v>
      </c>
      <c r="L52" t="s">
        <v>682</v>
      </c>
      <c r="M52" t="s">
        <v>683</v>
      </c>
      <c r="N52" t="s">
        <v>688</v>
      </c>
      <c r="O52" t="s">
        <v>693</v>
      </c>
      <c r="P52" s="4">
        <v>5744726</v>
      </c>
      <c r="Q52">
        <v>0</v>
      </c>
      <c r="R52" s="7">
        <v>2.93</v>
      </c>
      <c r="S52" s="8">
        <f>Table1[[#This Row],[Discount_%]]/100</f>
        <v>2.9300000000000003E-2</v>
      </c>
      <c r="T52" s="6" t="s">
        <v>740</v>
      </c>
      <c r="U52" t="s">
        <v>991</v>
      </c>
      <c r="V52">
        <v>2024</v>
      </c>
      <c r="W52" t="s">
        <v>996</v>
      </c>
      <c r="X52" t="s">
        <v>999</v>
      </c>
      <c r="Y52" t="s">
        <v>1001</v>
      </c>
      <c r="Z52">
        <v>4</v>
      </c>
      <c r="AA52">
        <v>40</v>
      </c>
      <c r="AB52" s="4">
        <f>Table1[[#This Row],[Total_Price]]*(1-Table1[[#This Row],[Discount 2]])</f>
        <v>5576405.5281999996</v>
      </c>
      <c r="AC52" s="4" t="str" cm="1">
        <f t="array" ref="AC52">_xlfn.IFS(Table1[[#This Row],[Revenue]]&gt;=30000000,"High Value",Table1[[#This Row],[Revenue]]&gt;=10000000,"Moderate Value",TRUE,"Low Value")</f>
        <v>Low Value</v>
      </c>
      <c r="AD52" t="str">
        <f>IF(Table1[[#This Row],[Discount 2]]&gt;=5%, "YES", "NO")</f>
        <v>NO</v>
      </c>
      <c r="AE52" t="str" cm="1">
        <f t="array" ref="AE52">_xlfn.IFS(Table1[[#This Row],[Revenue]]&gt;=30000000,"High Spender",Table1[[#This Row],[Revenue]]&gt;=10000000,"Moderate Spender",TRUE,"Low Spender")</f>
        <v>Low Spender</v>
      </c>
      <c r="AF52" s="4" t="str" cm="1">
        <f t="array" ref="AF52">_xlfn.IFS(Table1[[#This Row],[Land_Size_SQM]]&gt;=730,"LARGE",Table1[[#This Row],[Land_Size_SQM]]&gt;=465,"MEDIUM",TRUE,"SMALL")</f>
        <v>SMALL</v>
      </c>
    </row>
    <row r="53" spans="1:32" x14ac:dyDescent="0.3">
      <c r="A53" t="s">
        <v>77</v>
      </c>
      <c r="B53" t="s">
        <v>558</v>
      </c>
      <c r="C53" t="s">
        <v>627</v>
      </c>
      <c r="D53">
        <v>49</v>
      </c>
      <c r="E53" t="s">
        <v>630</v>
      </c>
      <c r="F53">
        <v>797</v>
      </c>
      <c r="G53" s="4">
        <v>11379</v>
      </c>
      <c r="H53" s="4">
        <v>9069063</v>
      </c>
      <c r="I53" t="s">
        <v>653</v>
      </c>
      <c r="J53" t="s">
        <v>668</v>
      </c>
      <c r="K53" t="s">
        <v>678</v>
      </c>
      <c r="L53" t="s">
        <v>682</v>
      </c>
      <c r="M53" t="s">
        <v>686</v>
      </c>
      <c r="N53" t="s">
        <v>688</v>
      </c>
      <c r="O53" t="s">
        <v>693</v>
      </c>
      <c r="P53" s="4">
        <v>9069063</v>
      </c>
      <c r="Q53">
        <v>0</v>
      </c>
      <c r="R53" s="7">
        <v>4.6100000000000003</v>
      </c>
      <c r="S53" s="8">
        <f>Table1[[#This Row],[Discount_%]]/100</f>
        <v>4.6100000000000002E-2</v>
      </c>
      <c r="T53" s="6" t="s">
        <v>741</v>
      </c>
      <c r="U53" t="s">
        <v>992</v>
      </c>
      <c r="V53">
        <v>2024</v>
      </c>
      <c r="W53" t="s">
        <v>993</v>
      </c>
      <c r="X53" t="s">
        <v>998</v>
      </c>
      <c r="Y53" t="s">
        <v>1002</v>
      </c>
      <c r="Z53">
        <v>5</v>
      </c>
      <c r="AA53">
        <v>20</v>
      </c>
      <c r="AB53" s="4">
        <f>Table1[[#This Row],[Total_Price]]*(1-Table1[[#This Row],[Discount 2]])</f>
        <v>8650979.1956999991</v>
      </c>
      <c r="AC53" s="4" t="str" cm="1">
        <f t="array" ref="AC53">_xlfn.IFS(Table1[[#This Row],[Revenue]]&gt;=30000000,"High Value",Table1[[#This Row],[Revenue]]&gt;=10000000,"Moderate Value",TRUE,"Low Value")</f>
        <v>Low Value</v>
      </c>
      <c r="AD53" t="str">
        <f>IF(Table1[[#This Row],[Discount 2]]&gt;=5%, "YES", "NO")</f>
        <v>NO</v>
      </c>
      <c r="AE53" t="str" cm="1">
        <f t="array" ref="AE53">_xlfn.IFS(Table1[[#This Row],[Revenue]]&gt;=30000000,"High Spender",Table1[[#This Row],[Revenue]]&gt;=10000000,"Moderate Spender",TRUE,"Low Spender")</f>
        <v>Low Spender</v>
      </c>
      <c r="AF53" s="4" t="str" cm="1">
        <f t="array" ref="AF53">_xlfn.IFS(Table1[[#This Row],[Land_Size_SQM]]&gt;=730,"LARGE",Table1[[#This Row],[Land_Size_SQM]]&gt;=465,"MEDIUM",TRUE,"SMALL")</f>
        <v>LARGE</v>
      </c>
    </row>
    <row r="54" spans="1:32" x14ac:dyDescent="0.3">
      <c r="A54" t="s">
        <v>78</v>
      </c>
      <c r="B54" t="s">
        <v>565</v>
      </c>
      <c r="C54" t="s">
        <v>626</v>
      </c>
      <c r="D54">
        <v>56</v>
      </c>
      <c r="E54" t="s">
        <v>630</v>
      </c>
      <c r="F54">
        <v>667</v>
      </c>
      <c r="G54" s="4">
        <v>21799</v>
      </c>
      <c r="H54" s="4">
        <v>14539933</v>
      </c>
      <c r="I54" t="s">
        <v>633</v>
      </c>
      <c r="J54" t="s">
        <v>668</v>
      </c>
      <c r="K54" t="s">
        <v>677</v>
      </c>
      <c r="L54" t="s">
        <v>682</v>
      </c>
      <c r="M54" t="s">
        <v>687</v>
      </c>
      <c r="N54" t="s">
        <v>690</v>
      </c>
      <c r="O54" t="s">
        <v>693</v>
      </c>
      <c r="P54" s="4">
        <v>14539933</v>
      </c>
      <c r="Q54">
        <v>0</v>
      </c>
      <c r="R54" s="7">
        <v>9.99</v>
      </c>
      <c r="S54" s="8">
        <f>Table1[[#This Row],[Discount_%]]/100</f>
        <v>9.9900000000000003E-2</v>
      </c>
      <c r="T54" s="6" t="s">
        <v>742</v>
      </c>
      <c r="U54" t="s">
        <v>986</v>
      </c>
      <c r="V54">
        <v>2024</v>
      </c>
      <c r="W54" t="s">
        <v>993</v>
      </c>
      <c r="X54" t="s">
        <v>997</v>
      </c>
      <c r="Y54" t="s">
        <v>1002</v>
      </c>
      <c r="Z54">
        <v>3</v>
      </c>
      <c r="AA54">
        <v>1</v>
      </c>
      <c r="AB54" s="4">
        <f>Table1[[#This Row],[Total_Price]]*(1-Table1[[#This Row],[Discount 2]])</f>
        <v>13087393.693299999</v>
      </c>
      <c r="AC54" s="4" t="str" cm="1">
        <f t="array" ref="AC54">_xlfn.IFS(Table1[[#This Row],[Revenue]]&gt;=30000000,"High Value",Table1[[#This Row],[Revenue]]&gt;=10000000,"Moderate Value",TRUE,"Low Value")</f>
        <v>Moderate Value</v>
      </c>
      <c r="AD54" t="str">
        <f>IF(Table1[[#This Row],[Discount 2]]&gt;=5%, "YES", "NO")</f>
        <v>YES</v>
      </c>
      <c r="AE54" t="str" cm="1">
        <f t="array" ref="AE54">_xlfn.IFS(Table1[[#This Row],[Revenue]]&gt;=30000000,"High Spender",Table1[[#This Row],[Revenue]]&gt;=10000000,"Moderate Spender",TRUE,"Low Spender")</f>
        <v>Moderate Spender</v>
      </c>
      <c r="AF54" s="4" t="str" cm="1">
        <f t="array" ref="AF54">_xlfn.IFS(Table1[[#This Row],[Land_Size_SQM]]&gt;=730,"LARGE",Table1[[#This Row],[Land_Size_SQM]]&gt;=465,"MEDIUM",TRUE,"SMALL")</f>
        <v>MEDIUM</v>
      </c>
    </row>
    <row r="55" spans="1:32" x14ac:dyDescent="0.3">
      <c r="A55" t="s">
        <v>79</v>
      </c>
      <c r="B55" t="s">
        <v>562</v>
      </c>
      <c r="C55" t="s">
        <v>626</v>
      </c>
      <c r="D55">
        <v>63</v>
      </c>
      <c r="E55" t="s">
        <v>629</v>
      </c>
      <c r="F55">
        <v>820</v>
      </c>
      <c r="G55" s="4">
        <v>34553</v>
      </c>
      <c r="H55" s="4">
        <v>28333460</v>
      </c>
      <c r="I55" t="s">
        <v>652</v>
      </c>
      <c r="J55" t="s">
        <v>672</v>
      </c>
      <c r="K55" t="s">
        <v>664</v>
      </c>
      <c r="L55" t="s">
        <v>682</v>
      </c>
      <c r="M55" t="s">
        <v>683</v>
      </c>
      <c r="N55" t="s">
        <v>689</v>
      </c>
      <c r="O55" t="s">
        <v>694</v>
      </c>
      <c r="P55" s="4">
        <v>10826768</v>
      </c>
      <c r="Q55">
        <v>6</v>
      </c>
      <c r="R55" s="7">
        <v>3.52</v>
      </c>
      <c r="S55" s="8">
        <f>Table1[[#This Row],[Discount_%]]/100</f>
        <v>3.5200000000000002E-2</v>
      </c>
      <c r="T55" s="6" t="s">
        <v>743</v>
      </c>
      <c r="U55" t="s">
        <v>983</v>
      </c>
      <c r="V55">
        <v>2024</v>
      </c>
      <c r="W55" t="s">
        <v>993</v>
      </c>
      <c r="X55" t="s">
        <v>998</v>
      </c>
      <c r="Y55" t="s">
        <v>1002</v>
      </c>
      <c r="Z55">
        <v>1</v>
      </c>
      <c r="AA55">
        <v>38</v>
      </c>
      <c r="AB55" s="4">
        <f>Table1[[#This Row],[Total_Price]]*(1-Table1[[#This Row],[Discount 2]])</f>
        <v>27336122.208000001</v>
      </c>
      <c r="AC55" s="4" t="str" cm="1">
        <f t="array" ref="AC55">_xlfn.IFS(Table1[[#This Row],[Revenue]]&gt;=30000000,"High Value",Table1[[#This Row],[Revenue]]&gt;=10000000,"Moderate Value",TRUE,"Low Value")</f>
        <v>Moderate Value</v>
      </c>
      <c r="AD55" t="str">
        <f>IF(Table1[[#This Row],[Discount 2]]&gt;=5%, "YES", "NO")</f>
        <v>NO</v>
      </c>
      <c r="AE55" t="str" cm="1">
        <f t="array" ref="AE55">_xlfn.IFS(Table1[[#This Row],[Revenue]]&gt;=30000000,"High Spender",Table1[[#This Row],[Revenue]]&gt;=10000000,"Moderate Spender",TRUE,"Low Spender")</f>
        <v>Moderate Spender</v>
      </c>
      <c r="AF55" s="4" t="str" cm="1">
        <f t="array" ref="AF55">_xlfn.IFS(Table1[[#This Row],[Land_Size_SQM]]&gt;=730,"LARGE",Table1[[#This Row],[Land_Size_SQM]]&gt;=465,"MEDIUM",TRUE,"SMALL")</f>
        <v>LARGE</v>
      </c>
    </row>
    <row r="56" spans="1:32" x14ac:dyDescent="0.3">
      <c r="A56" t="s">
        <v>80</v>
      </c>
      <c r="B56" t="s">
        <v>561</v>
      </c>
      <c r="C56" t="s">
        <v>626</v>
      </c>
      <c r="D56">
        <v>30</v>
      </c>
      <c r="E56" t="s">
        <v>630</v>
      </c>
      <c r="F56">
        <v>292</v>
      </c>
      <c r="G56" s="4">
        <v>21340</v>
      </c>
      <c r="H56" s="4">
        <v>6231280</v>
      </c>
      <c r="I56" t="s">
        <v>636</v>
      </c>
      <c r="J56" t="s">
        <v>671</v>
      </c>
      <c r="K56" t="s">
        <v>638</v>
      </c>
      <c r="L56" t="s">
        <v>681</v>
      </c>
      <c r="M56" t="s">
        <v>687</v>
      </c>
      <c r="N56" t="s">
        <v>690</v>
      </c>
      <c r="O56" t="s">
        <v>694</v>
      </c>
      <c r="P56" s="4">
        <v>1574595</v>
      </c>
      <c r="Q56">
        <v>24</v>
      </c>
      <c r="R56" s="7">
        <v>1.32</v>
      </c>
      <c r="S56" s="8">
        <f>Table1[[#This Row],[Discount_%]]/100</f>
        <v>1.32E-2</v>
      </c>
      <c r="T56" s="6" t="s">
        <v>744</v>
      </c>
      <c r="U56" t="s">
        <v>985</v>
      </c>
      <c r="V56">
        <v>2024</v>
      </c>
      <c r="W56" t="s">
        <v>993</v>
      </c>
      <c r="X56" t="s">
        <v>998</v>
      </c>
      <c r="Y56" t="s">
        <v>1000</v>
      </c>
      <c r="Z56">
        <v>2</v>
      </c>
      <c r="AA56">
        <v>49</v>
      </c>
      <c r="AB56" s="4">
        <f>Table1[[#This Row],[Total_Price]]*(1-Table1[[#This Row],[Discount 2]])</f>
        <v>6149027.1040000003</v>
      </c>
      <c r="AC56" s="4" t="str" cm="1">
        <f t="array" ref="AC56">_xlfn.IFS(Table1[[#This Row],[Revenue]]&gt;=30000000,"High Value",Table1[[#This Row],[Revenue]]&gt;=10000000,"Moderate Value",TRUE,"Low Value")</f>
        <v>Low Value</v>
      </c>
      <c r="AD56" t="str">
        <f>IF(Table1[[#This Row],[Discount 2]]&gt;=5%, "YES", "NO")</f>
        <v>NO</v>
      </c>
      <c r="AE56" t="str" cm="1">
        <f t="array" ref="AE56">_xlfn.IFS(Table1[[#This Row],[Revenue]]&gt;=30000000,"High Spender",Table1[[#This Row],[Revenue]]&gt;=10000000,"Moderate Spender",TRUE,"Low Spender")</f>
        <v>Low Spender</v>
      </c>
      <c r="AF56" s="4" t="str" cm="1">
        <f t="array" ref="AF56">_xlfn.IFS(Table1[[#This Row],[Land_Size_SQM]]&gt;=730,"LARGE",Table1[[#This Row],[Land_Size_SQM]]&gt;=465,"MEDIUM",TRUE,"SMALL")</f>
        <v>SMALL</v>
      </c>
    </row>
    <row r="57" spans="1:32" x14ac:dyDescent="0.3">
      <c r="A57" t="s">
        <v>81</v>
      </c>
      <c r="B57" t="s">
        <v>566</v>
      </c>
      <c r="C57" t="s">
        <v>626</v>
      </c>
      <c r="D57">
        <v>60</v>
      </c>
      <c r="E57" t="s">
        <v>630</v>
      </c>
      <c r="F57">
        <v>574</v>
      </c>
      <c r="G57" s="4">
        <v>7918</v>
      </c>
      <c r="H57" s="4">
        <v>4544932</v>
      </c>
      <c r="I57" t="s">
        <v>632</v>
      </c>
      <c r="J57" t="s">
        <v>669</v>
      </c>
      <c r="K57" t="s">
        <v>675</v>
      </c>
      <c r="L57" t="s">
        <v>680</v>
      </c>
      <c r="M57" t="s">
        <v>683</v>
      </c>
      <c r="N57" t="s">
        <v>691</v>
      </c>
      <c r="O57" t="s">
        <v>694</v>
      </c>
      <c r="P57" s="4">
        <v>1269570</v>
      </c>
      <c r="Q57">
        <v>3</v>
      </c>
      <c r="R57" s="7">
        <v>1.24</v>
      </c>
      <c r="S57" s="8">
        <f>Table1[[#This Row],[Discount_%]]/100</f>
        <v>1.24E-2</v>
      </c>
      <c r="T57" s="6" t="s">
        <v>745</v>
      </c>
      <c r="U57" t="s">
        <v>991</v>
      </c>
      <c r="V57">
        <v>2024</v>
      </c>
      <c r="W57" t="s">
        <v>993</v>
      </c>
      <c r="X57" t="s">
        <v>997</v>
      </c>
      <c r="Y57" t="s">
        <v>1001</v>
      </c>
      <c r="Z57">
        <v>3</v>
      </c>
      <c r="AA57">
        <v>40</v>
      </c>
      <c r="AB57" s="4">
        <f>Table1[[#This Row],[Total_Price]]*(1-Table1[[#This Row],[Discount 2]])</f>
        <v>4488574.8432</v>
      </c>
      <c r="AC57" s="4" t="str" cm="1">
        <f t="array" ref="AC57">_xlfn.IFS(Table1[[#This Row],[Revenue]]&gt;=30000000,"High Value",Table1[[#This Row],[Revenue]]&gt;=10000000,"Moderate Value",TRUE,"Low Value")</f>
        <v>Low Value</v>
      </c>
      <c r="AD57" t="str">
        <f>IF(Table1[[#This Row],[Discount 2]]&gt;=5%, "YES", "NO")</f>
        <v>NO</v>
      </c>
      <c r="AE57" t="str" cm="1">
        <f t="array" ref="AE57">_xlfn.IFS(Table1[[#This Row],[Revenue]]&gt;=30000000,"High Spender",Table1[[#This Row],[Revenue]]&gt;=10000000,"Moderate Spender",TRUE,"Low Spender")</f>
        <v>Low Spender</v>
      </c>
      <c r="AF57" s="4" t="str" cm="1">
        <f t="array" ref="AF57">_xlfn.IFS(Table1[[#This Row],[Land_Size_SQM]]&gt;=730,"LARGE",Table1[[#This Row],[Land_Size_SQM]]&gt;=465,"MEDIUM",TRUE,"SMALL")</f>
        <v>MEDIUM</v>
      </c>
    </row>
    <row r="58" spans="1:32" x14ac:dyDescent="0.3">
      <c r="A58" t="s">
        <v>82</v>
      </c>
      <c r="B58" t="s">
        <v>531</v>
      </c>
      <c r="C58" t="s">
        <v>627</v>
      </c>
      <c r="D58">
        <v>35</v>
      </c>
      <c r="E58" t="s">
        <v>629</v>
      </c>
      <c r="F58">
        <v>917</v>
      </c>
      <c r="G58" s="4">
        <v>21804</v>
      </c>
      <c r="H58" s="4">
        <v>19994268</v>
      </c>
      <c r="I58" t="s">
        <v>649</v>
      </c>
      <c r="J58" t="s">
        <v>669</v>
      </c>
      <c r="K58" t="s">
        <v>678</v>
      </c>
      <c r="L58" t="s">
        <v>680</v>
      </c>
      <c r="M58" t="s">
        <v>684</v>
      </c>
      <c r="N58" t="s">
        <v>691</v>
      </c>
      <c r="O58" t="s">
        <v>694</v>
      </c>
      <c r="P58" s="4">
        <v>4837275</v>
      </c>
      <c r="Q58">
        <v>3</v>
      </c>
      <c r="R58" s="7">
        <v>9.4600000000000009</v>
      </c>
      <c r="S58" s="8">
        <f>Table1[[#This Row],[Discount_%]]/100</f>
        <v>9.4600000000000004E-2</v>
      </c>
      <c r="T58" s="6" t="s">
        <v>733</v>
      </c>
      <c r="U58" t="s">
        <v>982</v>
      </c>
      <c r="V58">
        <v>2024</v>
      </c>
      <c r="W58" t="s">
        <v>994</v>
      </c>
      <c r="X58" t="s">
        <v>997</v>
      </c>
      <c r="Y58" t="s">
        <v>1001</v>
      </c>
      <c r="Z58">
        <v>5</v>
      </c>
      <c r="AA58">
        <v>27</v>
      </c>
      <c r="AB58" s="4">
        <f>Table1[[#This Row],[Total_Price]]*(1-Table1[[#This Row],[Discount 2]])</f>
        <v>18102810.247200001</v>
      </c>
      <c r="AC58" s="4" t="str" cm="1">
        <f t="array" ref="AC58">_xlfn.IFS(Table1[[#This Row],[Revenue]]&gt;=30000000,"High Value",Table1[[#This Row],[Revenue]]&gt;=10000000,"Moderate Value",TRUE,"Low Value")</f>
        <v>Moderate Value</v>
      </c>
      <c r="AD58" t="str">
        <f>IF(Table1[[#This Row],[Discount 2]]&gt;=5%, "YES", "NO")</f>
        <v>YES</v>
      </c>
      <c r="AE58" t="str" cm="1">
        <f t="array" ref="AE58">_xlfn.IFS(Table1[[#This Row],[Revenue]]&gt;=30000000,"High Spender",Table1[[#This Row],[Revenue]]&gt;=10000000,"Moderate Spender",TRUE,"Low Spender")</f>
        <v>Moderate Spender</v>
      </c>
      <c r="AF58" s="4" t="str" cm="1">
        <f t="array" ref="AF58">_xlfn.IFS(Table1[[#This Row],[Land_Size_SQM]]&gt;=730,"LARGE",Table1[[#This Row],[Land_Size_SQM]]&gt;=465,"MEDIUM",TRUE,"SMALL")</f>
        <v>LARGE</v>
      </c>
    </row>
    <row r="59" spans="1:32" x14ac:dyDescent="0.3">
      <c r="A59" t="s">
        <v>83</v>
      </c>
      <c r="B59" t="s">
        <v>557</v>
      </c>
      <c r="C59" t="s">
        <v>627</v>
      </c>
      <c r="D59">
        <v>64</v>
      </c>
      <c r="E59" t="s">
        <v>630</v>
      </c>
      <c r="F59">
        <v>624</v>
      </c>
      <c r="G59" s="4">
        <v>44920</v>
      </c>
      <c r="H59" s="4">
        <v>28030080</v>
      </c>
      <c r="I59" t="s">
        <v>655</v>
      </c>
      <c r="J59" t="s">
        <v>672</v>
      </c>
      <c r="K59" t="s">
        <v>638</v>
      </c>
      <c r="L59" t="s">
        <v>680</v>
      </c>
      <c r="M59" t="s">
        <v>684</v>
      </c>
      <c r="N59" t="s">
        <v>691</v>
      </c>
      <c r="O59" t="s">
        <v>693</v>
      </c>
      <c r="P59" s="4">
        <v>28030080</v>
      </c>
      <c r="Q59">
        <v>0</v>
      </c>
      <c r="R59" s="7">
        <v>8.34</v>
      </c>
      <c r="S59" s="8">
        <f>Table1[[#This Row],[Discount_%]]/100</f>
        <v>8.3400000000000002E-2</v>
      </c>
      <c r="T59" s="6" t="s">
        <v>746</v>
      </c>
      <c r="U59" t="s">
        <v>983</v>
      </c>
      <c r="V59">
        <v>2024</v>
      </c>
      <c r="W59" t="s">
        <v>996</v>
      </c>
      <c r="X59" t="s">
        <v>998</v>
      </c>
      <c r="Y59" t="s">
        <v>1000</v>
      </c>
      <c r="Z59">
        <v>3</v>
      </c>
      <c r="AA59">
        <v>35</v>
      </c>
      <c r="AB59" s="4">
        <f>Table1[[#This Row],[Total_Price]]*(1-Table1[[#This Row],[Discount 2]])</f>
        <v>25692371.327999998</v>
      </c>
      <c r="AC59" s="4" t="str" cm="1">
        <f t="array" ref="AC59">_xlfn.IFS(Table1[[#This Row],[Revenue]]&gt;=30000000,"High Value",Table1[[#This Row],[Revenue]]&gt;=10000000,"Moderate Value",TRUE,"Low Value")</f>
        <v>Moderate Value</v>
      </c>
      <c r="AD59" t="str">
        <f>IF(Table1[[#This Row],[Discount 2]]&gt;=5%, "YES", "NO")</f>
        <v>YES</v>
      </c>
      <c r="AE59" t="str" cm="1">
        <f t="array" ref="AE59">_xlfn.IFS(Table1[[#This Row],[Revenue]]&gt;=30000000,"High Spender",Table1[[#This Row],[Revenue]]&gt;=10000000,"Moderate Spender",TRUE,"Low Spender")</f>
        <v>Moderate Spender</v>
      </c>
      <c r="AF59" s="4" t="str" cm="1">
        <f t="array" ref="AF59">_xlfn.IFS(Table1[[#This Row],[Land_Size_SQM]]&gt;=730,"LARGE",Table1[[#This Row],[Land_Size_SQM]]&gt;=465,"MEDIUM",TRUE,"SMALL")</f>
        <v>MEDIUM</v>
      </c>
    </row>
    <row r="60" spans="1:32" x14ac:dyDescent="0.3">
      <c r="A60" t="s">
        <v>84</v>
      </c>
      <c r="B60" t="s">
        <v>565</v>
      </c>
      <c r="C60" t="s">
        <v>627</v>
      </c>
      <c r="D60">
        <v>23</v>
      </c>
      <c r="E60" t="s">
        <v>630</v>
      </c>
      <c r="F60">
        <v>607</v>
      </c>
      <c r="G60" s="4">
        <v>20080</v>
      </c>
      <c r="H60" s="4">
        <v>12188560</v>
      </c>
      <c r="I60" t="s">
        <v>635</v>
      </c>
      <c r="J60" t="s">
        <v>668</v>
      </c>
      <c r="K60" t="s">
        <v>664</v>
      </c>
      <c r="L60" t="s">
        <v>680</v>
      </c>
      <c r="M60" t="s">
        <v>683</v>
      </c>
      <c r="N60" t="s">
        <v>692</v>
      </c>
      <c r="O60" t="s">
        <v>693</v>
      </c>
      <c r="P60" s="4">
        <v>12188560</v>
      </c>
      <c r="Q60">
        <v>0</v>
      </c>
      <c r="R60" s="7">
        <v>9.68</v>
      </c>
      <c r="S60" s="8">
        <f>Table1[[#This Row],[Discount_%]]/100</f>
        <v>9.6799999999999997E-2</v>
      </c>
      <c r="T60" s="6" t="s">
        <v>747</v>
      </c>
      <c r="U60" t="s">
        <v>989</v>
      </c>
      <c r="V60">
        <v>2024</v>
      </c>
      <c r="W60" t="s">
        <v>996</v>
      </c>
      <c r="X60" t="s">
        <v>999</v>
      </c>
      <c r="Y60" t="s">
        <v>1001</v>
      </c>
      <c r="Z60">
        <v>2</v>
      </c>
      <c r="AA60">
        <v>38</v>
      </c>
      <c r="AB60" s="4">
        <f>Table1[[#This Row],[Total_Price]]*(1-Table1[[#This Row],[Discount 2]])</f>
        <v>11008707.392000001</v>
      </c>
      <c r="AC60" s="4" t="str" cm="1">
        <f t="array" ref="AC60">_xlfn.IFS(Table1[[#This Row],[Revenue]]&gt;=30000000,"High Value",Table1[[#This Row],[Revenue]]&gt;=10000000,"Moderate Value",TRUE,"Low Value")</f>
        <v>Moderate Value</v>
      </c>
      <c r="AD60" t="str">
        <f>IF(Table1[[#This Row],[Discount 2]]&gt;=5%, "YES", "NO")</f>
        <v>YES</v>
      </c>
      <c r="AE60" t="str" cm="1">
        <f t="array" ref="AE60">_xlfn.IFS(Table1[[#This Row],[Revenue]]&gt;=30000000,"High Spender",Table1[[#This Row],[Revenue]]&gt;=10000000,"Moderate Spender",TRUE,"Low Spender")</f>
        <v>Moderate Spender</v>
      </c>
      <c r="AF60" s="4" t="str" cm="1">
        <f t="array" ref="AF60">_xlfn.IFS(Table1[[#This Row],[Land_Size_SQM]]&gt;=730,"LARGE",Table1[[#This Row],[Land_Size_SQM]]&gt;=465,"MEDIUM",TRUE,"SMALL")</f>
        <v>MEDIUM</v>
      </c>
    </row>
    <row r="61" spans="1:32" x14ac:dyDescent="0.3">
      <c r="A61" t="s">
        <v>85</v>
      </c>
      <c r="B61" t="s">
        <v>567</v>
      </c>
      <c r="C61" t="s">
        <v>626</v>
      </c>
      <c r="D61">
        <v>31</v>
      </c>
      <c r="E61" t="s">
        <v>628</v>
      </c>
      <c r="F61">
        <v>992</v>
      </c>
      <c r="G61" s="4">
        <v>11670</v>
      </c>
      <c r="H61" s="4">
        <v>11576640</v>
      </c>
      <c r="I61" t="s">
        <v>654</v>
      </c>
      <c r="J61" t="s">
        <v>669</v>
      </c>
      <c r="K61" t="s">
        <v>651</v>
      </c>
      <c r="L61" t="s">
        <v>682</v>
      </c>
      <c r="M61" t="s">
        <v>685</v>
      </c>
      <c r="N61" t="s">
        <v>688</v>
      </c>
      <c r="O61" t="s">
        <v>693</v>
      </c>
      <c r="P61" s="4">
        <v>11576640</v>
      </c>
      <c r="Q61">
        <v>0</v>
      </c>
      <c r="R61" s="7">
        <v>2.77</v>
      </c>
      <c r="S61" s="8">
        <f>Table1[[#This Row],[Discount_%]]/100</f>
        <v>2.7699999999999999E-2</v>
      </c>
      <c r="T61" s="6" t="s">
        <v>748</v>
      </c>
      <c r="U61" t="s">
        <v>987</v>
      </c>
      <c r="V61">
        <v>2024</v>
      </c>
      <c r="W61" t="s">
        <v>993</v>
      </c>
      <c r="X61" t="s">
        <v>998</v>
      </c>
      <c r="Y61" t="s">
        <v>1000</v>
      </c>
      <c r="Z61">
        <v>5</v>
      </c>
      <c r="AA61">
        <v>21</v>
      </c>
      <c r="AB61" s="4">
        <f>Table1[[#This Row],[Total_Price]]*(1-Table1[[#This Row],[Discount 2]])</f>
        <v>11255967.072000001</v>
      </c>
      <c r="AC61" s="4" t="str" cm="1">
        <f t="array" ref="AC61">_xlfn.IFS(Table1[[#This Row],[Revenue]]&gt;=30000000,"High Value",Table1[[#This Row],[Revenue]]&gt;=10000000,"Moderate Value",TRUE,"Low Value")</f>
        <v>Moderate Value</v>
      </c>
      <c r="AD61" t="str">
        <f>IF(Table1[[#This Row],[Discount 2]]&gt;=5%, "YES", "NO")</f>
        <v>NO</v>
      </c>
      <c r="AE61" t="str" cm="1">
        <f t="array" ref="AE61">_xlfn.IFS(Table1[[#This Row],[Revenue]]&gt;=30000000,"High Spender",Table1[[#This Row],[Revenue]]&gt;=10000000,"Moderate Spender",TRUE,"Low Spender")</f>
        <v>Moderate Spender</v>
      </c>
      <c r="AF61" s="4" t="str" cm="1">
        <f t="array" ref="AF61">_xlfn.IFS(Table1[[#This Row],[Land_Size_SQM]]&gt;=730,"LARGE",Table1[[#This Row],[Land_Size_SQM]]&gt;=465,"MEDIUM",TRUE,"SMALL")</f>
        <v>LARGE</v>
      </c>
    </row>
    <row r="62" spans="1:32" x14ac:dyDescent="0.3">
      <c r="A62" t="s">
        <v>86</v>
      </c>
      <c r="B62" t="s">
        <v>568</v>
      </c>
      <c r="C62" t="s">
        <v>627</v>
      </c>
      <c r="D62">
        <v>48</v>
      </c>
      <c r="E62" t="s">
        <v>629</v>
      </c>
      <c r="F62">
        <v>253</v>
      </c>
      <c r="G62" s="4">
        <v>10307</v>
      </c>
      <c r="H62" s="4">
        <v>2607671</v>
      </c>
      <c r="I62" t="s">
        <v>641</v>
      </c>
      <c r="J62" t="s">
        <v>673</v>
      </c>
      <c r="K62" t="s">
        <v>677</v>
      </c>
      <c r="L62" t="s">
        <v>680</v>
      </c>
      <c r="M62" t="s">
        <v>686</v>
      </c>
      <c r="N62" t="s">
        <v>689</v>
      </c>
      <c r="O62" t="s">
        <v>694</v>
      </c>
      <c r="P62" s="4">
        <v>1104869</v>
      </c>
      <c r="Q62">
        <v>3</v>
      </c>
      <c r="R62" s="7">
        <v>4.76</v>
      </c>
      <c r="S62" s="8">
        <f>Table1[[#This Row],[Discount_%]]/100</f>
        <v>4.7599999999999996E-2</v>
      </c>
      <c r="T62" s="6" t="s">
        <v>749</v>
      </c>
      <c r="U62" t="s">
        <v>991</v>
      </c>
      <c r="V62">
        <v>2024</v>
      </c>
      <c r="W62" t="s">
        <v>994</v>
      </c>
      <c r="X62" t="s">
        <v>998</v>
      </c>
      <c r="Y62" t="s">
        <v>1001</v>
      </c>
      <c r="Z62">
        <v>1</v>
      </c>
      <c r="AA62">
        <v>4</v>
      </c>
      <c r="AB62" s="4">
        <f>Table1[[#This Row],[Total_Price]]*(1-Table1[[#This Row],[Discount 2]])</f>
        <v>2483545.8604000001</v>
      </c>
      <c r="AC62" s="4" t="str" cm="1">
        <f t="array" ref="AC62">_xlfn.IFS(Table1[[#This Row],[Revenue]]&gt;=30000000,"High Value",Table1[[#This Row],[Revenue]]&gt;=10000000,"Moderate Value",TRUE,"Low Value")</f>
        <v>Low Value</v>
      </c>
      <c r="AD62" t="str">
        <f>IF(Table1[[#This Row],[Discount 2]]&gt;=5%, "YES", "NO")</f>
        <v>NO</v>
      </c>
      <c r="AE62" t="str" cm="1">
        <f t="array" ref="AE62">_xlfn.IFS(Table1[[#This Row],[Revenue]]&gt;=30000000,"High Spender",Table1[[#This Row],[Revenue]]&gt;=10000000,"Moderate Spender",TRUE,"Low Spender")</f>
        <v>Low Spender</v>
      </c>
      <c r="AF62" s="4" t="str" cm="1">
        <f t="array" ref="AF62">_xlfn.IFS(Table1[[#This Row],[Land_Size_SQM]]&gt;=730,"LARGE",Table1[[#This Row],[Land_Size_SQM]]&gt;=465,"MEDIUM",TRUE,"SMALL")</f>
        <v>SMALL</v>
      </c>
    </row>
    <row r="63" spans="1:32" x14ac:dyDescent="0.3">
      <c r="A63" t="s">
        <v>87</v>
      </c>
      <c r="B63" t="s">
        <v>569</v>
      </c>
      <c r="C63" t="s">
        <v>626</v>
      </c>
      <c r="D63">
        <v>58</v>
      </c>
      <c r="E63" t="s">
        <v>628</v>
      </c>
      <c r="F63">
        <v>636</v>
      </c>
      <c r="G63" s="4">
        <v>46964</v>
      </c>
      <c r="H63" s="4">
        <v>29869104</v>
      </c>
      <c r="I63" t="s">
        <v>658</v>
      </c>
      <c r="J63" t="s">
        <v>670</v>
      </c>
      <c r="K63" t="s">
        <v>640</v>
      </c>
      <c r="L63" t="s">
        <v>680</v>
      </c>
      <c r="M63" t="s">
        <v>683</v>
      </c>
      <c r="N63" t="s">
        <v>690</v>
      </c>
      <c r="O63" t="s">
        <v>693</v>
      </c>
      <c r="P63" s="4">
        <v>29869104</v>
      </c>
      <c r="Q63">
        <v>0</v>
      </c>
      <c r="R63" s="7">
        <v>4.9000000000000004</v>
      </c>
      <c r="S63" s="8">
        <f>Table1[[#This Row],[Discount_%]]/100</f>
        <v>4.9000000000000002E-2</v>
      </c>
      <c r="T63" s="6" t="s">
        <v>750</v>
      </c>
      <c r="U63" t="s">
        <v>989</v>
      </c>
      <c r="V63">
        <v>2024</v>
      </c>
      <c r="W63" t="s">
        <v>994</v>
      </c>
      <c r="X63" t="s">
        <v>998</v>
      </c>
      <c r="Y63" t="s">
        <v>1001</v>
      </c>
      <c r="Z63">
        <v>5</v>
      </c>
      <c r="AA63">
        <v>19</v>
      </c>
      <c r="AB63" s="4">
        <f>Table1[[#This Row],[Total_Price]]*(1-Table1[[#This Row],[Discount 2]])</f>
        <v>28405517.903999999</v>
      </c>
      <c r="AC63" s="4" t="str" cm="1">
        <f t="array" ref="AC63">_xlfn.IFS(Table1[[#This Row],[Revenue]]&gt;=30000000,"High Value",Table1[[#This Row],[Revenue]]&gt;=10000000,"Moderate Value",TRUE,"Low Value")</f>
        <v>Moderate Value</v>
      </c>
      <c r="AD63" t="str">
        <f>IF(Table1[[#This Row],[Discount 2]]&gt;=5%, "YES", "NO")</f>
        <v>NO</v>
      </c>
      <c r="AE63" t="str" cm="1">
        <f t="array" ref="AE63">_xlfn.IFS(Table1[[#This Row],[Revenue]]&gt;=30000000,"High Spender",Table1[[#This Row],[Revenue]]&gt;=10000000,"Moderate Spender",TRUE,"Low Spender")</f>
        <v>Moderate Spender</v>
      </c>
      <c r="AF63" s="4" t="str" cm="1">
        <f t="array" ref="AF63">_xlfn.IFS(Table1[[#This Row],[Land_Size_SQM]]&gt;=730,"LARGE",Table1[[#This Row],[Land_Size_SQM]]&gt;=465,"MEDIUM",TRUE,"SMALL")</f>
        <v>MEDIUM</v>
      </c>
    </row>
    <row r="64" spans="1:32" x14ac:dyDescent="0.3">
      <c r="A64" t="s">
        <v>88</v>
      </c>
      <c r="B64" t="s">
        <v>570</v>
      </c>
      <c r="C64" t="s">
        <v>626</v>
      </c>
      <c r="D64">
        <v>48</v>
      </c>
      <c r="E64" t="s">
        <v>628</v>
      </c>
      <c r="F64">
        <v>640</v>
      </c>
      <c r="G64" s="4">
        <v>8499</v>
      </c>
      <c r="H64" s="4">
        <v>5439360</v>
      </c>
      <c r="I64" t="s">
        <v>647</v>
      </c>
      <c r="J64" t="s">
        <v>670</v>
      </c>
      <c r="K64" t="s">
        <v>674</v>
      </c>
      <c r="L64" t="s">
        <v>681</v>
      </c>
      <c r="M64" t="s">
        <v>687</v>
      </c>
      <c r="N64" t="s">
        <v>691</v>
      </c>
      <c r="O64" t="s">
        <v>693</v>
      </c>
      <c r="P64" s="4">
        <v>5439360</v>
      </c>
      <c r="Q64">
        <v>0</v>
      </c>
      <c r="R64" s="7">
        <v>8.5299999999999994</v>
      </c>
      <c r="S64" s="8">
        <f>Table1[[#This Row],[Discount_%]]/100</f>
        <v>8.5299999999999987E-2</v>
      </c>
      <c r="T64" s="6" t="s">
        <v>751</v>
      </c>
      <c r="U64" t="s">
        <v>983</v>
      </c>
      <c r="V64">
        <v>2024</v>
      </c>
      <c r="W64" t="s">
        <v>995</v>
      </c>
      <c r="X64" t="s">
        <v>998</v>
      </c>
      <c r="Y64" t="s">
        <v>1001</v>
      </c>
      <c r="Z64">
        <v>1</v>
      </c>
      <c r="AA64">
        <v>21</v>
      </c>
      <c r="AB64" s="4">
        <f>Table1[[#This Row],[Total_Price]]*(1-Table1[[#This Row],[Discount 2]])</f>
        <v>4975382.5920000002</v>
      </c>
      <c r="AC64" s="4" t="str" cm="1">
        <f t="array" ref="AC64">_xlfn.IFS(Table1[[#This Row],[Revenue]]&gt;=30000000,"High Value",Table1[[#This Row],[Revenue]]&gt;=10000000,"Moderate Value",TRUE,"Low Value")</f>
        <v>Low Value</v>
      </c>
      <c r="AD64" t="str">
        <f>IF(Table1[[#This Row],[Discount 2]]&gt;=5%, "YES", "NO")</f>
        <v>YES</v>
      </c>
      <c r="AE64" t="str" cm="1">
        <f t="array" ref="AE64">_xlfn.IFS(Table1[[#This Row],[Revenue]]&gt;=30000000,"High Spender",Table1[[#This Row],[Revenue]]&gt;=10000000,"Moderate Spender",TRUE,"Low Spender")</f>
        <v>Low Spender</v>
      </c>
      <c r="AF64" s="4" t="str" cm="1">
        <f t="array" ref="AF64">_xlfn.IFS(Table1[[#This Row],[Land_Size_SQM]]&gt;=730,"LARGE",Table1[[#This Row],[Land_Size_SQM]]&gt;=465,"MEDIUM",TRUE,"SMALL")</f>
        <v>MEDIUM</v>
      </c>
    </row>
    <row r="65" spans="1:32" x14ac:dyDescent="0.3">
      <c r="A65" t="s">
        <v>89</v>
      </c>
      <c r="B65" t="s">
        <v>571</v>
      </c>
      <c r="C65" t="s">
        <v>627</v>
      </c>
      <c r="D65">
        <v>55</v>
      </c>
      <c r="E65" t="s">
        <v>628</v>
      </c>
      <c r="F65">
        <v>583</v>
      </c>
      <c r="G65" s="4">
        <v>12003</v>
      </c>
      <c r="H65" s="4">
        <v>6997749</v>
      </c>
      <c r="I65" t="s">
        <v>645</v>
      </c>
      <c r="J65" t="s">
        <v>670</v>
      </c>
      <c r="K65" t="s">
        <v>677</v>
      </c>
      <c r="L65" t="s">
        <v>682</v>
      </c>
      <c r="M65" t="s">
        <v>686</v>
      </c>
      <c r="N65" t="s">
        <v>692</v>
      </c>
      <c r="O65" t="s">
        <v>694</v>
      </c>
      <c r="P65" s="4">
        <v>1591060</v>
      </c>
      <c r="Q65">
        <v>3</v>
      </c>
      <c r="R65" s="7">
        <v>0.85</v>
      </c>
      <c r="S65" s="8">
        <f>Table1[[#This Row],[Discount_%]]/100</f>
        <v>8.5000000000000006E-3</v>
      </c>
      <c r="T65" s="6" t="s">
        <v>752</v>
      </c>
      <c r="U65" t="s">
        <v>989</v>
      </c>
      <c r="V65">
        <v>2024</v>
      </c>
      <c r="W65" t="s">
        <v>994</v>
      </c>
      <c r="X65" t="s">
        <v>997</v>
      </c>
      <c r="Y65" t="s">
        <v>1000</v>
      </c>
      <c r="Z65">
        <v>4</v>
      </c>
      <c r="AA65">
        <v>23</v>
      </c>
      <c r="AB65" s="4">
        <f>Table1[[#This Row],[Total_Price]]*(1-Table1[[#This Row],[Discount 2]])</f>
        <v>6938268.1335000005</v>
      </c>
      <c r="AC65" s="4" t="str" cm="1">
        <f t="array" ref="AC65">_xlfn.IFS(Table1[[#This Row],[Revenue]]&gt;=30000000,"High Value",Table1[[#This Row],[Revenue]]&gt;=10000000,"Moderate Value",TRUE,"Low Value")</f>
        <v>Low Value</v>
      </c>
      <c r="AD65" t="str">
        <f>IF(Table1[[#This Row],[Discount 2]]&gt;=5%, "YES", "NO")</f>
        <v>NO</v>
      </c>
      <c r="AE65" t="str" cm="1">
        <f t="array" ref="AE65">_xlfn.IFS(Table1[[#This Row],[Revenue]]&gt;=30000000,"High Spender",Table1[[#This Row],[Revenue]]&gt;=10000000,"Moderate Spender",TRUE,"Low Spender")</f>
        <v>Low Spender</v>
      </c>
      <c r="AF65" s="4" t="str" cm="1">
        <f t="array" ref="AF65">_xlfn.IFS(Table1[[#This Row],[Land_Size_SQM]]&gt;=730,"LARGE",Table1[[#This Row],[Land_Size_SQM]]&gt;=465,"MEDIUM",TRUE,"SMALL")</f>
        <v>MEDIUM</v>
      </c>
    </row>
    <row r="66" spans="1:32" x14ac:dyDescent="0.3">
      <c r="A66" t="s">
        <v>90</v>
      </c>
      <c r="B66" t="s">
        <v>572</v>
      </c>
      <c r="C66" t="s">
        <v>627</v>
      </c>
      <c r="D66">
        <v>42</v>
      </c>
      <c r="E66" t="s">
        <v>629</v>
      </c>
      <c r="F66">
        <v>494</v>
      </c>
      <c r="G66" s="4">
        <v>41348</v>
      </c>
      <c r="H66" s="4">
        <v>20425912</v>
      </c>
      <c r="I66" t="s">
        <v>633</v>
      </c>
      <c r="J66" t="s">
        <v>668</v>
      </c>
      <c r="K66" t="s">
        <v>664</v>
      </c>
      <c r="L66" t="s">
        <v>681</v>
      </c>
      <c r="M66" t="s">
        <v>685</v>
      </c>
      <c r="N66" t="s">
        <v>690</v>
      </c>
      <c r="O66" t="s">
        <v>694</v>
      </c>
      <c r="P66" s="4">
        <v>4720023</v>
      </c>
      <c r="Q66">
        <v>12</v>
      </c>
      <c r="R66" s="7">
        <v>5.07</v>
      </c>
      <c r="S66" s="8">
        <f>Table1[[#This Row],[Discount_%]]/100</f>
        <v>5.0700000000000002E-2</v>
      </c>
      <c r="T66" s="6" t="s">
        <v>753</v>
      </c>
      <c r="U66" t="s">
        <v>987</v>
      </c>
      <c r="V66">
        <v>2024</v>
      </c>
      <c r="W66" t="s">
        <v>996</v>
      </c>
      <c r="X66" t="s">
        <v>998</v>
      </c>
      <c r="Y66" t="s">
        <v>1001</v>
      </c>
      <c r="Z66">
        <v>5</v>
      </c>
      <c r="AA66">
        <v>40</v>
      </c>
      <c r="AB66" s="4">
        <f>Table1[[#This Row],[Total_Price]]*(1-Table1[[#This Row],[Discount 2]])</f>
        <v>19390318.261599999</v>
      </c>
      <c r="AC66" s="4" t="str" cm="1">
        <f t="array" ref="AC66">_xlfn.IFS(Table1[[#This Row],[Revenue]]&gt;=30000000,"High Value",Table1[[#This Row],[Revenue]]&gt;=10000000,"Moderate Value",TRUE,"Low Value")</f>
        <v>Moderate Value</v>
      </c>
      <c r="AD66" t="str">
        <f>IF(Table1[[#This Row],[Discount 2]]&gt;=5%, "YES", "NO")</f>
        <v>YES</v>
      </c>
      <c r="AE66" t="str" cm="1">
        <f t="array" ref="AE66">_xlfn.IFS(Table1[[#This Row],[Revenue]]&gt;=30000000,"High Spender",Table1[[#This Row],[Revenue]]&gt;=10000000,"Moderate Spender",TRUE,"Low Spender")</f>
        <v>Moderate Spender</v>
      </c>
      <c r="AF66" s="4" t="str" cm="1">
        <f t="array" ref="AF66">_xlfn.IFS(Table1[[#This Row],[Land_Size_SQM]]&gt;=730,"LARGE",Table1[[#This Row],[Land_Size_SQM]]&gt;=465,"MEDIUM",TRUE,"SMALL")</f>
        <v>MEDIUM</v>
      </c>
    </row>
    <row r="67" spans="1:32" x14ac:dyDescent="0.3">
      <c r="A67" t="s">
        <v>91</v>
      </c>
      <c r="B67" t="s">
        <v>553</v>
      </c>
      <c r="C67" t="s">
        <v>627</v>
      </c>
      <c r="D67">
        <v>31</v>
      </c>
      <c r="E67" t="s">
        <v>628</v>
      </c>
      <c r="F67">
        <v>226</v>
      </c>
      <c r="G67" s="4">
        <v>41911</v>
      </c>
      <c r="H67" s="4">
        <v>9471886</v>
      </c>
      <c r="I67" t="s">
        <v>659</v>
      </c>
      <c r="J67" t="s">
        <v>668</v>
      </c>
      <c r="K67" t="s">
        <v>675</v>
      </c>
      <c r="L67" t="s">
        <v>682</v>
      </c>
      <c r="M67" t="s">
        <v>684</v>
      </c>
      <c r="N67" t="s">
        <v>689</v>
      </c>
      <c r="O67" t="s">
        <v>694</v>
      </c>
      <c r="P67" s="4">
        <v>2407041</v>
      </c>
      <c r="Q67">
        <v>3</v>
      </c>
      <c r="R67" s="7">
        <v>7.03</v>
      </c>
      <c r="S67" s="8">
        <f>Table1[[#This Row],[Discount_%]]/100</f>
        <v>7.0300000000000001E-2</v>
      </c>
      <c r="T67" s="6" t="s">
        <v>754</v>
      </c>
      <c r="U67" t="s">
        <v>982</v>
      </c>
      <c r="V67">
        <v>2024</v>
      </c>
      <c r="W67" t="s">
        <v>996</v>
      </c>
      <c r="X67" t="s">
        <v>997</v>
      </c>
      <c r="Y67" t="s">
        <v>1001</v>
      </c>
      <c r="Z67">
        <v>1</v>
      </c>
      <c r="AA67">
        <v>6</v>
      </c>
      <c r="AB67" s="4">
        <f>Table1[[#This Row],[Total_Price]]*(1-Table1[[#This Row],[Discount 2]])</f>
        <v>8806012.4142000005</v>
      </c>
      <c r="AC67" s="4" t="str" cm="1">
        <f t="array" ref="AC67">_xlfn.IFS(Table1[[#This Row],[Revenue]]&gt;=30000000,"High Value",Table1[[#This Row],[Revenue]]&gt;=10000000,"Moderate Value",TRUE,"Low Value")</f>
        <v>Low Value</v>
      </c>
      <c r="AD67" t="str">
        <f>IF(Table1[[#This Row],[Discount 2]]&gt;=5%, "YES", "NO")</f>
        <v>YES</v>
      </c>
      <c r="AE67" t="str" cm="1">
        <f t="array" ref="AE67">_xlfn.IFS(Table1[[#This Row],[Revenue]]&gt;=30000000,"High Spender",Table1[[#This Row],[Revenue]]&gt;=10000000,"Moderate Spender",TRUE,"Low Spender")</f>
        <v>Low Spender</v>
      </c>
      <c r="AF67" s="4" t="str" cm="1">
        <f t="array" ref="AF67">_xlfn.IFS(Table1[[#This Row],[Land_Size_SQM]]&gt;=730,"LARGE",Table1[[#This Row],[Land_Size_SQM]]&gt;=465,"MEDIUM",TRUE,"SMALL")</f>
        <v>SMALL</v>
      </c>
    </row>
    <row r="68" spans="1:32" x14ac:dyDescent="0.3">
      <c r="A68" t="s">
        <v>92</v>
      </c>
      <c r="B68" t="s">
        <v>573</v>
      </c>
      <c r="C68" t="s">
        <v>627</v>
      </c>
      <c r="D68">
        <v>23</v>
      </c>
      <c r="E68" t="s">
        <v>628</v>
      </c>
      <c r="F68">
        <v>585</v>
      </c>
      <c r="G68" s="4">
        <v>29514</v>
      </c>
      <c r="H68" s="4">
        <v>17265690</v>
      </c>
      <c r="I68" t="s">
        <v>644</v>
      </c>
      <c r="J68" t="s">
        <v>668</v>
      </c>
      <c r="K68" t="s">
        <v>679</v>
      </c>
      <c r="L68" t="s">
        <v>680</v>
      </c>
      <c r="M68" t="s">
        <v>686</v>
      </c>
      <c r="N68" t="s">
        <v>689</v>
      </c>
      <c r="O68" t="s">
        <v>694</v>
      </c>
      <c r="P68" s="4">
        <v>4268472</v>
      </c>
      <c r="Q68">
        <v>12</v>
      </c>
      <c r="R68" s="7">
        <v>3.12</v>
      </c>
      <c r="S68" s="8">
        <f>Table1[[#This Row],[Discount_%]]/100</f>
        <v>3.1200000000000002E-2</v>
      </c>
      <c r="T68" s="6" t="s">
        <v>755</v>
      </c>
      <c r="U68" t="s">
        <v>982</v>
      </c>
      <c r="V68">
        <v>2024</v>
      </c>
      <c r="W68" t="s">
        <v>993</v>
      </c>
      <c r="X68" t="s">
        <v>998</v>
      </c>
      <c r="Y68" t="s">
        <v>1002</v>
      </c>
      <c r="Z68">
        <v>4</v>
      </c>
      <c r="AA68">
        <v>32</v>
      </c>
      <c r="AB68" s="4">
        <f>Table1[[#This Row],[Total_Price]]*(1-Table1[[#This Row],[Discount 2]])</f>
        <v>16727000.471999999</v>
      </c>
      <c r="AC68" s="4" t="str" cm="1">
        <f t="array" ref="AC68">_xlfn.IFS(Table1[[#This Row],[Revenue]]&gt;=30000000,"High Value",Table1[[#This Row],[Revenue]]&gt;=10000000,"Moderate Value",TRUE,"Low Value")</f>
        <v>Moderate Value</v>
      </c>
      <c r="AD68" t="str">
        <f>IF(Table1[[#This Row],[Discount 2]]&gt;=5%, "YES", "NO")</f>
        <v>NO</v>
      </c>
      <c r="AE68" t="str" cm="1">
        <f t="array" ref="AE68">_xlfn.IFS(Table1[[#This Row],[Revenue]]&gt;=30000000,"High Spender",Table1[[#This Row],[Revenue]]&gt;=10000000,"Moderate Spender",TRUE,"Low Spender")</f>
        <v>Moderate Spender</v>
      </c>
      <c r="AF68" s="4" t="str" cm="1">
        <f t="array" ref="AF68">_xlfn.IFS(Table1[[#This Row],[Land_Size_SQM]]&gt;=730,"LARGE",Table1[[#This Row],[Land_Size_SQM]]&gt;=465,"MEDIUM",TRUE,"SMALL")</f>
        <v>MEDIUM</v>
      </c>
    </row>
    <row r="69" spans="1:32" x14ac:dyDescent="0.3">
      <c r="A69" t="s">
        <v>93</v>
      </c>
      <c r="B69" t="s">
        <v>566</v>
      </c>
      <c r="C69" t="s">
        <v>626</v>
      </c>
      <c r="D69">
        <v>53</v>
      </c>
      <c r="E69" t="s">
        <v>629</v>
      </c>
      <c r="F69">
        <v>479</v>
      </c>
      <c r="G69" s="4">
        <v>16127</v>
      </c>
      <c r="H69" s="4">
        <v>7724833</v>
      </c>
      <c r="I69" t="s">
        <v>660</v>
      </c>
      <c r="J69" t="s">
        <v>672</v>
      </c>
      <c r="K69" t="s">
        <v>640</v>
      </c>
      <c r="L69" t="s">
        <v>681</v>
      </c>
      <c r="M69" t="s">
        <v>685</v>
      </c>
      <c r="N69" t="s">
        <v>688</v>
      </c>
      <c r="O69" t="s">
        <v>693</v>
      </c>
      <c r="P69" s="4">
        <v>7724833</v>
      </c>
      <c r="Q69">
        <v>0</v>
      </c>
      <c r="R69" s="7">
        <v>3.45</v>
      </c>
      <c r="S69" s="8">
        <f>Table1[[#This Row],[Discount_%]]/100</f>
        <v>3.4500000000000003E-2</v>
      </c>
      <c r="T69" s="6" t="s">
        <v>756</v>
      </c>
      <c r="U69" t="s">
        <v>981</v>
      </c>
      <c r="V69">
        <v>2024</v>
      </c>
      <c r="W69" t="s">
        <v>995</v>
      </c>
      <c r="X69" t="s">
        <v>997</v>
      </c>
      <c r="Y69" t="s">
        <v>1000</v>
      </c>
      <c r="Z69">
        <v>1</v>
      </c>
      <c r="AA69">
        <v>14</v>
      </c>
      <c r="AB69" s="4">
        <f>Table1[[#This Row],[Total_Price]]*(1-Table1[[#This Row],[Discount 2]])</f>
        <v>7458326.2615</v>
      </c>
      <c r="AC69" s="4" t="str" cm="1">
        <f t="array" ref="AC69">_xlfn.IFS(Table1[[#This Row],[Revenue]]&gt;=30000000,"High Value",Table1[[#This Row],[Revenue]]&gt;=10000000,"Moderate Value",TRUE,"Low Value")</f>
        <v>Low Value</v>
      </c>
      <c r="AD69" t="str">
        <f>IF(Table1[[#This Row],[Discount 2]]&gt;=5%, "YES", "NO")</f>
        <v>NO</v>
      </c>
      <c r="AE69" t="str" cm="1">
        <f t="array" ref="AE69">_xlfn.IFS(Table1[[#This Row],[Revenue]]&gt;=30000000,"High Spender",Table1[[#This Row],[Revenue]]&gt;=10000000,"Moderate Spender",TRUE,"Low Spender")</f>
        <v>Low Spender</v>
      </c>
      <c r="AF69" s="4" t="str" cm="1">
        <f t="array" ref="AF69">_xlfn.IFS(Table1[[#This Row],[Land_Size_SQM]]&gt;=730,"LARGE",Table1[[#This Row],[Land_Size_SQM]]&gt;=465,"MEDIUM",TRUE,"SMALL")</f>
        <v>MEDIUM</v>
      </c>
    </row>
    <row r="70" spans="1:32" x14ac:dyDescent="0.3">
      <c r="A70" t="s">
        <v>94</v>
      </c>
      <c r="B70" t="s">
        <v>534</v>
      </c>
      <c r="C70" t="s">
        <v>626</v>
      </c>
      <c r="D70">
        <v>54</v>
      </c>
      <c r="E70" t="s">
        <v>629</v>
      </c>
      <c r="F70">
        <v>982</v>
      </c>
      <c r="G70" s="4">
        <v>18745</v>
      </c>
      <c r="H70" s="4">
        <v>18407590</v>
      </c>
      <c r="I70" t="s">
        <v>648</v>
      </c>
      <c r="J70" t="s">
        <v>671</v>
      </c>
      <c r="K70" t="s">
        <v>638</v>
      </c>
      <c r="L70" t="s">
        <v>680</v>
      </c>
      <c r="M70" t="s">
        <v>686</v>
      </c>
      <c r="N70" t="s">
        <v>692</v>
      </c>
      <c r="O70" t="s">
        <v>694</v>
      </c>
      <c r="P70" s="4">
        <v>4344105</v>
      </c>
      <c r="Q70">
        <v>12</v>
      </c>
      <c r="R70" s="7">
        <v>4.97</v>
      </c>
      <c r="S70" s="8">
        <f>Table1[[#This Row],[Discount_%]]/100</f>
        <v>4.9699999999999994E-2</v>
      </c>
      <c r="T70" s="6" t="s">
        <v>757</v>
      </c>
      <c r="U70" t="s">
        <v>989</v>
      </c>
      <c r="V70">
        <v>2024</v>
      </c>
      <c r="W70" t="s">
        <v>994</v>
      </c>
      <c r="X70" t="s">
        <v>999</v>
      </c>
      <c r="Y70" t="s">
        <v>1002</v>
      </c>
      <c r="Z70">
        <v>1</v>
      </c>
      <c r="AA70">
        <v>28</v>
      </c>
      <c r="AB70" s="4">
        <f>Table1[[#This Row],[Total_Price]]*(1-Table1[[#This Row],[Discount 2]])</f>
        <v>17492732.776999999</v>
      </c>
      <c r="AC70" s="4" t="str" cm="1">
        <f t="array" ref="AC70">_xlfn.IFS(Table1[[#This Row],[Revenue]]&gt;=30000000,"High Value",Table1[[#This Row],[Revenue]]&gt;=10000000,"Moderate Value",TRUE,"Low Value")</f>
        <v>Moderate Value</v>
      </c>
      <c r="AD70" t="str">
        <f>IF(Table1[[#This Row],[Discount 2]]&gt;=5%, "YES", "NO")</f>
        <v>NO</v>
      </c>
      <c r="AE70" t="str" cm="1">
        <f t="array" ref="AE70">_xlfn.IFS(Table1[[#This Row],[Revenue]]&gt;=30000000,"High Spender",Table1[[#This Row],[Revenue]]&gt;=10000000,"Moderate Spender",TRUE,"Low Spender")</f>
        <v>Moderate Spender</v>
      </c>
      <c r="AF70" s="4" t="str" cm="1">
        <f t="array" ref="AF70">_xlfn.IFS(Table1[[#This Row],[Land_Size_SQM]]&gt;=730,"LARGE",Table1[[#This Row],[Land_Size_SQM]]&gt;=465,"MEDIUM",TRUE,"SMALL")</f>
        <v>LARGE</v>
      </c>
    </row>
    <row r="71" spans="1:32" x14ac:dyDescent="0.3">
      <c r="A71" t="s">
        <v>95</v>
      </c>
      <c r="B71" t="s">
        <v>538</v>
      </c>
      <c r="C71" t="s">
        <v>626</v>
      </c>
      <c r="D71">
        <v>30</v>
      </c>
      <c r="E71" t="s">
        <v>629</v>
      </c>
      <c r="F71">
        <v>520</v>
      </c>
      <c r="G71" s="4">
        <v>39732</v>
      </c>
      <c r="H71" s="4">
        <v>20660640</v>
      </c>
      <c r="I71" t="s">
        <v>661</v>
      </c>
      <c r="J71" t="s">
        <v>673</v>
      </c>
      <c r="K71" t="s">
        <v>676</v>
      </c>
      <c r="L71" t="s">
        <v>681</v>
      </c>
      <c r="M71" t="s">
        <v>687</v>
      </c>
      <c r="N71" t="s">
        <v>689</v>
      </c>
      <c r="O71" t="s">
        <v>694</v>
      </c>
      <c r="P71" s="4">
        <v>8529739</v>
      </c>
      <c r="Q71">
        <v>24</v>
      </c>
      <c r="R71" s="7">
        <v>4.18</v>
      </c>
      <c r="S71" s="8">
        <f>Table1[[#This Row],[Discount_%]]/100</f>
        <v>4.1799999999999997E-2</v>
      </c>
      <c r="T71" s="6" t="s">
        <v>758</v>
      </c>
      <c r="U71" t="s">
        <v>981</v>
      </c>
      <c r="V71">
        <v>2024</v>
      </c>
      <c r="W71" t="s">
        <v>995</v>
      </c>
      <c r="X71" t="s">
        <v>999</v>
      </c>
      <c r="Y71" t="s">
        <v>1000</v>
      </c>
      <c r="Z71">
        <v>4</v>
      </c>
      <c r="AA71">
        <v>38</v>
      </c>
      <c r="AB71" s="4">
        <f>Table1[[#This Row],[Total_Price]]*(1-Table1[[#This Row],[Discount 2]])</f>
        <v>19797025.248</v>
      </c>
      <c r="AC71" s="4" t="str" cm="1">
        <f t="array" ref="AC71">_xlfn.IFS(Table1[[#This Row],[Revenue]]&gt;=30000000,"High Value",Table1[[#This Row],[Revenue]]&gt;=10000000,"Moderate Value",TRUE,"Low Value")</f>
        <v>Moderate Value</v>
      </c>
      <c r="AD71" t="str">
        <f>IF(Table1[[#This Row],[Discount 2]]&gt;=5%, "YES", "NO")</f>
        <v>NO</v>
      </c>
      <c r="AE71" t="str" cm="1">
        <f t="array" ref="AE71">_xlfn.IFS(Table1[[#This Row],[Revenue]]&gt;=30000000,"High Spender",Table1[[#This Row],[Revenue]]&gt;=10000000,"Moderate Spender",TRUE,"Low Spender")</f>
        <v>Moderate Spender</v>
      </c>
      <c r="AF71" s="4" t="str" cm="1">
        <f t="array" ref="AF71">_xlfn.IFS(Table1[[#This Row],[Land_Size_SQM]]&gt;=730,"LARGE",Table1[[#This Row],[Land_Size_SQM]]&gt;=465,"MEDIUM",TRUE,"SMALL")</f>
        <v>MEDIUM</v>
      </c>
    </row>
    <row r="72" spans="1:32" x14ac:dyDescent="0.3">
      <c r="A72" t="s">
        <v>96</v>
      </c>
      <c r="B72" t="s">
        <v>540</v>
      </c>
      <c r="C72" t="s">
        <v>627</v>
      </c>
      <c r="D72">
        <v>42</v>
      </c>
      <c r="E72" t="s">
        <v>630</v>
      </c>
      <c r="F72">
        <v>605</v>
      </c>
      <c r="G72" s="4">
        <v>22334</v>
      </c>
      <c r="H72" s="4">
        <v>13512070</v>
      </c>
      <c r="I72" t="s">
        <v>647</v>
      </c>
      <c r="J72" t="s">
        <v>670</v>
      </c>
      <c r="K72" t="s">
        <v>676</v>
      </c>
      <c r="L72" t="s">
        <v>682</v>
      </c>
      <c r="M72" t="s">
        <v>683</v>
      </c>
      <c r="N72" t="s">
        <v>688</v>
      </c>
      <c r="O72" t="s">
        <v>694</v>
      </c>
      <c r="P72" s="4">
        <v>4052548</v>
      </c>
      <c r="Q72">
        <v>6</v>
      </c>
      <c r="R72" s="7">
        <v>1.68</v>
      </c>
      <c r="S72" s="8">
        <f>Table1[[#This Row],[Discount_%]]/100</f>
        <v>1.6799999999999999E-2</v>
      </c>
      <c r="T72" s="6" t="s">
        <v>759</v>
      </c>
      <c r="U72" t="s">
        <v>986</v>
      </c>
      <c r="V72">
        <v>2024</v>
      </c>
      <c r="W72" t="s">
        <v>993</v>
      </c>
      <c r="X72" t="s">
        <v>999</v>
      </c>
      <c r="Y72" t="s">
        <v>1002</v>
      </c>
      <c r="Z72">
        <v>2</v>
      </c>
      <c r="AA72">
        <v>12</v>
      </c>
      <c r="AB72" s="4">
        <f>Table1[[#This Row],[Total_Price]]*(1-Table1[[#This Row],[Discount 2]])</f>
        <v>13285067.223999999</v>
      </c>
      <c r="AC72" s="4" t="str" cm="1">
        <f t="array" ref="AC72">_xlfn.IFS(Table1[[#This Row],[Revenue]]&gt;=30000000,"High Value",Table1[[#This Row],[Revenue]]&gt;=10000000,"Moderate Value",TRUE,"Low Value")</f>
        <v>Moderate Value</v>
      </c>
      <c r="AD72" t="str">
        <f>IF(Table1[[#This Row],[Discount 2]]&gt;=5%, "YES", "NO")</f>
        <v>NO</v>
      </c>
      <c r="AE72" t="str" cm="1">
        <f t="array" ref="AE72">_xlfn.IFS(Table1[[#This Row],[Revenue]]&gt;=30000000,"High Spender",Table1[[#This Row],[Revenue]]&gt;=10000000,"Moderate Spender",TRUE,"Low Spender")</f>
        <v>Moderate Spender</v>
      </c>
      <c r="AF72" s="4" t="str" cm="1">
        <f t="array" ref="AF72">_xlfn.IFS(Table1[[#This Row],[Land_Size_SQM]]&gt;=730,"LARGE",Table1[[#This Row],[Land_Size_SQM]]&gt;=465,"MEDIUM",TRUE,"SMALL")</f>
        <v>MEDIUM</v>
      </c>
    </row>
    <row r="73" spans="1:32" x14ac:dyDescent="0.3">
      <c r="A73" t="s">
        <v>97</v>
      </c>
      <c r="B73" t="s">
        <v>573</v>
      </c>
      <c r="C73" t="s">
        <v>626</v>
      </c>
      <c r="D73">
        <v>60</v>
      </c>
      <c r="E73" t="s">
        <v>630</v>
      </c>
      <c r="F73">
        <v>381</v>
      </c>
      <c r="G73" s="4">
        <v>43153</v>
      </c>
      <c r="H73" s="4">
        <v>16441293</v>
      </c>
      <c r="I73" t="s">
        <v>640</v>
      </c>
      <c r="J73" t="s">
        <v>672</v>
      </c>
      <c r="K73" t="s">
        <v>676</v>
      </c>
      <c r="L73" t="s">
        <v>680</v>
      </c>
      <c r="M73" t="s">
        <v>684</v>
      </c>
      <c r="N73" t="s">
        <v>689</v>
      </c>
      <c r="O73" t="s">
        <v>694</v>
      </c>
      <c r="P73" s="4">
        <v>7009478</v>
      </c>
      <c r="Q73">
        <v>24</v>
      </c>
      <c r="R73" s="7">
        <v>7.6</v>
      </c>
      <c r="S73" s="8">
        <f>Table1[[#This Row],[Discount_%]]/100</f>
        <v>7.5999999999999998E-2</v>
      </c>
      <c r="T73" s="6" t="s">
        <v>706</v>
      </c>
      <c r="U73" t="s">
        <v>989</v>
      </c>
      <c r="V73">
        <v>2024</v>
      </c>
      <c r="W73" t="s">
        <v>995</v>
      </c>
      <c r="X73" t="s">
        <v>998</v>
      </c>
      <c r="Y73" t="s">
        <v>1001</v>
      </c>
      <c r="Z73">
        <v>3</v>
      </c>
      <c r="AA73">
        <v>18</v>
      </c>
      <c r="AB73" s="4">
        <f>Table1[[#This Row],[Total_Price]]*(1-Table1[[#This Row],[Discount 2]])</f>
        <v>15191754.732000001</v>
      </c>
      <c r="AC73" s="4" t="str" cm="1">
        <f t="array" ref="AC73">_xlfn.IFS(Table1[[#This Row],[Revenue]]&gt;=30000000,"High Value",Table1[[#This Row],[Revenue]]&gt;=10000000,"Moderate Value",TRUE,"Low Value")</f>
        <v>Moderate Value</v>
      </c>
      <c r="AD73" t="str">
        <f>IF(Table1[[#This Row],[Discount 2]]&gt;=5%, "YES", "NO")</f>
        <v>YES</v>
      </c>
      <c r="AE73" t="str" cm="1">
        <f t="array" ref="AE73">_xlfn.IFS(Table1[[#This Row],[Revenue]]&gt;=30000000,"High Spender",Table1[[#This Row],[Revenue]]&gt;=10000000,"Moderate Spender",TRUE,"Low Spender")</f>
        <v>Moderate Spender</v>
      </c>
      <c r="AF73" s="4" t="str" cm="1">
        <f t="array" ref="AF73">_xlfn.IFS(Table1[[#This Row],[Land_Size_SQM]]&gt;=730,"LARGE",Table1[[#This Row],[Land_Size_SQM]]&gt;=465,"MEDIUM",TRUE,"SMALL")</f>
        <v>SMALL</v>
      </c>
    </row>
    <row r="74" spans="1:32" x14ac:dyDescent="0.3">
      <c r="A74" t="s">
        <v>98</v>
      </c>
      <c r="B74" t="s">
        <v>569</v>
      </c>
      <c r="C74" t="s">
        <v>626</v>
      </c>
      <c r="D74">
        <v>49</v>
      </c>
      <c r="E74" t="s">
        <v>629</v>
      </c>
      <c r="F74">
        <v>719</v>
      </c>
      <c r="G74" s="4">
        <v>6862</v>
      </c>
      <c r="H74" s="4">
        <v>4933778</v>
      </c>
      <c r="I74" t="s">
        <v>638</v>
      </c>
      <c r="J74" t="s">
        <v>672</v>
      </c>
      <c r="K74" t="s">
        <v>651</v>
      </c>
      <c r="L74" t="s">
        <v>682</v>
      </c>
      <c r="M74" t="s">
        <v>685</v>
      </c>
      <c r="N74" t="s">
        <v>691</v>
      </c>
      <c r="O74" t="s">
        <v>694</v>
      </c>
      <c r="P74" s="4">
        <v>1655648</v>
      </c>
      <c r="Q74">
        <v>24</v>
      </c>
      <c r="R74" s="7">
        <v>0.56999999999999995</v>
      </c>
      <c r="S74" s="8">
        <f>Table1[[#This Row],[Discount_%]]/100</f>
        <v>5.6999999999999993E-3</v>
      </c>
      <c r="T74" s="6" t="s">
        <v>720</v>
      </c>
      <c r="U74" t="s">
        <v>992</v>
      </c>
      <c r="V74">
        <v>2024</v>
      </c>
      <c r="W74" t="s">
        <v>996</v>
      </c>
      <c r="X74" t="s">
        <v>998</v>
      </c>
      <c r="Y74" t="s">
        <v>1001</v>
      </c>
      <c r="Z74">
        <v>4</v>
      </c>
      <c r="AA74">
        <v>33</v>
      </c>
      <c r="AB74" s="4">
        <f>Table1[[#This Row],[Total_Price]]*(1-Table1[[#This Row],[Discount 2]])</f>
        <v>4905655.4654000001</v>
      </c>
      <c r="AC74" s="4" t="str" cm="1">
        <f t="array" ref="AC74">_xlfn.IFS(Table1[[#This Row],[Revenue]]&gt;=30000000,"High Value",Table1[[#This Row],[Revenue]]&gt;=10000000,"Moderate Value",TRUE,"Low Value")</f>
        <v>Low Value</v>
      </c>
      <c r="AD74" t="str">
        <f>IF(Table1[[#This Row],[Discount 2]]&gt;=5%, "YES", "NO")</f>
        <v>NO</v>
      </c>
      <c r="AE74" t="str" cm="1">
        <f t="array" ref="AE74">_xlfn.IFS(Table1[[#This Row],[Revenue]]&gt;=30000000,"High Spender",Table1[[#This Row],[Revenue]]&gt;=10000000,"Moderate Spender",TRUE,"Low Spender")</f>
        <v>Low Spender</v>
      </c>
      <c r="AF74" s="4" t="str" cm="1">
        <f t="array" ref="AF74">_xlfn.IFS(Table1[[#This Row],[Land_Size_SQM]]&gt;=730,"LARGE",Table1[[#This Row],[Land_Size_SQM]]&gt;=465,"MEDIUM",TRUE,"SMALL")</f>
        <v>MEDIUM</v>
      </c>
    </row>
    <row r="75" spans="1:32" x14ac:dyDescent="0.3">
      <c r="A75" t="s">
        <v>99</v>
      </c>
      <c r="B75" t="s">
        <v>574</v>
      </c>
      <c r="C75" t="s">
        <v>626</v>
      </c>
      <c r="D75">
        <v>48</v>
      </c>
      <c r="E75" t="s">
        <v>629</v>
      </c>
      <c r="F75">
        <v>305</v>
      </c>
      <c r="G75" s="4">
        <v>24507</v>
      </c>
      <c r="H75" s="4">
        <v>7474635</v>
      </c>
      <c r="I75" t="s">
        <v>649</v>
      </c>
      <c r="J75" t="s">
        <v>669</v>
      </c>
      <c r="K75" t="s">
        <v>678</v>
      </c>
      <c r="L75" t="s">
        <v>682</v>
      </c>
      <c r="M75" t="s">
        <v>686</v>
      </c>
      <c r="N75" t="s">
        <v>688</v>
      </c>
      <c r="O75" t="s">
        <v>693</v>
      </c>
      <c r="P75" s="4">
        <v>7474635</v>
      </c>
      <c r="Q75">
        <v>0</v>
      </c>
      <c r="R75" s="7">
        <v>5.05</v>
      </c>
      <c r="S75" s="8">
        <f>Table1[[#This Row],[Discount_%]]/100</f>
        <v>5.0499999999999996E-2</v>
      </c>
      <c r="T75" s="6" t="s">
        <v>760</v>
      </c>
      <c r="U75" t="s">
        <v>987</v>
      </c>
      <c r="V75">
        <v>2024</v>
      </c>
      <c r="W75" t="s">
        <v>994</v>
      </c>
      <c r="X75" t="s">
        <v>998</v>
      </c>
      <c r="Y75" t="s">
        <v>1002</v>
      </c>
      <c r="Z75">
        <v>4</v>
      </c>
      <c r="AA75">
        <v>27</v>
      </c>
      <c r="AB75" s="4">
        <f>Table1[[#This Row],[Total_Price]]*(1-Table1[[#This Row],[Discount 2]])</f>
        <v>7097165.9325000001</v>
      </c>
      <c r="AC75" s="4" t="str" cm="1">
        <f t="array" ref="AC75">_xlfn.IFS(Table1[[#This Row],[Revenue]]&gt;=30000000,"High Value",Table1[[#This Row],[Revenue]]&gt;=10000000,"Moderate Value",TRUE,"Low Value")</f>
        <v>Low Value</v>
      </c>
      <c r="AD75" t="str">
        <f>IF(Table1[[#This Row],[Discount 2]]&gt;=5%, "YES", "NO")</f>
        <v>YES</v>
      </c>
      <c r="AE75" t="str" cm="1">
        <f t="array" ref="AE75">_xlfn.IFS(Table1[[#This Row],[Revenue]]&gt;=30000000,"High Spender",Table1[[#This Row],[Revenue]]&gt;=10000000,"Moderate Spender",TRUE,"Low Spender")</f>
        <v>Low Spender</v>
      </c>
      <c r="AF75" s="4" t="str" cm="1">
        <f t="array" ref="AF75">_xlfn.IFS(Table1[[#This Row],[Land_Size_SQM]]&gt;=730,"LARGE",Table1[[#This Row],[Land_Size_SQM]]&gt;=465,"MEDIUM",TRUE,"SMALL")</f>
        <v>SMALL</v>
      </c>
    </row>
    <row r="76" spans="1:32" x14ac:dyDescent="0.3">
      <c r="A76" t="s">
        <v>100</v>
      </c>
      <c r="B76" t="s">
        <v>575</v>
      </c>
      <c r="C76" t="s">
        <v>627</v>
      </c>
      <c r="D76">
        <v>41</v>
      </c>
      <c r="E76" t="s">
        <v>628</v>
      </c>
      <c r="F76">
        <v>253</v>
      </c>
      <c r="G76" s="4">
        <v>43345</v>
      </c>
      <c r="H76" s="4">
        <v>10966285</v>
      </c>
      <c r="I76" t="s">
        <v>636</v>
      </c>
      <c r="J76" t="s">
        <v>671</v>
      </c>
      <c r="K76" t="s">
        <v>674</v>
      </c>
      <c r="L76" t="s">
        <v>682</v>
      </c>
      <c r="M76" t="s">
        <v>683</v>
      </c>
      <c r="N76" t="s">
        <v>690</v>
      </c>
      <c r="O76" t="s">
        <v>694</v>
      </c>
      <c r="P76" s="4">
        <v>3277902</v>
      </c>
      <c r="Q76">
        <v>3</v>
      </c>
      <c r="R76" s="7">
        <v>5.58</v>
      </c>
      <c r="S76" s="8">
        <f>Table1[[#This Row],[Discount_%]]/100</f>
        <v>5.5800000000000002E-2</v>
      </c>
      <c r="T76" s="6" t="s">
        <v>761</v>
      </c>
      <c r="U76" t="s">
        <v>991</v>
      </c>
      <c r="V76">
        <v>2024</v>
      </c>
      <c r="W76" t="s">
        <v>994</v>
      </c>
      <c r="X76" t="s">
        <v>997</v>
      </c>
      <c r="Y76" t="s">
        <v>1001</v>
      </c>
      <c r="Z76">
        <v>4</v>
      </c>
      <c r="AA76">
        <v>9</v>
      </c>
      <c r="AB76" s="4">
        <f>Table1[[#This Row],[Total_Price]]*(1-Table1[[#This Row],[Discount 2]])</f>
        <v>10354366.297</v>
      </c>
      <c r="AC76" s="4" t="str" cm="1">
        <f t="array" ref="AC76">_xlfn.IFS(Table1[[#This Row],[Revenue]]&gt;=30000000,"High Value",Table1[[#This Row],[Revenue]]&gt;=10000000,"Moderate Value",TRUE,"Low Value")</f>
        <v>Moderate Value</v>
      </c>
      <c r="AD76" t="str">
        <f>IF(Table1[[#This Row],[Discount 2]]&gt;=5%, "YES", "NO")</f>
        <v>YES</v>
      </c>
      <c r="AE76" t="str" cm="1">
        <f t="array" ref="AE76">_xlfn.IFS(Table1[[#This Row],[Revenue]]&gt;=30000000,"High Spender",Table1[[#This Row],[Revenue]]&gt;=10000000,"Moderate Spender",TRUE,"Low Spender")</f>
        <v>Moderate Spender</v>
      </c>
      <c r="AF76" s="4" t="str" cm="1">
        <f t="array" ref="AF76">_xlfn.IFS(Table1[[#This Row],[Land_Size_SQM]]&gt;=730,"LARGE",Table1[[#This Row],[Land_Size_SQM]]&gt;=465,"MEDIUM",TRUE,"SMALL")</f>
        <v>SMALL</v>
      </c>
    </row>
    <row r="77" spans="1:32" x14ac:dyDescent="0.3">
      <c r="A77" t="s">
        <v>101</v>
      </c>
      <c r="B77" t="s">
        <v>526</v>
      </c>
      <c r="C77" t="s">
        <v>626</v>
      </c>
      <c r="D77">
        <v>52</v>
      </c>
      <c r="E77" t="s">
        <v>630</v>
      </c>
      <c r="F77">
        <v>517</v>
      </c>
      <c r="G77" s="4">
        <v>38629</v>
      </c>
      <c r="H77" s="4">
        <v>19971193</v>
      </c>
      <c r="I77" t="s">
        <v>655</v>
      </c>
      <c r="J77" t="s">
        <v>672</v>
      </c>
      <c r="K77" t="s">
        <v>676</v>
      </c>
      <c r="L77" t="s">
        <v>680</v>
      </c>
      <c r="M77" t="s">
        <v>687</v>
      </c>
      <c r="N77" t="s">
        <v>690</v>
      </c>
      <c r="O77" t="s">
        <v>694</v>
      </c>
      <c r="P77" s="4">
        <v>8866320</v>
      </c>
      <c r="Q77">
        <v>12</v>
      </c>
      <c r="R77" s="7">
        <v>6.7</v>
      </c>
      <c r="S77" s="8">
        <f>Table1[[#This Row],[Discount_%]]/100</f>
        <v>6.7000000000000004E-2</v>
      </c>
      <c r="T77" s="6" t="s">
        <v>762</v>
      </c>
      <c r="U77" t="s">
        <v>984</v>
      </c>
      <c r="V77">
        <v>2024</v>
      </c>
      <c r="W77" t="s">
        <v>996</v>
      </c>
      <c r="X77" t="s">
        <v>999</v>
      </c>
      <c r="Y77" t="s">
        <v>1002</v>
      </c>
      <c r="Z77">
        <v>4</v>
      </c>
      <c r="AA77">
        <v>13</v>
      </c>
      <c r="AB77" s="4">
        <f>Table1[[#This Row],[Total_Price]]*(1-Table1[[#This Row],[Discount 2]])</f>
        <v>18633123.069000002</v>
      </c>
      <c r="AC77" s="4" t="str" cm="1">
        <f t="array" ref="AC77">_xlfn.IFS(Table1[[#This Row],[Revenue]]&gt;=30000000,"High Value",Table1[[#This Row],[Revenue]]&gt;=10000000,"Moderate Value",TRUE,"Low Value")</f>
        <v>Moderate Value</v>
      </c>
      <c r="AD77" t="str">
        <f>IF(Table1[[#This Row],[Discount 2]]&gt;=5%, "YES", "NO")</f>
        <v>YES</v>
      </c>
      <c r="AE77" t="str" cm="1">
        <f t="array" ref="AE77">_xlfn.IFS(Table1[[#This Row],[Revenue]]&gt;=30000000,"High Spender",Table1[[#This Row],[Revenue]]&gt;=10000000,"Moderate Spender",TRUE,"Low Spender")</f>
        <v>Moderate Spender</v>
      </c>
      <c r="AF77" s="4" t="str" cm="1">
        <f t="array" ref="AF77">_xlfn.IFS(Table1[[#This Row],[Land_Size_SQM]]&gt;=730,"LARGE",Table1[[#This Row],[Land_Size_SQM]]&gt;=465,"MEDIUM",TRUE,"SMALL")</f>
        <v>MEDIUM</v>
      </c>
    </row>
    <row r="78" spans="1:32" x14ac:dyDescent="0.3">
      <c r="A78" t="s">
        <v>102</v>
      </c>
      <c r="B78" t="s">
        <v>563</v>
      </c>
      <c r="C78" t="s">
        <v>626</v>
      </c>
      <c r="D78">
        <v>59</v>
      </c>
      <c r="E78" t="s">
        <v>628</v>
      </c>
      <c r="F78">
        <v>279</v>
      </c>
      <c r="G78" s="4">
        <v>21385</v>
      </c>
      <c r="H78" s="4">
        <v>5966415</v>
      </c>
      <c r="I78" t="s">
        <v>654</v>
      </c>
      <c r="J78" t="s">
        <v>669</v>
      </c>
      <c r="K78" t="s">
        <v>638</v>
      </c>
      <c r="L78" t="s">
        <v>682</v>
      </c>
      <c r="M78" t="s">
        <v>684</v>
      </c>
      <c r="N78" t="s">
        <v>688</v>
      </c>
      <c r="O78" t="s">
        <v>693</v>
      </c>
      <c r="P78" s="4">
        <v>5966415</v>
      </c>
      <c r="Q78">
        <v>0</v>
      </c>
      <c r="R78" s="7">
        <v>5.08</v>
      </c>
      <c r="S78" s="8">
        <f>Table1[[#This Row],[Discount_%]]/100</f>
        <v>5.0799999999999998E-2</v>
      </c>
      <c r="T78" s="6" t="s">
        <v>744</v>
      </c>
      <c r="U78" t="s">
        <v>985</v>
      </c>
      <c r="V78">
        <v>2024</v>
      </c>
      <c r="W78" t="s">
        <v>996</v>
      </c>
      <c r="X78" t="s">
        <v>999</v>
      </c>
      <c r="Y78" t="s">
        <v>1001</v>
      </c>
      <c r="Z78">
        <v>5</v>
      </c>
      <c r="AA78">
        <v>11</v>
      </c>
      <c r="AB78" s="4">
        <f>Table1[[#This Row],[Total_Price]]*(1-Table1[[#This Row],[Discount 2]])</f>
        <v>5663321.1180000007</v>
      </c>
      <c r="AC78" s="4" t="str" cm="1">
        <f t="array" ref="AC78">_xlfn.IFS(Table1[[#This Row],[Revenue]]&gt;=30000000,"High Value",Table1[[#This Row],[Revenue]]&gt;=10000000,"Moderate Value",TRUE,"Low Value")</f>
        <v>Low Value</v>
      </c>
      <c r="AD78" t="str">
        <f>IF(Table1[[#This Row],[Discount 2]]&gt;=5%, "YES", "NO")</f>
        <v>YES</v>
      </c>
      <c r="AE78" t="str" cm="1">
        <f t="array" ref="AE78">_xlfn.IFS(Table1[[#This Row],[Revenue]]&gt;=30000000,"High Spender",Table1[[#This Row],[Revenue]]&gt;=10000000,"Moderate Spender",TRUE,"Low Spender")</f>
        <v>Low Spender</v>
      </c>
      <c r="AF78" s="4" t="str" cm="1">
        <f t="array" ref="AF78">_xlfn.IFS(Table1[[#This Row],[Land_Size_SQM]]&gt;=730,"LARGE",Table1[[#This Row],[Land_Size_SQM]]&gt;=465,"MEDIUM",TRUE,"SMALL")</f>
        <v>SMALL</v>
      </c>
    </row>
    <row r="79" spans="1:32" x14ac:dyDescent="0.3">
      <c r="A79" t="s">
        <v>103</v>
      </c>
      <c r="B79" t="s">
        <v>551</v>
      </c>
      <c r="C79" t="s">
        <v>627</v>
      </c>
      <c r="D79">
        <v>54</v>
      </c>
      <c r="E79" t="s">
        <v>628</v>
      </c>
      <c r="F79">
        <v>620</v>
      </c>
      <c r="G79" s="4">
        <v>25874</v>
      </c>
      <c r="H79" s="4">
        <v>16041880</v>
      </c>
      <c r="I79" t="s">
        <v>633</v>
      </c>
      <c r="J79" t="s">
        <v>668</v>
      </c>
      <c r="K79" t="s">
        <v>664</v>
      </c>
      <c r="L79" t="s">
        <v>681</v>
      </c>
      <c r="M79" t="s">
        <v>684</v>
      </c>
      <c r="N79" t="s">
        <v>688</v>
      </c>
      <c r="O79" t="s">
        <v>693</v>
      </c>
      <c r="P79" s="4">
        <v>16041880</v>
      </c>
      <c r="Q79">
        <v>0</v>
      </c>
      <c r="R79" s="7">
        <v>9.6999999999999993</v>
      </c>
      <c r="S79" s="8">
        <f>Table1[[#This Row],[Discount_%]]/100</f>
        <v>9.6999999999999989E-2</v>
      </c>
      <c r="T79" s="6" t="s">
        <v>763</v>
      </c>
      <c r="U79" t="s">
        <v>983</v>
      </c>
      <c r="V79">
        <v>2024</v>
      </c>
      <c r="W79" t="s">
        <v>994</v>
      </c>
      <c r="X79" t="s">
        <v>997</v>
      </c>
      <c r="Y79" t="s">
        <v>1001</v>
      </c>
      <c r="Z79">
        <v>4</v>
      </c>
      <c r="AA79">
        <v>30</v>
      </c>
      <c r="AB79" s="4">
        <f>Table1[[#This Row],[Total_Price]]*(1-Table1[[#This Row],[Discount 2]])</f>
        <v>14485817.640000001</v>
      </c>
      <c r="AC79" s="4" t="str" cm="1">
        <f t="array" ref="AC79">_xlfn.IFS(Table1[[#This Row],[Revenue]]&gt;=30000000,"High Value",Table1[[#This Row],[Revenue]]&gt;=10000000,"Moderate Value",TRUE,"Low Value")</f>
        <v>Moderate Value</v>
      </c>
      <c r="AD79" t="str">
        <f>IF(Table1[[#This Row],[Discount 2]]&gt;=5%, "YES", "NO")</f>
        <v>YES</v>
      </c>
      <c r="AE79" t="str" cm="1">
        <f t="array" ref="AE79">_xlfn.IFS(Table1[[#This Row],[Revenue]]&gt;=30000000,"High Spender",Table1[[#This Row],[Revenue]]&gt;=10000000,"Moderate Spender",TRUE,"Low Spender")</f>
        <v>Moderate Spender</v>
      </c>
      <c r="AF79" s="4" t="str" cm="1">
        <f t="array" ref="AF79">_xlfn.IFS(Table1[[#This Row],[Land_Size_SQM]]&gt;=730,"LARGE",Table1[[#This Row],[Land_Size_SQM]]&gt;=465,"MEDIUM",TRUE,"SMALL")</f>
        <v>MEDIUM</v>
      </c>
    </row>
    <row r="80" spans="1:32" x14ac:dyDescent="0.3">
      <c r="A80" t="s">
        <v>104</v>
      </c>
      <c r="B80" t="s">
        <v>560</v>
      </c>
      <c r="C80" t="s">
        <v>627</v>
      </c>
      <c r="D80">
        <v>61</v>
      </c>
      <c r="E80" t="s">
        <v>630</v>
      </c>
      <c r="F80">
        <v>740</v>
      </c>
      <c r="G80" s="4">
        <v>29437</v>
      </c>
      <c r="H80" s="4">
        <v>21783380</v>
      </c>
      <c r="I80" t="s">
        <v>639</v>
      </c>
      <c r="J80" t="s">
        <v>671</v>
      </c>
      <c r="K80" t="s">
        <v>675</v>
      </c>
      <c r="L80" t="s">
        <v>681</v>
      </c>
      <c r="M80" t="s">
        <v>686</v>
      </c>
      <c r="N80" t="s">
        <v>689</v>
      </c>
      <c r="O80" t="s">
        <v>693</v>
      </c>
      <c r="P80" s="4">
        <v>21783380</v>
      </c>
      <c r="Q80">
        <v>0</v>
      </c>
      <c r="R80" s="7">
        <v>8.17</v>
      </c>
      <c r="S80" s="8">
        <f>Table1[[#This Row],[Discount_%]]/100</f>
        <v>8.1699999999999995E-2</v>
      </c>
      <c r="T80" s="6" t="s">
        <v>764</v>
      </c>
      <c r="U80" t="s">
        <v>983</v>
      </c>
      <c r="V80">
        <v>2024</v>
      </c>
      <c r="W80" t="s">
        <v>993</v>
      </c>
      <c r="X80" t="s">
        <v>998</v>
      </c>
      <c r="Y80" t="s">
        <v>1000</v>
      </c>
      <c r="Z80">
        <v>2</v>
      </c>
      <c r="AA80">
        <v>18</v>
      </c>
      <c r="AB80" s="4">
        <f>Table1[[#This Row],[Total_Price]]*(1-Table1[[#This Row],[Discount 2]])</f>
        <v>20003677.853999998</v>
      </c>
      <c r="AC80" s="4" t="str" cm="1">
        <f t="array" ref="AC80">_xlfn.IFS(Table1[[#This Row],[Revenue]]&gt;=30000000,"High Value",Table1[[#This Row],[Revenue]]&gt;=10000000,"Moderate Value",TRUE,"Low Value")</f>
        <v>Moderate Value</v>
      </c>
      <c r="AD80" t="str">
        <f>IF(Table1[[#This Row],[Discount 2]]&gt;=5%, "YES", "NO")</f>
        <v>YES</v>
      </c>
      <c r="AE80" t="str" cm="1">
        <f t="array" ref="AE80">_xlfn.IFS(Table1[[#This Row],[Revenue]]&gt;=30000000,"High Spender",Table1[[#This Row],[Revenue]]&gt;=10000000,"Moderate Spender",TRUE,"Low Spender")</f>
        <v>Moderate Spender</v>
      </c>
      <c r="AF80" s="4" t="str" cm="1">
        <f t="array" ref="AF80">_xlfn.IFS(Table1[[#This Row],[Land_Size_SQM]]&gt;=730,"LARGE",Table1[[#This Row],[Land_Size_SQM]]&gt;=465,"MEDIUM",TRUE,"SMALL")</f>
        <v>LARGE</v>
      </c>
    </row>
    <row r="81" spans="1:32" x14ac:dyDescent="0.3">
      <c r="A81" t="s">
        <v>105</v>
      </c>
      <c r="B81" t="s">
        <v>576</v>
      </c>
      <c r="C81" t="s">
        <v>627</v>
      </c>
      <c r="D81">
        <v>45</v>
      </c>
      <c r="E81" t="s">
        <v>629</v>
      </c>
      <c r="F81">
        <v>647</v>
      </c>
      <c r="G81" s="4">
        <v>8010</v>
      </c>
      <c r="H81" s="4">
        <v>5182470</v>
      </c>
      <c r="I81" t="s">
        <v>647</v>
      </c>
      <c r="J81" t="s">
        <v>670</v>
      </c>
      <c r="K81" t="s">
        <v>638</v>
      </c>
      <c r="L81" t="s">
        <v>681</v>
      </c>
      <c r="M81" t="s">
        <v>683</v>
      </c>
      <c r="N81" t="s">
        <v>691</v>
      </c>
      <c r="O81" t="s">
        <v>693</v>
      </c>
      <c r="P81" s="4">
        <v>5182470</v>
      </c>
      <c r="Q81">
        <v>0</v>
      </c>
      <c r="R81" s="7">
        <v>8.17</v>
      </c>
      <c r="S81" s="8">
        <f>Table1[[#This Row],[Discount_%]]/100</f>
        <v>8.1699999999999995E-2</v>
      </c>
      <c r="T81" s="6" t="s">
        <v>765</v>
      </c>
      <c r="U81" t="s">
        <v>982</v>
      </c>
      <c r="V81">
        <v>2024</v>
      </c>
      <c r="W81" t="s">
        <v>993</v>
      </c>
      <c r="X81" t="s">
        <v>998</v>
      </c>
      <c r="Y81" t="s">
        <v>1000</v>
      </c>
      <c r="Z81">
        <v>1</v>
      </c>
      <c r="AA81">
        <v>21</v>
      </c>
      <c r="AB81" s="4">
        <f>Table1[[#This Row],[Total_Price]]*(1-Table1[[#This Row],[Discount 2]])</f>
        <v>4759062.2010000004</v>
      </c>
      <c r="AC81" s="4" t="str" cm="1">
        <f t="array" ref="AC81">_xlfn.IFS(Table1[[#This Row],[Revenue]]&gt;=30000000,"High Value",Table1[[#This Row],[Revenue]]&gt;=10000000,"Moderate Value",TRUE,"Low Value")</f>
        <v>Low Value</v>
      </c>
      <c r="AD81" t="str">
        <f>IF(Table1[[#This Row],[Discount 2]]&gt;=5%, "YES", "NO")</f>
        <v>YES</v>
      </c>
      <c r="AE81" t="str" cm="1">
        <f t="array" ref="AE81">_xlfn.IFS(Table1[[#This Row],[Revenue]]&gt;=30000000,"High Spender",Table1[[#This Row],[Revenue]]&gt;=10000000,"Moderate Spender",TRUE,"Low Spender")</f>
        <v>Low Spender</v>
      </c>
      <c r="AF81" s="4" t="str" cm="1">
        <f t="array" ref="AF81">_xlfn.IFS(Table1[[#This Row],[Land_Size_SQM]]&gt;=730,"LARGE",Table1[[#This Row],[Land_Size_SQM]]&gt;=465,"MEDIUM",TRUE,"SMALL")</f>
        <v>MEDIUM</v>
      </c>
    </row>
    <row r="82" spans="1:32" x14ac:dyDescent="0.3">
      <c r="A82" t="s">
        <v>106</v>
      </c>
      <c r="B82" t="s">
        <v>548</v>
      </c>
      <c r="C82" t="s">
        <v>626</v>
      </c>
      <c r="D82">
        <v>59</v>
      </c>
      <c r="E82" t="s">
        <v>628</v>
      </c>
      <c r="F82">
        <v>349</v>
      </c>
      <c r="G82" s="4">
        <v>11017</v>
      </c>
      <c r="H82" s="4">
        <v>3844933</v>
      </c>
      <c r="I82" t="s">
        <v>662</v>
      </c>
      <c r="J82" t="s">
        <v>673</v>
      </c>
      <c r="K82" t="s">
        <v>651</v>
      </c>
      <c r="L82" t="s">
        <v>680</v>
      </c>
      <c r="M82" t="s">
        <v>685</v>
      </c>
      <c r="N82" t="s">
        <v>690</v>
      </c>
      <c r="O82" t="s">
        <v>693</v>
      </c>
      <c r="P82" s="4">
        <v>3844933</v>
      </c>
      <c r="Q82">
        <v>0</v>
      </c>
      <c r="R82" s="7">
        <v>2.87</v>
      </c>
      <c r="S82" s="8">
        <f>Table1[[#This Row],[Discount_%]]/100</f>
        <v>2.87E-2</v>
      </c>
      <c r="T82" s="6" t="s">
        <v>766</v>
      </c>
      <c r="U82" t="s">
        <v>989</v>
      </c>
      <c r="V82">
        <v>2024</v>
      </c>
      <c r="W82" t="s">
        <v>996</v>
      </c>
      <c r="X82" t="s">
        <v>999</v>
      </c>
      <c r="Y82" t="s">
        <v>1001</v>
      </c>
      <c r="Z82">
        <v>5</v>
      </c>
      <c r="AA82">
        <v>34</v>
      </c>
      <c r="AB82" s="4">
        <f>Table1[[#This Row],[Total_Price]]*(1-Table1[[#This Row],[Discount 2]])</f>
        <v>3734583.4229000001</v>
      </c>
      <c r="AC82" s="4" t="str" cm="1">
        <f t="array" ref="AC82">_xlfn.IFS(Table1[[#This Row],[Revenue]]&gt;=30000000,"High Value",Table1[[#This Row],[Revenue]]&gt;=10000000,"Moderate Value",TRUE,"Low Value")</f>
        <v>Low Value</v>
      </c>
      <c r="AD82" t="str">
        <f>IF(Table1[[#This Row],[Discount 2]]&gt;=5%, "YES", "NO")</f>
        <v>NO</v>
      </c>
      <c r="AE82" t="str" cm="1">
        <f t="array" ref="AE82">_xlfn.IFS(Table1[[#This Row],[Revenue]]&gt;=30000000,"High Spender",Table1[[#This Row],[Revenue]]&gt;=10000000,"Moderate Spender",TRUE,"Low Spender")</f>
        <v>Low Spender</v>
      </c>
      <c r="AF82" s="4" t="str" cm="1">
        <f t="array" ref="AF82">_xlfn.IFS(Table1[[#This Row],[Land_Size_SQM]]&gt;=730,"LARGE",Table1[[#This Row],[Land_Size_SQM]]&gt;=465,"MEDIUM",TRUE,"SMALL")</f>
        <v>SMALL</v>
      </c>
    </row>
    <row r="83" spans="1:32" x14ac:dyDescent="0.3">
      <c r="A83" t="s">
        <v>107</v>
      </c>
      <c r="B83" t="s">
        <v>536</v>
      </c>
      <c r="C83" t="s">
        <v>627</v>
      </c>
      <c r="D83">
        <v>27</v>
      </c>
      <c r="E83" t="s">
        <v>630</v>
      </c>
      <c r="F83">
        <v>443</v>
      </c>
      <c r="G83" s="4">
        <v>21736</v>
      </c>
      <c r="H83" s="4">
        <v>9629048</v>
      </c>
      <c r="I83" t="s">
        <v>663</v>
      </c>
      <c r="J83" t="s">
        <v>670</v>
      </c>
      <c r="K83" t="s">
        <v>677</v>
      </c>
      <c r="L83" t="s">
        <v>682</v>
      </c>
      <c r="M83" t="s">
        <v>686</v>
      </c>
      <c r="N83" t="s">
        <v>689</v>
      </c>
      <c r="O83" t="s">
        <v>693</v>
      </c>
      <c r="P83" s="4">
        <v>9629048</v>
      </c>
      <c r="Q83">
        <v>0</v>
      </c>
      <c r="R83" s="7">
        <v>0.48</v>
      </c>
      <c r="S83" s="8">
        <f>Table1[[#This Row],[Discount_%]]/100</f>
        <v>4.7999999999999996E-3</v>
      </c>
      <c r="T83" s="6" t="s">
        <v>767</v>
      </c>
      <c r="U83" t="s">
        <v>989</v>
      </c>
      <c r="V83">
        <v>2024</v>
      </c>
      <c r="W83" t="s">
        <v>996</v>
      </c>
      <c r="X83" t="s">
        <v>997</v>
      </c>
      <c r="Y83" t="s">
        <v>1000</v>
      </c>
      <c r="Z83">
        <v>3</v>
      </c>
      <c r="AA83">
        <v>28</v>
      </c>
      <c r="AB83" s="4">
        <f>Table1[[#This Row],[Total_Price]]*(1-Table1[[#This Row],[Discount 2]])</f>
        <v>9582828.5695999991</v>
      </c>
      <c r="AC83" s="4" t="str" cm="1">
        <f t="array" ref="AC83">_xlfn.IFS(Table1[[#This Row],[Revenue]]&gt;=30000000,"High Value",Table1[[#This Row],[Revenue]]&gt;=10000000,"Moderate Value",TRUE,"Low Value")</f>
        <v>Low Value</v>
      </c>
      <c r="AD83" t="str">
        <f>IF(Table1[[#This Row],[Discount 2]]&gt;=5%, "YES", "NO")</f>
        <v>NO</v>
      </c>
      <c r="AE83" t="str" cm="1">
        <f t="array" ref="AE83">_xlfn.IFS(Table1[[#This Row],[Revenue]]&gt;=30000000,"High Spender",Table1[[#This Row],[Revenue]]&gt;=10000000,"Moderate Spender",TRUE,"Low Spender")</f>
        <v>Low Spender</v>
      </c>
      <c r="AF83" s="4" t="str" cm="1">
        <f t="array" ref="AF83">_xlfn.IFS(Table1[[#This Row],[Land_Size_SQM]]&gt;=730,"LARGE",Table1[[#This Row],[Land_Size_SQM]]&gt;=465,"MEDIUM",TRUE,"SMALL")</f>
        <v>SMALL</v>
      </c>
    </row>
    <row r="84" spans="1:32" x14ac:dyDescent="0.3">
      <c r="A84" t="s">
        <v>108</v>
      </c>
      <c r="B84" t="s">
        <v>540</v>
      </c>
      <c r="C84" t="s">
        <v>627</v>
      </c>
      <c r="D84">
        <v>44</v>
      </c>
      <c r="E84" t="s">
        <v>630</v>
      </c>
      <c r="F84">
        <v>446</v>
      </c>
      <c r="G84" s="4">
        <v>39399</v>
      </c>
      <c r="H84" s="4">
        <v>17571954</v>
      </c>
      <c r="I84" t="s">
        <v>642</v>
      </c>
      <c r="J84" t="s">
        <v>673</v>
      </c>
      <c r="K84" t="s">
        <v>651</v>
      </c>
      <c r="L84" t="s">
        <v>680</v>
      </c>
      <c r="M84" t="s">
        <v>684</v>
      </c>
      <c r="N84" t="s">
        <v>690</v>
      </c>
      <c r="O84" t="s">
        <v>694</v>
      </c>
      <c r="P84" s="4">
        <v>7016681</v>
      </c>
      <c r="Q84">
        <v>6</v>
      </c>
      <c r="R84" s="7">
        <v>0.86</v>
      </c>
      <c r="S84" s="8">
        <f>Table1[[#This Row],[Discount_%]]/100</f>
        <v>8.6E-3</v>
      </c>
      <c r="T84" s="6" t="s">
        <v>768</v>
      </c>
      <c r="U84" t="s">
        <v>991</v>
      </c>
      <c r="V84">
        <v>2024</v>
      </c>
      <c r="W84" t="s">
        <v>994</v>
      </c>
      <c r="X84" t="s">
        <v>997</v>
      </c>
      <c r="Y84" t="s">
        <v>1000</v>
      </c>
      <c r="Z84">
        <v>3</v>
      </c>
      <c r="AA84">
        <v>5</v>
      </c>
      <c r="AB84" s="4">
        <f>Table1[[#This Row],[Total_Price]]*(1-Table1[[#This Row],[Discount 2]])</f>
        <v>17420835.195599999</v>
      </c>
      <c r="AC84" s="4" t="str" cm="1">
        <f t="array" ref="AC84">_xlfn.IFS(Table1[[#This Row],[Revenue]]&gt;=30000000,"High Value",Table1[[#This Row],[Revenue]]&gt;=10000000,"Moderate Value",TRUE,"Low Value")</f>
        <v>Moderate Value</v>
      </c>
      <c r="AD84" t="str">
        <f>IF(Table1[[#This Row],[Discount 2]]&gt;=5%, "YES", "NO")</f>
        <v>NO</v>
      </c>
      <c r="AE84" t="str" cm="1">
        <f t="array" ref="AE84">_xlfn.IFS(Table1[[#This Row],[Revenue]]&gt;=30000000,"High Spender",Table1[[#This Row],[Revenue]]&gt;=10000000,"Moderate Spender",TRUE,"Low Spender")</f>
        <v>Moderate Spender</v>
      </c>
      <c r="AF84" s="4" t="str" cm="1">
        <f t="array" ref="AF84">_xlfn.IFS(Table1[[#This Row],[Land_Size_SQM]]&gt;=730,"LARGE",Table1[[#This Row],[Land_Size_SQM]]&gt;=465,"MEDIUM",TRUE,"SMALL")</f>
        <v>SMALL</v>
      </c>
    </row>
    <row r="85" spans="1:32" x14ac:dyDescent="0.3">
      <c r="A85" t="s">
        <v>109</v>
      </c>
      <c r="B85" t="s">
        <v>548</v>
      </c>
      <c r="C85" t="s">
        <v>626</v>
      </c>
      <c r="D85">
        <v>60</v>
      </c>
      <c r="E85" t="s">
        <v>628</v>
      </c>
      <c r="F85">
        <v>990</v>
      </c>
      <c r="G85" s="4">
        <v>40135</v>
      </c>
      <c r="H85" s="4">
        <v>39733650</v>
      </c>
      <c r="I85" t="s">
        <v>648</v>
      </c>
      <c r="J85" t="s">
        <v>671</v>
      </c>
      <c r="K85" t="s">
        <v>676</v>
      </c>
      <c r="L85" t="s">
        <v>680</v>
      </c>
      <c r="M85" t="s">
        <v>685</v>
      </c>
      <c r="N85" t="s">
        <v>691</v>
      </c>
      <c r="O85" t="s">
        <v>694</v>
      </c>
      <c r="P85" s="4">
        <v>8475216</v>
      </c>
      <c r="Q85">
        <v>6</v>
      </c>
      <c r="R85" s="7">
        <v>5.46</v>
      </c>
      <c r="S85" s="8">
        <f>Table1[[#This Row],[Discount_%]]/100</f>
        <v>5.4600000000000003E-2</v>
      </c>
      <c r="T85" s="6" t="s">
        <v>769</v>
      </c>
      <c r="U85" t="s">
        <v>983</v>
      </c>
      <c r="V85">
        <v>2024</v>
      </c>
      <c r="W85" t="s">
        <v>993</v>
      </c>
      <c r="X85" t="s">
        <v>998</v>
      </c>
      <c r="Y85" t="s">
        <v>1000</v>
      </c>
      <c r="Z85">
        <v>1</v>
      </c>
      <c r="AA85">
        <v>13</v>
      </c>
      <c r="AB85" s="4">
        <f>Table1[[#This Row],[Total_Price]]*(1-Table1[[#This Row],[Discount 2]])</f>
        <v>37564192.710000001</v>
      </c>
      <c r="AC85" s="4" t="str" cm="1">
        <f t="array" ref="AC85">_xlfn.IFS(Table1[[#This Row],[Revenue]]&gt;=30000000,"High Value",Table1[[#This Row],[Revenue]]&gt;=10000000,"Moderate Value",TRUE,"Low Value")</f>
        <v>High Value</v>
      </c>
      <c r="AD85" t="str">
        <f>IF(Table1[[#This Row],[Discount 2]]&gt;=5%, "YES", "NO")</f>
        <v>YES</v>
      </c>
      <c r="AE85" t="str" cm="1">
        <f t="array" ref="AE85">_xlfn.IFS(Table1[[#This Row],[Revenue]]&gt;=30000000,"High Spender",Table1[[#This Row],[Revenue]]&gt;=10000000,"Moderate Spender",TRUE,"Low Spender")</f>
        <v>High Spender</v>
      </c>
      <c r="AF85" s="4" t="str" cm="1">
        <f t="array" ref="AF85">_xlfn.IFS(Table1[[#This Row],[Land_Size_SQM]]&gt;=730,"LARGE",Table1[[#This Row],[Land_Size_SQM]]&gt;=465,"MEDIUM",TRUE,"SMALL")</f>
        <v>LARGE</v>
      </c>
    </row>
    <row r="86" spans="1:32" x14ac:dyDescent="0.3">
      <c r="A86" t="s">
        <v>110</v>
      </c>
      <c r="B86" t="s">
        <v>542</v>
      </c>
      <c r="C86" t="s">
        <v>626</v>
      </c>
      <c r="D86">
        <v>37</v>
      </c>
      <c r="E86" t="s">
        <v>628</v>
      </c>
      <c r="F86">
        <v>727</v>
      </c>
      <c r="G86" s="4">
        <v>28098</v>
      </c>
      <c r="H86" s="4">
        <v>20427246</v>
      </c>
      <c r="I86" t="s">
        <v>646</v>
      </c>
      <c r="J86" t="s">
        <v>673</v>
      </c>
      <c r="K86" t="s">
        <v>677</v>
      </c>
      <c r="L86" t="s">
        <v>681</v>
      </c>
      <c r="M86" t="s">
        <v>684</v>
      </c>
      <c r="N86" t="s">
        <v>691</v>
      </c>
      <c r="O86" t="s">
        <v>694</v>
      </c>
      <c r="P86" s="4">
        <v>4309868</v>
      </c>
      <c r="Q86">
        <v>12</v>
      </c>
      <c r="R86" s="7">
        <v>6.47</v>
      </c>
      <c r="S86" s="8">
        <f>Table1[[#This Row],[Discount_%]]/100</f>
        <v>6.4699999999999994E-2</v>
      </c>
      <c r="T86" s="6" t="s">
        <v>720</v>
      </c>
      <c r="U86" t="s">
        <v>992</v>
      </c>
      <c r="V86">
        <v>2024</v>
      </c>
      <c r="W86" t="s">
        <v>995</v>
      </c>
      <c r="X86" t="s">
        <v>998</v>
      </c>
      <c r="Y86" t="s">
        <v>1002</v>
      </c>
      <c r="Z86">
        <v>2</v>
      </c>
      <c r="AA86">
        <v>32</v>
      </c>
      <c r="AB86" s="4">
        <f>Table1[[#This Row],[Total_Price]]*(1-Table1[[#This Row],[Discount 2]])</f>
        <v>19105603.183800001</v>
      </c>
      <c r="AC86" s="4" t="str" cm="1">
        <f t="array" ref="AC86">_xlfn.IFS(Table1[[#This Row],[Revenue]]&gt;=30000000,"High Value",Table1[[#This Row],[Revenue]]&gt;=10000000,"Moderate Value",TRUE,"Low Value")</f>
        <v>Moderate Value</v>
      </c>
      <c r="AD86" t="str">
        <f>IF(Table1[[#This Row],[Discount 2]]&gt;=5%, "YES", "NO")</f>
        <v>YES</v>
      </c>
      <c r="AE86" t="str" cm="1">
        <f t="array" ref="AE86">_xlfn.IFS(Table1[[#This Row],[Revenue]]&gt;=30000000,"High Spender",Table1[[#This Row],[Revenue]]&gt;=10000000,"Moderate Spender",TRUE,"Low Spender")</f>
        <v>Moderate Spender</v>
      </c>
      <c r="AF86" s="4" t="str" cm="1">
        <f t="array" ref="AF86">_xlfn.IFS(Table1[[#This Row],[Land_Size_SQM]]&gt;=730,"LARGE",Table1[[#This Row],[Land_Size_SQM]]&gt;=465,"MEDIUM",TRUE,"SMALL")</f>
        <v>MEDIUM</v>
      </c>
    </row>
    <row r="87" spans="1:32" x14ac:dyDescent="0.3">
      <c r="A87" t="s">
        <v>111</v>
      </c>
      <c r="B87" t="s">
        <v>577</v>
      </c>
      <c r="C87" t="s">
        <v>627</v>
      </c>
      <c r="D87">
        <v>54</v>
      </c>
      <c r="E87" t="s">
        <v>630</v>
      </c>
      <c r="F87">
        <v>731</v>
      </c>
      <c r="G87" s="4">
        <v>19479</v>
      </c>
      <c r="H87" s="4">
        <v>14239149</v>
      </c>
      <c r="I87" t="s">
        <v>633</v>
      </c>
      <c r="J87" t="s">
        <v>668</v>
      </c>
      <c r="K87" t="s">
        <v>651</v>
      </c>
      <c r="L87" t="s">
        <v>681</v>
      </c>
      <c r="M87" t="s">
        <v>685</v>
      </c>
      <c r="N87" t="s">
        <v>689</v>
      </c>
      <c r="O87" t="s">
        <v>693</v>
      </c>
      <c r="P87" s="4">
        <v>14239149</v>
      </c>
      <c r="Q87">
        <v>0</v>
      </c>
      <c r="R87" s="7">
        <v>7.27</v>
      </c>
      <c r="S87" s="8">
        <f>Table1[[#This Row],[Discount_%]]/100</f>
        <v>7.2700000000000001E-2</v>
      </c>
      <c r="T87" s="6" t="s">
        <v>770</v>
      </c>
      <c r="U87" t="s">
        <v>981</v>
      </c>
      <c r="V87">
        <v>2024</v>
      </c>
      <c r="W87" t="s">
        <v>994</v>
      </c>
      <c r="X87" t="s">
        <v>997</v>
      </c>
      <c r="Y87" t="s">
        <v>1002</v>
      </c>
      <c r="Z87">
        <v>3</v>
      </c>
      <c r="AA87">
        <v>29</v>
      </c>
      <c r="AB87" s="4">
        <f>Table1[[#This Row],[Total_Price]]*(1-Table1[[#This Row],[Discount 2]])</f>
        <v>13203962.867699999</v>
      </c>
      <c r="AC87" s="4" t="str" cm="1">
        <f t="array" ref="AC87">_xlfn.IFS(Table1[[#This Row],[Revenue]]&gt;=30000000,"High Value",Table1[[#This Row],[Revenue]]&gt;=10000000,"Moderate Value",TRUE,"Low Value")</f>
        <v>Moderate Value</v>
      </c>
      <c r="AD87" t="str">
        <f>IF(Table1[[#This Row],[Discount 2]]&gt;=5%, "YES", "NO")</f>
        <v>YES</v>
      </c>
      <c r="AE87" t="str" cm="1">
        <f t="array" ref="AE87">_xlfn.IFS(Table1[[#This Row],[Revenue]]&gt;=30000000,"High Spender",Table1[[#This Row],[Revenue]]&gt;=10000000,"Moderate Spender",TRUE,"Low Spender")</f>
        <v>Moderate Spender</v>
      </c>
      <c r="AF87" s="4" t="str" cm="1">
        <f t="array" ref="AF87">_xlfn.IFS(Table1[[#This Row],[Land_Size_SQM]]&gt;=730,"LARGE",Table1[[#This Row],[Land_Size_SQM]]&gt;=465,"MEDIUM",TRUE,"SMALL")</f>
        <v>LARGE</v>
      </c>
    </row>
    <row r="88" spans="1:32" x14ac:dyDescent="0.3">
      <c r="A88" t="s">
        <v>112</v>
      </c>
      <c r="B88" t="s">
        <v>578</v>
      </c>
      <c r="C88" t="s">
        <v>626</v>
      </c>
      <c r="D88">
        <v>60</v>
      </c>
      <c r="E88" t="s">
        <v>628</v>
      </c>
      <c r="F88">
        <v>370</v>
      </c>
      <c r="G88" s="4">
        <v>47204</v>
      </c>
      <c r="H88" s="4">
        <v>17465480</v>
      </c>
      <c r="I88" t="s">
        <v>655</v>
      </c>
      <c r="J88" t="s">
        <v>672</v>
      </c>
      <c r="K88" t="s">
        <v>640</v>
      </c>
      <c r="L88" t="s">
        <v>680</v>
      </c>
      <c r="M88" t="s">
        <v>684</v>
      </c>
      <c r="N88" t="s">
        <v>690</v>
      </c>
      <c r="O88" t="s">
        <v>694</v>
      </c>
      <c r="P88" s="4">
        <v>5835896</v>
      </c>
      <c r="Q88">
        <v>12</v>
      </c>
      <c r="R88" s="7">
        <v>7.27</v>
      </c>
      <c r="S88" s="8">
        <f>Table1[[#This Row],[Discount_%]]/100</f>
        <v>7.2700000000000001E-2</v>
      </c>
      <c r="T88" s="6" t="s">
        <v>771</v>
      </c>
      <c r="U88" t="s">
        <v>982</v>
      </c>
      <c r="V88">
        <v>2024</v>
      </c>
      <c r="W88" t="s">
        <v>996</v>
      </c>
      <c r="X88" t="s">
        <v>999</v>
      </c>
      <c r="Y88" t="s">
        <v>1000</v>
      </c>
      <c r="Z88">
        <v>5</v>
      </c>
      <c r="AA88">
        <v>44</v>
      </c>
      <c r="AB88" s="4">
        <f>Table1[[#This Row],[Total_Price]]*(1-Table1[[#This Row],[Discount 2]])</f>
        <v>16195739.604</v>
      </c>
      <c r="AC88" s="4" t="str" cm="1">
        <f t="array" ref="AC88">_xlfn.IFS(Table1[[#This Row],[Revenue]]&gt;=30000000,"High Value",Table1[[#This Row],[Revenue]]&gt;=10000000,"Moderate Value",TRUE,"Low Value")</f>
        <v>Moderate Value</v>
      </c>
      <c r="AD88" t="str">
        <f>IF(Table1[[#This Row],[Discount 2]]&gt;=5%, "YES", "NO")</f>
        <v>YES</v>
      </c>
      <c r="AE88" t="str" cm="1">
        <f t="array" ref="AE88">_xlfn.IFS(Table1[[#This Row],[Revenue]]&gt;=30000000,"High Spender",Table1[[#This Row],[Revenue]]&gt;=10000000,"Moderate Spender",TRUE,"Low Spender")</f>
        <v>Moderate Spender</v>
      </c>
      <c r="AF88" s="4" t="str" cm="1">
        <f t="array" ref="AF88">_xlfn.IFS(Table1[[#This Row],[Land_Size_SQM]]&gt;=730,"LARGE",Table1[[#This Row],[Land_Size_SQM]]&gt;=465,"MEDIUM",TRUE,"SMALL")</f>
        <v>SMALL</v>
      </c>
    </row>
    <row r="89" spans="1:32" x14ac:dyDescent="0.3">
      <c r="A89" t="s">
        <v>113</v>
      </c>
      <c r="B89" t="s">
        <v>548</v>
      </c>
      <c r="C89" t="s">
        <v>626</v>
      </c>
      <c r="D89">
        <v>43</v>
      </c>
      <c r="E89" t="s">
        <v>630</v>
      </c>
      <c r="F89">
        <v>268</v>
      </c>
      <c r="G89" s="4">
        <v>17466</v>
      </c>
      <c r="H89" s="4">
        <v>4680888</v>
      </c>
      <c r="I89" t="s">
        <v>663</v>
      </c>
      <c r="J89" t="s">
        <v>670</v>
      </c>
      <c r="K89" t="s">
        <v>638</v>
      </c>
      <c r="L89" t="s">
        <v>680</v>
      </c>
      <c r="M89" t="s">
        <v>686</v>
      </c>
      <c r="N89" t="s">
        <v>688</v>
      </c>
      <c r="O89" t="s">
        <v>694</v>
      </c>
      <c r="P89" s="4">
        <v>1473807</v>
      </c>
      <c r="Q89">
        <v>12</v>
      </c>
      <c r="R89" s="7">
        <v>5.67</v>
      </c>
      <c r="S89" s="8">
        <f>Table1[[#This Row],[Discount_%]]/100</f>
        <v>5.67E-2</v>
      </c>
      <c r="T89" s="6" t="s">
        <v>764</v>
      </c>
      <c r="U89" t="s">
        <v>983</v>
      </c>
      <c r="V89">
        <v>2024</v>
      </c>
      <c r="W89" t="s">
        <v>994</v>
      </c>
      <c r="X89" t="s">
        <v>998</v>
      </c>
      <c r="Y89" t="s">
        <v>1002</v>
      </c>
      <c r="Z89">
        <v>3</v>
      </c>
      <c r="AA89">
        <v>16</v>
      </c>
      <c r="AB89" s="4">
        <f>Table1[[#This Row],[Total_Price]]*(1-Table1[[#This Row],[Discount 2]])</f>
        <v>4415481.6503999997</v>
      </c>
      <c r="AC89" s="4" t="str" cm="1">
        <f t="array" ref="AC89">_xlfn.IFS(Table1[[#This Row],[Revenue]]&gt;=30000000,"High Value",Table1[[#This Row],[Revenue]]&gt;=10000000,"Moderate Value",TRUE,"Low Value")</f>
        <v>Low Value</v>
      </c>
      <c r="AD89" t="str">
        <f>IF(Table1[[#This Row],[Discount 2]]&gt;=5%, "YES", "NO")</f>
        <v>YES</v>
      </c>
      <c r="AE89" t="str" cm="1">
        <f t="array" ref="AE89">_xlfn.IFS(Table1[[#This Row],[Revenue]]&gt;=30000000,"High Spender",Table1[[#This Row],[Revenue]]&gt;=10000000,"Moderate Spender",TRUE,"Low Spender")</f>
        <v>Low Spender</v>
      </c>
      <c r="AF89" s="4" t="str" cm="1">
        <f t="array" ref="AF89">_xlfn.IFS(Table1[[#This Row],[Land_Size_SQM]]&gt;=730,"LARGE",Table1[[#This Row],[Land_Size_SQM]]&gt;=465,"MEDIUM",TRUE,"SMALL")</f>
        <v>SMALL</v>
      </c>
    </row>
    <row r="90" spans="1:32" x14ac:dyDescent="0.3">
      <c r="A90" t="s">
        <v>114</v>
      </c>
      <c r="B90" t="s">
        <v>562</v>
      </c>
      <c r="C90" t="s">
        <v>626</v>
      </c>
      <c r="D90">
        <v>64</v>
      </c>
      <c r="E90" t="s">
        <v>630</v>
      </c>
      <c r="F90">
        <v>711</v>
      </c>
      <c r="G90" s="4">
        <v>35930</v>
      </c>
      <c r="H90" s="4">
        <v>25546230</v>
      </c>
      <c r="I90" t="s">
        <v>664</v>
      </c>
      <c r="J90" t="s">
        <v>673</v>
      </c>
      <c r="K90" t="s">
        <v>638</v>
      </c>
      <c r="L90" t="s">
        <v>680</v>
      </c>
      <c r="M90" t="s">
        <v>685</v>
      </c>
      <c r="N90" t="s">
        <v>688</v>
      </c>
      <c r="O90" t="s">
        <v>694</v>
      </c>
      <c r="P90" s="4">
        <v>7115468</v>
      </c>
      <c r="Q90">
        <v>3</v>
      </c>
      <c r="R90" s="7">
        <v>2.6</v>
      </c>
      <c r="S90" s="8">
        <f>Table1[[#This Row],[Discount_%]]/100</f>
        <v>2.6000000000000002E-2</v>
      </c>
      <c r="T90" s="6" t="s">
        <v>772</v>
      </c>
      <c r="U90" t="s">
        <v>989</v>
      </c>
      <c r="V90">
        <v>2024</v>
      </c>
      <c r="W90" t="s">
        <v>993</v>
      </c>
      <c r="X90" t="s">
        <v>998</v>
      </c>
      <c r="Y90" t="s">
        <v>1000</v>
      </c>
      <c r="Z90">
        <v>4</v>
      </c>
      <c r="AA90">
        <v>6</v>
      </c>
      <c r="AB90" s="4">
        <f>Table1[[#This Row],[Total_Price]]*(1-Table1[[#This Row],[Discount 2]])</f>
        <v>24882028.02</v>
      </c>
      <c r="AC90" s="4" t="str" cm="1">
        <f t="array" ref="AC90">_xlfn.IFS(Table1[[#This Row],[Revenue]]&gt;=30000000,"High Value",Table1[[#This Row],[Revenue]]&gt;=10000000,"Moderate Value",TRUE,"Low Value")</f>
        <v>Moderate Value</v>
      </c>
      <c r="AD90" t="str">
        <f>IF(Table1[[#This Row],[Discount 2]]&gt;=5%, "YES", "NO")</f>
        <v>NO</v>
      </c>
      <c r="AE90" t="str" cm="1">
        <f t="array" ref="AE90">_xlfn.IFS(Table1[[#This Row],[Revenue]]&gt;=30000000,"High Spender",Table1[[#This Row],[Revenue]]&gt;=10000000,"Moderate Spender",TRUE,"Low Spender")</f>
        <v>Moderate Spender</v>
      </c>
      <c r="AF90" s="4" t="str" cm="1">
        <f t="array" ref="AF90">_xlfn.IFS(Table1[[#This Row],[Land_Size_SQM]]&gt;=730,"LARGE",Table1[[#This Row],[Land_Size_SQM]]&gt;=465,"MEDIUM",TRUE,"SMALL")</f>
        <v>MEDIUM</v>
      </c>
    </row>
    <row r="91" spans="1:32" x14ac:dyDescent="0.3">
      <c r="A91" t="s">
        <v>115</v>
      </c>
      <c r="B91" t="s">
        <v>579</v>
      </c>
      <c r="C91" t="s">
        <v>627</v>
      </c>
      <c r="D91">
        <v>27</v>
      </c>
      <c r="E91" t="s">
        <v>628</v>
      </c>
      <c r="F91">
        <v>926</v>
      </c>
      <c r="G91" s="4">
        <v>6255</v>
      </c>
      <c r="H91" s="4">
        <v>5792130</v>
      </c>
      <c r="I91" t="s">
        <v>635</v>
      </c>
      <c r="J91" t="s">
        <v>668</v>
      </c>
      <c r="K91" t="s">
        <v>651</v>
      </c>
      <c r="L91" t="s">
        <v>680</v>
      </c>
      <c r="M91" t="s">
        <v>683</v>
      </c>
      <c r="N91" t="s">
        <v>691</v>
      </c>
      <c r="O91" t="s">
        <v>694</v>
      </c>
      <c r="P91" s="4">
        <v>2637786</v>
      </c>
      <c r="Q91">
        <v>12</v>
      </c>
      <c r="R91" s="7">
        <v>7.12</v>
      </c>
      <c r="S91" s="8">
        <f>Table1[[#This Row],[Discount_%]]/100</f>
        <v>7.1199999999999999E-2</v>
      </c>
      <c r="T91" s="6" t="s">
        <v>773</v>
      </c>
      <c r="U91" t="s">
        <v>984</v>
      </c>
      <c r="V91">
        <v>2024</v>
      </c>
      <c r="W91" t="s">
        <v>993</v>
      </c>
      <c r="X91" t="s">
        <v>998</v>
      </c>
      <c r="Y91" t="s">
        <v>1001</v>
      </c>
      <c r="Z91">
        <v>5</v>
      </c>
      <c r="AA91">
        <v>24</v>
      </c>
      <c r="AB91" s="4">
        <f>Table1[[#This Row],[Total_Price]]*(1-Table1[[#This Row],[Discount 2]])</f>
        <v>5379730.3439999996</v>
      </c>
      <c r="AC91" s="4" t="str" cm="1">
        <f t="array" ref="AC91">_xlfn.IFS(Table1[[#This Row],[Revenue]]&gt;=30000000,"High Value",Table1[[#This Row],[Revenue]]&gt;=10000000,"Moderate Value",TRUE,"Low Value")</f>
        <v>Low Value</v>
      </c>
      <c r="AD91" t="str">
        <f>IF(Table1[[#This Row],[Discount 2]]&gt;=5%, "YES", "NO")</f>
        <v>YES</v>
      </c>
      <c r="AE91" t="str" cm="1">
        <f t="array" ref="AE91">_xlfn.IFS(Table1[[#This Row],[Revenue]]&gt;=30000000,"High Spender",Table1[[#This Row],[Revenue]]&gt;=10000000,"Moderate Spender",TRUE,"Low Spender")</f>
        <v>Low Spender</v>
      </c>
      <c r="AF91" s="4" t="str" cm="1">
        <f t="array" ref="AF91">_xlfn.IFS(Table1[[#This Row],[Land_Size_SQM]]&gt;=730,"LARGE",Table1[[#This Row],[Land_Size_SQM]]&gt;=465,"MEDIUM",TRUE,"SMALL")</f>
        <v>LARGE</v>
      </c>
    </row>
    <row r="92" spans="1:32" x14ac:dyDescent="0.3">
      <c r="A92" t="s">
        <v>116</v>
      </c>
      <c r="B92" t="s">
        <v>580</v>
      </c>
      <c r="C92" t="s">
        <v>626</v>
      </c>
      <c r="D92">
        <v>46</v>
      </c>
      <c r="E92" t="s">
        <v>629</v>
      </c>
      <c r="F92">
        <v>332</v>
      </c>
      <c r="G92" s="4">
        <v>42104</v>
      </c>
      <c r="H92" s="4">
        <v>13978528</v>
      </c>
      <c r="I92" t="s">
        <v>658</v>
      </c>
      <c r="J92" t="s">
        <v>670</v>
      </c>
      <c r="K92" t="s">
        <v>675</v>
      </c>
      <c r="L92" t="s">
        <v>680</v>
      </c>
      <c r="M92" t="s">
        <v>683</v>
      </c>
      <c r="N92" t="s">
        <v>690</v>
      </c>
      <c r="O92" t="s">
        <v>693</v>
      </c>
      <c r="P92" s="4">
        <v>13978528</v>
      </c>
      <c r="Q92">
        <v>0</v>
      </c>
      <c r="R92" s="7">
        <v>0.66</v>
      </c>
      <c r="S92" s="8">
        <f>Table1[[#This Row],[Discount_%]]/100</f>
        <v>6.6E-3</v>
      </c>
      <c r="T92" s="6" t="s">
        <v>774</v>
      </c>
      <c r="U92" t="s">
        <v>991</v>
      </c>
      <c r="V92">
        <v>2024</v>
      </c>
      <c r="W92" t="s">
        <v>993</v>
      </c>
      <c r="X92" t="s">
        <v>998</v>
      </c>
      <c r="Y92" t="s">
        <v>1002</v>
      </c>
      <c r="Z92">
        <v>5</v>
      </c>
      <c r="AA92">
        <v>23</v>
      </c>
      <c r="AB92" s="4">
        <f>Table1[[#This Row],[Total_Price]]*(1-Table1[[#This Row],[Discount 2]])</f>
        <v>13886269.7152</v>
      </c>
      <c r="AC92" s="4" t="str" cm="1">
        <f t="array" ref="AC92">_xlfn.IFS(Table1[[#This Row],[Revenue]]&gt;=30000000,"High Value",Table1[[#This Row],[Revenue]]&gt;=10000000,"Moderate Value",TRUE,"Low Value")</f>
        <v>Moderate Value</v>
      </c>
      <c r="AD92" t="str">
        <f>IF(Table1[[#This Row],[Discount 2]]&gt;=5%, "YES", "NO")</f>
        <v>NO</v>
      </c>
      <c r="AE92" t="str" cm="1">
        <f t="array" ref="AE92">_xlfn.IFS(Table1[[#This Row],[Revenue]]&gt;=30000000,"High Spender",Table1[[#This Row],[Revenue]]&gt;=10000000,"Moderate Spender",TRUE,"Low Spender")</f>
        <v>Moderate Spender</v>
      </c>
      <c r="AF92" s="4" t="str" cm="1">
        <f t="array" ref="AF92">_xlfn.IFS(Table1[[#This Row],[Land_Size_SQM]]&gt;=730,"LARGE",Table1[[#This Row],[Land_Size_SQM]]&gt;=465,"MEDIUM",TRUE,"SMALL")</f>
        <v>SMALL</v>
      </c>
    </row>
    <row r="93" spans="1:32" x14ac:dyDescent="0.3">
      <c r="A93" t="s">
        <v>117</v>
      </c>
      <c r="B93" t="s">
        <v>534</v>
      </c>
      <c r="C93" t="s">
        <v>626</v>
      </c>
      <c r="D93">
        <v>65</v>
      </c>
      <c r="E93" t="s">
        <v>628</v>
      </c>
      <c r="F93">
        <v>386</v>
      </c>
      <c r="G93" s="4">
        <v>10456</v>
      </c>
      <c r="H93" s="4">
        <v>4036016</v>
      </c>
      <c r="I93" t="s">
        <v>656</v>
      </c>
      <c r="J93" t="s">
        <v>669</v>
      </c>
      <c r="K93" t="s">
        <v>674</v>
      </c>
      <c r="L93" t="s">
        <v>681</v>
      </c>
      <c r="M93" t="s">
        <v>686</v>
      </c>
      <c r="N93" t="s">
        <v>690</v>
      </c>
      <c r="O93" t="s">
        <v>694</v>
      </c>
      <c r="P93" s="4">
        <v>1813855</v>
      </c>
      <c r="Q93">
        <v>3</v>
      </c>
      <c r="R93" s="7">
        <v>5.18</v>
      </c>
      <c r="S93" s="8">
        <f>Table1[[#This Row],[Discount_%]]/100</f>
        <v>5.1799999999999999E-2</v>
      </c>
      <c r="T93" s="6" t="s">
        <v>733</v>
      </c>
      <c r="U93" t="s">
        <v>982</v>
      </c>
      <c r="V93">
        <v>2024</v>
      </c>
      <c r="W93" t="s">
        <v>993</v>
      </c>
      <c r="X93" t="s">
        <v>998</v>
      </c>
      <c r="Y93" t="s">
        <v>1000</v>
      </c>
      <c r="Z93">
        <v>5</v>
      </c>
      <c r="AA93">
        <v>18</v>
      </c>
      <c r="AB93" s="4">
        <f>Table1[[#This Row],[Total_Price]]*(1-Table1[[#This Row],[Discount 2]])</f>
        <v>3826950.3712000004</v>
      </c>
      <c r="AC93" s="4" t="str" cm="1">
        <f t="array" ref="AC93">_xlfn.IFS(Table1[[#This Row],[Revenue]]&gt;=30000000,"High Value",Table1[[#This Row],[Revenue]]&gt;=10000000,"Moderate Value",TRUE,"Low Value")</f>
        <v>Low Value</v>
      </c>
      <c r="AD93" t="str">
        <f>IF(Table1[[#This Row],[Discount 2]]&gt;=5%, "YES", "NO")</f>
        <v>YES</v>
      </c>
      <c r="AE93" t="str" cm="1">
        <f t="array" ref="AE93">_xlfn.IFS(Table1[[#This Row],[Revenue]]&gt;=30000000,"High Spender",Table1[[#This Row],[Revenue]]&gt;=10000000,"Moderate Spender",TRUE,"Low Spender")</f>
        <v>Low Spender</v>
      </c>
      <c r="AF93" s="4" t="str" cm="1">
        <f t="array" ref="AF93">_xlfn.IFS(Table1[[#This Row],[Land_Size_SQM]]&gt;=730,"LARGE",Table1[[#This Row],[Land_Size_SQM]]&gt;=465,"MEDIUM",TRUE,"SMALL")</f>
        <v>SMALL</v>
      </c>
    </row>
    <row r="94" spans="1:32" x14ac:dyDescent="0.3">
      <c r="A94" t="s">
        <v>118</v>
      </c>
      <c r="B94" t="s">
        <v>534</v>
      </c>
      <c r="C94" t="s">
        <v>626</v>
      </c>
      <c r="D94">
        <v>56</v>
      </c>
      <c r="E94" t="s">
        <v>628</v>
      </c>
      <c r="F94">
        <v>746</v>
      </c>
      <c r="G94" s="4">
        <v>8122</v>
      </c>
      <c r="H94" s="4">
        <v>6059012</v>
      </c>
      <c r="I94" t="s">
        <v>651</v>
      </c>
      <c r="J94" t="s">
        <v>669</v>
      </c>
      <c r="K94" t="s">
        <v>674</v>
      </c>
      <c r="L94" t="s">
        <v>680</v>
      </c>
      <c r="M94" t="s">
        <v>685</v>
      </c>
      <c r="N94" t="s">
        <v>689</v>
      </c>
      <c r="O94" t="s">
        <v>693</v>
      </c>
      <c r="P94" s="4">
        <v>6059012</v>
      </c>
      <c r="Q94">
        <v>0</v>
      </c>
      <c r="R94" s="7">
        <v>5.92</v>
      </c>
      <c r="S94" s="8">
        <f>Table1[[#This Row],[Discount_%]]/100</f>
        <v>5.9200000000000003E-2</v>
      </c>
      <c r="T94" s="6" t="s">
        <v>775</v>
      </c>
      <c r="U94" t="s">
        <v>985</v>
      </c>
      <c r="V94">
        <v>2024</v>
      </c>
      <c r="W94" t="s">
        <v>994</v>
      </c>
      <c r="X94" t="s">
        <v>997</v>
      </c>
      <c r="Y94" t="s">
        <v>1000</v>
      </c>
      <c r="Z94">
        <v>5</v>
      </c>
      <c r="AA94">
        <v>27</v>
      </c>
      <c r="AB94" s="4">
        <f>Table1[[#This Row],[Total_Price]]*(1-Table1[[#This Row],[Discount 2]])</f>
        <v>5700318.4896</v>
      </c>
      <c r="AC94" s="4" t="str" cm="1">
        <f t="array" ref="AC94">_xlfn.IFS(Table1[[#This Row],[Revenue]]&gt;=30000000,"High Value",Table1[[#This Row],[Revenue]]&gt;=10000000,"Moderate Value",TRUE,"Low Value")</f>
        <v>Low Value</v>
      </c>
      <c r="AD94" t="str">
        <f>IF(Table1[[#This Row],[Discount 2]]&gt;=5%, "YES", "NO")</f>
        <v>YES</v>
      </c>
      <c r="AE94" t="str" cm="1">
        <f t="array" ref="AE94">_xlfn.IFS(Table1[[#This Row],[Revenue]]&gt;=30000000,"High Spender",Table1[[#This Row],[Revenue]]&gt;=10000000,"Moderate Spender",TRUE,"Low Spender")</f>
        <v>Low Spender</v>
      </c>
      <c r="AF94" s="4" t="str" cm="1">
        <f t="array" ref="AF94">_xlfn.IFS(Table1[[#This Row],[Land_Size_SQM]]&gt;=730,"LARGE",Table1[[#This Row],[Land_Size_SQM]]&gt;=465,"MEDIUM",TRUE,"SMALL")</f>
        <v>LARGE</v>
      </c>
    </row>
    <row r="95" spans="1:32" x14ac:dyDescent="0.3">
      <c r="A95" t="s">
        <v>119</v>
      </c>
      <c r="B95" t="s">
        <v>557</v>
      </c>
      <c r="C95" t="s">
        <v>626</v>
      </c>
      <c r="D95">
        <v>24</v>
      </c>
      <c r="E95" t="s">
        <v>629</v>
      </c>
      <c r="F95">
        <v>709</v>
      </c>
      <c r="G95" s="4">
        <v>43101</v>
      </c>
      <c r="H95" s="4">
        <v>30558609</v>
      </c>
      <c r="I95" t="s">
        <v>655</v>
      </c>
      <c r="J95" t="s">
        <v>672</v>
      </c>
      <c r="K95" t="s">
        <v>664</v>
      </c>
      <c r="L95" t="s">
        <v>680</v>
      </c>
      <c r="M95" t="s">
        <v>683</v>
      </c>
      <c r="N95" t="s">
        <v>691</v>
      </c>
      <c r="O95" t="s">
        <v>694</v>
      </c>
      <c r="P95" s="4">
        <v>10539158</v>
      </c>
      <c r="Q95">
        <v>12</v>
      </c>
      <c r="R95" s="7">
        <v>8.0500000000000007</v>
      </c>
      <c r="S95" s="8">
        <f>Table1[[#This Row],[Discount_%]]/100</f>
        <v>8.0500000000000002E-2</v>
      </c>
      <c r="T95" s="6" t="s">
        <v>762</v>
      </c>
      <c r="U95" t="s">
        <v>984</v>
      </c>
      <c r="V95">
        <v>2024</v>
      </c>
      <c r="W95" t="s">
        <v>995</v>
      </c>
      <c r="X95" t="s">
        <v>998</v>
      </c>
      <c r="Y95" t="s">
        <v>1002</v>
      </c>
      <c r="Z95">
        <v>2</v>
      </c>
      <c r="AA95">
        <v>22</v>
      </c>
      <c r="AB95" s="4">
        <f>Table1[[#This Row],[Total_Price]]*(1-Table1[[#This Row],[Discount 2]])</f>
        <v>28098640.975499999</v>
      </c>
      <c r="AC95" s="4" t="str" cm="1">
        <f t="array" ref="AC95">_xlfn.IFS(Table1[[#This Row],[Revenue]]&gt;=30000000,"High Value",Table1[[#This Row],[Revenue]]&gt;=10000000,"Moderate Value",TRUE,"Low Value")</f>
        <v>Moderate Value</v>
      </c>
      <c r="AD95" t="str">
        <f>IF(Table1[[#This Row],[Discount 2]]&gt;=5%, "YES", "NO")</f>
        <v>YES</v>
      </c>
      <c r="AE95" t="str" cm="1">
        <f t="array" ref="AE95">_xlfn.IFS(Table1[[#This Row],[Revenue]]&gt;=30000000,"High Spender",Table1[[#This Row],[Revenue]]&gt;=10000000,"Moderate Spender",TRUE,"Low Spender")</f>
        <v>Moderate Spender</v>
      </c>
      <c r="AF95" s="4" t="str" cm="1">
        <f t="array" ref="AF95">_xlfn.IFS(Table1[[#This Row],[Land_Size_SQM]]&gt;=730,"LARGE",Table1[[#This Row],[Land_Size_SQM]]&gt;=465,"MEDIUM",TRUE,"SMALL")</f>
        <v>MEDIUM</v>
      </c>
    </row>
    <row r="96" spans="1:32" x14ac:dyDescent="0.3">
      <c r="A96" t="s">
        <v>120</v>
      </c>
      <c r="B96" t="s">
        <v>571</v>
      </c>
      <c r="C96" t="s">
        <v>627</v>
      </c>
      <c r="D96">
        <v>49</v>
      </c>
      <c r="E96" t="s">
        <v>628</v>
      </c>
      <c r="F96">
        <v>935</v>
      </c>
      <c r="G96" s="4">
        <v>22926</v>
      </c>
      <c r="H96" s="4">
        <v>21435810</v>
      </c>
      <c r="I96" t="s">
        <v>640</v>
      </c>
      <c r="J96" t="s">
        <v>672</v>
      </c>
      <c r="K96" t="s">
        <v>651</v>
      </c>
      <c r="L96" t="s">
        <v>681</v>
      </c>
      <c r="M96" t="s">
        <v>684</v>
      </c>
      <c r="N96" t="s">
        <v>688</v>
      </c>
      <c r="O96" t="s">
        <v>694</v>
      </c>
      <c r="P96" s="4">
        <v>5128086</v>
      </c>
      <c r="Q96">
        <v>24</v>
      </c>
      <c r="R96" s="7">
        <v>3.71</v>
      </c>
      <c r="S96" s="8">
        <f>Table1[[#This Row],[Discount_%]]/100</f>
        <v>3.7100000000000001E-2</v>
      </c>
      <c r="T96" s="6" t="s">
        <v>776</v>
      </c>
      <c r="U96" t="s">
        <v>985</v>
      </c>
      <c r="V96">
        <v>2024</v>
      </c>
      <c r="W96" t="s">
        <v>996</v>
      </c>
      <c r="X96" t="s">
        <v>999</v>
      </c>
      <c r="Y96" t="s">
        <v>1000</v>
      </c>
      <c r="Z96">
        <v>3</v>
      </c>
      <c r="AA96">
        <v>25</v>
      </c>
      <c r="AB96" s="4">
        <f>Table1[[#This Row],[Total_Price]]*(1-Table1[[#This Row],[Discount 2]])</f>
        <v>20640541.449000001</v>
      </c>
      <c r="AC96" s="4" t="str" cm="1">
        <f t="array" ref="AC96">_xlfn.IFS(Table1[[#This Row],[Revenue]]&gt;=30000000,"High Value",Table1[[#This Row],[Revenue]]&gt;=10000000,"Moderate Value",TRUE,"Low Value")</f>
        <v>Moderate Value</v>
      </c>
      <c r="AD96" t="str">
        <f>IF(Table1[[#This Row],[Discount 2]]&gt;=5%, "YES", "NO")</f>
        <v>NO</v>
      </c>
      <c r="AE96" t="str" cm="1">
        <f t="array" ref="AE96">_xlfn.IFS(Table1[[#This Row],[Revenue]]&gt;=30000000,"High Spender",Table1[[#This Row],[Revenue]]&gt;=10000000,"Moderate Spender",TRUE,"Low Spender")</f>
        <v>Moderate Spender</v>
      </c>
      <c r="AF96" s="4" t="str" cm="1">
        <f t="array" ref="AF96">_xlfn.IFS(Table1[[#This Row],[Land_Size_SQM]]&gt;=730,"LARGE",Table1[[#This Row],[Land_Size_SQM]]&gt;=465,"MEDIUM",TRUE,"SMALL")</f>
        <v>LARGE</v>
      </c>
    </row>
    <row r="97" spans="1:32" x14ac:dyDescent="0.3">
      <c r="A97" t="s">
        <v>121</v>
      </c>
      <c r="B97" t="s">
        <v>555</v>
      </c>
      <c r="C97" t="s">
        <v>626</v>
      </c>
      <c r="D97">
        <v>51</v>
      </c>
      <c r="E97" t="s">
        <v>628</v>
      </c>
      <c r="F97">
        <v>363</v>
      </c>
      <c r="G97" s="4">
        <v>23458</v>
      </c>
      <c r="H97" s="4">
        <v>8515254</v>
      </c>
      <c r="I97" t="s">
        <v>660</v>
      </c>
      <c r="J97" t="s">
        <v>672</v>
      </c>
      <c r="K97" t="s">
        <v>679</v>
      </c>
      <c r="L97" t="s">
        <v>680</v>
      </c>
      <c r="M97" t="s">
        <v>684</v>
      </c>
      <c r="N97" t="s">
        <v>692</v>
      </c>
      <c r="O97" t="s">
        <v>694</v>
      </c>
      <c r="P97" s="4">
        <v>3652503</v>
      </c>
      <c r="Q97">
        <v>6</v>
      </c>
      <c r="R97" s="7">
        <v>4.9800000000000004</v>
      </c>
      <c r="S97" s="8">
        <f>Table1[[#This Row],[Discount_%]]/100</f>
        <v>4.9800000000000004E-2</v>
      </c>
      <c r="T97" s="6" t="s">
        <v>777</v>
      </c>
      <c r="U97" t="s">
        <v>986</v>
      </c>
      <c r="V97">
        <v>2024</v>
      </c>
      <c r="W97" t="s">
        <v>995</v>
      </c>
      <c r="X97" t="s">
        <v>999</v>
      </c>
      <c r="Y97" t="s">
        <v>1000</v>
      </c>
      <c r="Z97">
        <v>5</v>
      </c>
      <c r="AA97">
        <v>23</v>
      </c>
      <c r="AB97" s="4">
        <f>Table1[[#This Row],[Total_Price]]*(1-Table1[[#This Row],[Discount 2]])</f>
        <v>8091194.3508000001</v>
      </c>
      <c r="AC97" s="4" t="str" cm="1">
        <f t="array" ref="AC97">_xlfn.IFS(Table1[[#This Row],[Revenue]]&gt;=30000000,"High Value",Table1[[#This Row],[Revenue]]&gt;=10000000,"Moderate Value",TRUE,"Low Value")</f>
        <v>Low Value</v>
      </c>
      <c r="AD97" t="str">
        <f>IF(Table1[[#This Row],[Discount 2]]&gt;=5%, "YES", "NO")</f>
        <v>NO</v>
      </c>
      <c r="AE97" t="str" cm="1">
        <f t="array" ref="AE97">_xlfn.IFS(Table1[[#This Row],[Revenue]]&gt;=30000000,"High Spender",Table1[[#This Row],[Revenue]]&gt;=10000000,"Moderate Spender",TRUE,"Low Spender")</f>
        <v>Low Spender</v>
      </c>
      <c r="AF97" s="4" t="str" cm="1">
        <f t="array" ref="AF97">_xlfn.IFS(Table1[[#This Row],[Land_Size_SQM]]&gt;=730,"LARGE",Table1[[#This Row],[Land_Size_SQM]]&gt;=465,"MEDIUM",TRUE,"SMALL")</f>
        <v>SMALL</v>
      </c>
    </row>
    <row r="98" spans="1:32" x14ac:dyDescent="0.3">
      <c r="A98" t="s">
        <v>122</v>
      </c>
      <c r="B98" t="s">
        <v>560</v>
      </c>
      <c r="C98" t="s">
        <v>626</v>
      </c>
      <c r="D98">
        <v>45</v>
      </c>
      <c r="E98" t="s">
        <v>630</v>
      </c>
      <c r="F98">
        <v>706</v>
      </c>
      <c r="G98" s="4">
        <v>41158</v>
      </c>
      <c r="H98" s="4">
        <v>29057548</v>
      </c>
      <c r="I98" t="s">
        <v>664</v>
      </c>
      <c r="J98" t="s">
        <v>673</v>
      </c>
      <c r="K98" t="s">
        <v>677</v>
      </c>
      <c r="L98" t="s">
        <v>680</v>
      </c>
      <c r="M98" t="s">
        <v>684</v>
      </c>
      <c r="N98" t="s">
        <v>689</v>
      </c>
      <c r="O98" t="s">
        <v>694</v>
      </c>
      <c r="P98" s="4">
        <v>10489985</v>
      </c>
      <c r="Q98">
        <v>12</v>
      </c>
      <c r="R98" s="7">
        <v>8.4700000000000006</v>
      </c>
      <c r="S98" s="8">
        <f>Table1[[#This Row],[Discount_%]]/100</f>
        <v>8.4700000000000011E-2</v>
      </c>
      <c r="T98" s="6" t="s">
        <v>757</v>
      </c>
      <c r="U98" t="s">
        <v>989</v>
      </c>
      <c r="V98">
        <v>2024</v>
      </c>
      <c r="W98" t="s">
        <v>996</v>
      </c>
      <c r="X98" t="s">
        <v>998</v>
      </c>
      <c r="Y98" t="s">
        <v>1001</v>
      </c>
      <c r="Z98">
        <v>3</v>
      </c>
      <c r="AA98">
        <v>5</v>
      </c>
      <c r="AB98" s="4">
        <f>Table1[[#This Row],[Total_Price]]*(1-Table1[[#This Row],[Discount 2]])</f>
        <v>26596373.6844</v>
      </c>
      <c r="AC98" s="4" t="str" cm="1">
        <f t="array" ref="AC98">_xlfn.IFS(Table1[[#This Row],[Revenue]]&gt;=30000000,"High Value",Table1[[#This Row],[Revenue]]&gt;=10000000,"Moderate Value",TRUE,"Low Value")</f>
        <v>Moderate Value</v>
      </c>
      <c r="AD98" t="str">
        <f>IF(Table1[[#This Row],[Discount 2]]&gt;=5%, "YES", "NO")</f>
        <v>YES</v>
      </c>
      <c r="AE98" t="str" cm="1">
        <f t="array" ref="AE98">_xlfn.IFS(Table1[[#This Row],[Revenue]]&gt;=30000000,"High Spender",Table1[[#This Row],[Revenue]]&gt;=10000000,"Moderate Spender",TRUE,"Low Spender")</f>
        <v>Moderate Spender</v>
      </c>
      <c r="AF98" s="4" t="str" cm="1">
        <f t="array" ref="AF98">_xlfn.IFS(Table1[[#This Row],[Land_Size_SQM]]&gt;=730,"LARGE",Table1[[#This Row],[Land_Size_SQM]]&gt;=465,"MEDIUM",TRUE,"SMALL")</f>
        <v>MEDIUM</v>
      </c>
    </row>
    <row r="99" spans="1:32" x14ac:dyDescent="0.3">
      <c r="A99" t="s">
        <v>123</v>
      </c>
      <c r="B99" t="s">
        <v>561</v>
      </c>
      <c r="C99" t="s">
        <v>626</v>
      </c>
      <c r="D99">
        <v>29</v>
      </c>
      <c r="E99" t="s">
        <v>628</v>
      </c>
      <c r="F99">
        <v>982</v>
      </c>
      <c r="G99" s="4">
        <v>38035</v>
      </c>
      <c r="H99" s="4">
        <v>37350370</v>
      </c>
      <c r="I99" t="s">
        <v>647</v>
      </c>
      <c r="J99" t="s">
        <v>670</v>
      </c>
      <c r="K99" t="s">
        <v>678</v>
      </c>
      <c r="L99" t="s">
        <v>682</v>
      </c>
      <c r="M99" t="s">
        <v>686</v>
      </c>
      <c r="N99" t="s">
        <v>691</v>
      </c>
      <c r="O99" t="s">
        <v>694</v>
      </c>
      <c r="P99" s="4">
        <v>8911762</v>
      </c>
      <c r="Q99">
        <v>3</v>
      </c>
      <c r="R99" s="7">
        <v>0.97</v>
      </c>
      <c r="S99" s="8">
        <f>Table1[[#This Row],[Discount_%]]/100</f>
        <v>9.7000000000000003E-3</v>
      </c>
      <c r="T99" s="6" t="s">
        <v>740</v>
      </c>
      <c r="U99" t="s">
        <v>991</v>
      </c>
      <c r="V99">
        <v>2024</v>
      </c>
      <c r="W99" t="s">
        <v>993</v>
      </c>
      <c r="X99" t="s">
        <v>999</v>
      </c>
      <c r="Y99" t="s">
        <v>1000</v>
      </c>
      <c r="Z99">
        <v>2</v>
      </c>
      <c r="AA99">
        <v>46</v>
      </c>
      <c r="AB99" s="4">
        <f>Table1[[#This Row],[Total_Price]]*(1-Table1[[#This Row],[Discount 2]])</f>
        <v>36988071.410999998</v>
      </c>
      <c r="AC99" s="4" t="str" cm="1">
        <f t="array" ref="AC99">_xlfn.IFS(Table1[[#This Row],[Revenue]]&gt;=30000000,"High Value",Table1[[#This Row],[Revenue]]&gt;=10000000,"Moderate Value",TRUE,"Low Value")</f>
        <v>High Value</v>
      </c>
      <c r="AD99" t="str">
        <f>IF(Table1[[#This Row],[Discount 2]]&gt;=5%, "YES", "NO")</f>
        <v>NO</v>
      </c>
      <c r="AE99" t="str" cm="1">
        <f t="array" ref="AE99">_xlfn.IFS(Table1[[#This Row],[Revenue]]&gt;=30000000,"High Spender",Table1[[#This Row],[Revenue]]&gt;=10000000,"Moderate Spender",TRUE,"Low Spender")</f>
        <v>High Spender</v>
      </c>
      <c r="AF99" s="4" t="str" cm="1">
        <f t="array" ref="AF99">_xlfn.IFS(Table1[[#This Row],[Land_Size_SQM]]&gt;=730,"LARGE",Table1[[#This Row],[Land_Size_SQM]]&gt;=465,"MEDIUM",TRUE,"SMALL")</f>
        <v>LARGE</v>
      </c>
    </row>
    <row r="100" spans="1:32" x14ac:dyDescent="0.3">
      <c r="A100" t="s">
        <v>124</v>
      </c>
      <c r="B100" t="s">
        <v>581</v>
      </c>
      <c r="C100" t="s">
        <v>626</v>
      </c>
      <c r="D100">
        <v>59</v>
      </c>
      <c r="E100" t="s">
        <v>629</v>
      </c>
      <c r="F100">
        <v>667</v>
      </c>
      <c r="G100" s="4">
        <v>11760</v>
      </c>
      <c r="H100" s="4">
        <v>7843920</v>
      </c>
      <c r="I100" t="s">
        <v>639</v>
      </c>
      <c r="J100" t="s">
        <v>671</v>
      </c>
      <c r="K100" t="s">
        <v>675</v>
      </c>
      <c r="L100" t="s">
        <v>681</v>
      </c>
      <c r="M100" t="s">
        <v>686</v>
      </c>
      <c r="N100" t="s">
        <v>690</v>
      </c>
      <c r="O100" t="s">
        <v>693</v>
      </c>
      <c r="P100" s="4">
        <v>7843920</v>
      </c>
      <c r="Q100">
        <v>0</v>
      </c>
      <c r="R100" s="7">
        <v>3.28</v>
      </c>
      <c r="S100" s="8">
        <f>Table1[[#This Row],[Discount_%]]/100</f>
        <v>3.2799999999999996E-2</v>
      </c>
      <c r="T100" s="6" t="s">
        <v>778</v>
      </c>
      <c r="U100" t="s">
        <v>983</v>
      </c>
      <c r="V100">
        <v>2024</v>
      </c>
      <c r="W100" t="s">
        <v>995</v>
      </c>
      <c r="X100" t="s">
        <v>997</v>
      </c>
      <c r="Y100" t="s">
        <v>1001</v>
      </c>
      <c r="Z100">
        <v>3</v>
      </c>
      <c r="AA100">
        <v>31</v>
      </c>
      <c r="AB100" s="4">
        <f>Table1[[#This Row],[Total_Price]]*(1-Table1[[#This Row],[Discount 2]])</f>
        <v>7586639.4240000006</v>
      </c>
      <c r="AC100" s="4" t="str" cm="1">
        <f t="array" ref="AC100">_xlfn.IFS(Table1[[#This Row],[Revenue]]&gt;=30000000,"High Value",Table1[[#This Row],[Revenue]]&gt;=10000000,"Moderate Value",TRUE,"Low Value")</f>
        <v>Low Value</v>
      </c>
      <c r="AD100" t="str">
        <f>IF(Table1[[#This Row],[Discount 2]]&gt;=5%, "YES", "NO")</f>
        <v>NO</v>
      </c>
      <c r="AE100" t="str" cm="1">
        <f t="array" ref="AE100">_xlfn.IFS(Table1[[#This Row],[Revenue]]&gt;=30000000,"High Spender",Table1[[#This Row],[Revenue]]&gt;=10000000,"Moderate Spender",TRUE,"Low Spender")</f>
        <v>Low Spender</v>
      </c>
      <c r="AF100" s="4" t="str" cm="1">
        <f t="array" ref="AF100">_xlfn.IFS(Table1[[#This Row],[Land_Size_SQM]]&gt;=730,"LARGE",Table1[[#This Row],[Land_Size_SQM]]&gt;=465,"MEDIUM",TRUE,"SMALL")</f>
        <v>MEDIUM</v>
      </c>
    </row>
    <row r="101" spans="1:32" x14ac:dyDescent="0.3">
      <c r="A101" t="s">
        <v>125</v>
      </c>
      <c r="B101" t="s">
        <v>582</v>
      </c>
      <c r="C101" t="s">
        <v>626</v>
      </c>
      <c r="D101">
        <v>36</v>
      </c>
      <c r="E101" t="s">
        <v>629</v>
      </c>
      <c r="F101">
        <v>889</v>
      </c>
      <c r="G101" s="4">
        <v>9183</v>
      </c>
      <c r="H101" s="4">
        <v>8163687</v>
      </c>
      <c r="I101" t="s">
        <v>646</v>
      </c>
      <c r="J101" t="s">
        <v>673</v>
      </c>
      <c r="K101" t="s">
        <v>651</v>
      </c>
      <c r="L101" t="s">
        <v>682</v>
      </c>
      <c r="M101" t="s">
        <v>686</v>
      </c>
      <c r="N101" t="s">
        <v>688</v>
      </c>
      <c r="O101" t="s">
        <v>694</v>
      </c>
      <c r="P101" s="4">
        <v>3584074</v>
      </c>
      <c r="Q101">
        <v>12</v>
      </c>
      <c r="R101" s="7">
        <v>7.25</v>
      </c>
      <c r="S101" s="8">
        <f>Table1[[#This Row],[Discount_%]]/100</f>
        <v>7.2499999999999995E-2</v>
      </c>
      <c r="T101" s="6" t="s">
        <v>779</v>
      </c>
      <c r="U101" t="s">
        <v>984</v>
      </c>
      <c r="V101">
        <v>2024</v>
      </c>
      <c r="W101" t="s">
        <v>993</v>
      </c>
      <c r="X101" t="s">
        <v>997</v>
      </c>
      <c r="Y101" t="s">
        <v>1002</v>
      </c>
      <c r="Z101">
        <v>2</v>
      </c>
      <c r="AA101">
        <v>34</v>
      </c>
      <c r="AB101" s="4">
        <f>Table1[[#This Row],[Total_Price]]*(1-Table1[[#This Row],[Discount 2]])</f>
        <v>7571819.6924999999</v>
      </c>
      <c r="AC101" s="4" t="str" cm="1">
        <f t="array" ref="AC101">_xlfn.IFS(Table1[[#This Row],[Revenue]]&gt;=30000000,"High Value",Table1[[#This Row],[Revenue]]&gt;=10000000,"Moderate Value",TRUE,"Low Value")</f>
        <v>Low Value</v>
      </c>
      <c r="AD101" t="str">
        <f>IF(Table1[[#This Row],[Discount 2]]&gt;=5%, "YES", "NO")</f>
        <v>YES</v>
      </c>
      <c r="AE101" t="str" cm="1">
        <f t="array" ref="AE101">_xlfn.IFS(Table1[[#This Row],[Revenue]]&gt;=30000000,"High Spender",Table1[[#This Row],[Revenue]]&gt;=10000000,"Moderate Spender",TRUE,"Low Spender")</f>
        <v>Low Spender</v>
      </c>
      <c r="AF101" s="4" t="str" cm="1">
        <f t="array" ref="AF101">_xlfn.IFS(Table1[[#This Row],[Land_Size_SQM]]&gt;=730,"LARGE",Table1[[#This Row],[Land_Size_SQM]]&gt;=465,"MEDIUM",TRUE,"SMALL")</f>
        <v>LARGE</v>
      </c>
    </row>
    <row r="102" spans="1:32" x14ac:dyDescent="0.3">
      <c r="A102" t="s">
        <v>126</v>
      </c>
      <c r="B102" t="s">
        <v>582</v>
      </c>
      <c r="C102" t="s">
        <v>627</v>
      </c>
      <c r="D102">
        <v>32</v>
      </c>
      <c r="E102" t="s">
        <v>628</v>
      </c>
      <c r="F102">
        <v>993</v>
      </c>
      <c r="G102" s="4">
        <v>26916</v>
      </c>
      <c r="H102" s="4">
        <v>26727588</v>
      </c>
      <c r="I102" t="s">
        <v>659</v>
      </c>
      <c r="J102" t="s">
        <v>668</v>
      </c>
      <c r="K102" t="s">
        <v>674</v>
      </c>
      <c r="L102" t="s">
        <v>681</v>
      </c>
      <c r="M102" t="s">
        <v>687</v>
      </c>
      <c r="N102" t="s">
        <v>691</v>
      </c>
      <c r="O102" t="s">
        <v>693</v>
      </c>
      <c r="P102" s="4">
        <v>26727588</v>
      </c>
      <c r="Q102">
        <v>0</v>
      </c>
      <c r="R102" s="7">
        <v>8.2200000000000006</v>
      </c>
      <c r="S102" s="8">
        <f>Table1[[#This Row],[Discount_%]]/100</f>
        <v>8.2200000000000009E-2</v>
      </c>
      <c r="T102" s="6" t="s">
        <v>780</v>
      </c>
      <c r="U102" t="s">
        <v>992</v>
      </c>
      <c r="V102">
        <v>2024</v>
      </c>
      <c r="W102" t="s">
        <v>996</v>
      </c>
      <c r="X102" t="s">
        <v>998</v>
      </c>
      <c r="Y102" t="s">
        <v>1001</v>
      </c>
      <c r="Z102">
        <v>2</v>
      </c>
      <c r="AA102">
        <v>27</v>
      </c>
      <c r="AB102" s="4">
        <f>Table1[[#This Row],[Total_Price]]*(1-Table1[[#This Row],[Discount 2]])</f>
        <v>24530580.266399998</v>
      </c>
      <c r="AC102" s="4" t="str" cm="1">
        <f t="array" ref="AC102">_xlfn.IFS(Table1[[#This Row],[Revenue]]&gt;=30000000,"High Value",Table1[[#This Row],[Revenue]]&gt;=10000000,"Moderate Value",TRUE,"Low Value")</f>
        <v>Moderate Value</v>
      </c>
      <c r="AD102" t="str">
        <f>IF(Table1[[#This Row],[Discount 2]]&gt;=5%, "YES", "NO")</f>
        <v>YES</v>
      </c>
      <c r="AE102" t="str" cm="1">
        <f t="array" ref="AE102">_xlfn.IFS(Table1[[#This Row],[Revenue]]&gt;=30000000,"High Spender",Table1[[#This Row],[Revenue]]&gt;=10000000,"Moderate Spender",TRUE,"Low Spender")</f>
        <v>Moderate Spender</v>
      </c>
      <c r="AF102" s="4" t="str" cm="1">
        <f t="array" ref="AF102">_xlfn.IFS(Table1[[#This Row],[Land_Size_SQM]]&gt;=730,"LARGE",Table1[[#This Row],[Land_Size_SQM]]&gt;=465,"MEDIUM",TRUE,"SMALL")</f>
        <v>LARGE</v>
      </c>
    </row>
    <row r="103" spans="1:32" x14ac:dyDescent="0.3">
      <c r="A103" t="s">
        <v>127</v>
      </c>
      <c r="B103" t="s">
        <v>583</v>
      </c>
      <c r="C103" t="s">
        <v>626</v>
      </c>
      <c r="D103">
        <v>62</v>
      </c>
      <c r="E103" t="s">
        <v>630</v>
      </c>
      <c r="F103">
        <v>682</v>
      </c>
      <c r="G103" s="4">
        <v>49671</v>
      </c>
      <c r="H103" s="4">
        <v>33875622</v>
      </c>
      <c r="I103" t="s">
        <v>652</v>
      </c>
      <c r="J103" t="s">
        <v>672</v>
      </c>
      <c r="K103" t="s">
        <v>674</v>
      </c>
      <c r="L103" t="s">
        <v>682</v>
      </c>
      <c r="M103" t="s">
        <v>684</v>
      </c>
      <c r="N103" t="s">
        <v>690</v>
      </c>
      <c r="O103" t="s">
        <v>693</v>
      </c>
      <c r="P103" s="4">
        <v>33875622</v>
      </c>
      <c r="Q103">
        <v>0</v>
      </c>
      <c r="R103" s="7">
        <v>7.06</v>
      </c>
      <c r="S103" s="8">
        <f>Table1[[#This Row],[Discount_%]]/100</f>
        <v>7.0599999999999996E-2</v>
      </c>
      <c r="T103" s="6" t="s">
        <v>734</v>
      </c>
      <c r="U103" t="s">
        <v>986</v>
      </c>
      <c r="V103">
        <v>2024</v>
      </c>
      <c r="W103" t="s">
        <v>996</v>
      </c>
      <c r="X103" t="s">
        <v>998</v>
      </c>
      <c r="Y103" t="s">
        <v>1001</v>
      </c>
      <c r="Z103">
        <v>3</v>
      </c>
      <c r="AA103">
        <v>35</v>
      </c>
      <c r="AB103" s="4">
        <f>Table1[[#This Row],[Total_Price]]*(1-Table1[[#This Row],[Discount 2]])</f>
        <v>31484003.086800002</v>
      </c>
      <c r="AC103" s="4" t="str" cm="1">
        <f t="array" ref="AC103">_xlfn.IFS(Table1[[#This Row],[Revenue]]&gt;=30000000,"High Value",Table1[[#This Row],[Revenue]]&gt;=10000000,"Moderate Value",TRUE,"Low Value")</f>
        <v>High Value</v>
      </c>
      <c r="AD103" t="str">
        <f>IF(Table1[[#This Row],[Discount 2]]&gt;=5%, "YES", "NO")</f>
        <v>YES</v>
      </c>
      <c r="AE103" t="str" cm="1">
        <f t="array" ref="AE103">_xlfn.IFS(Table1[[#This Row],[Revenue]]&gt;=30000000,"High Spender",Table1[[#This Row],[Revenue]]&gt;=10000000,"Moderate Spender",TRUE,"Low Spender")</f>
        <v>High Spender</v>
      </c>
      <c r="AF103" s="4" t="str" cm="1">
        <f t="array" ref="AF103">_xlfn.IFS(Table1[[#This Row],[Land_Size_SQM]]&gt;=730,"LARGE",Table1[[#This Row],[Land_Size_SQM]]&gt;=465,"MEDIUM",TRUE,"SMALL")</f>
        <v>MEDIUM</v>
      </c>
    </row>
    <row r="104" spans="1:32" x14ac:dyDescent="0.3">
      <c r="A104" t="s">
        <v>128</v>
      </c>
      <c r="B104" t="s">
        <v>539</v>
      </c>
      <c r="C104" t="s">
        <v>627</v>
      </c>
      <c r="D104">
        <v>39</v>
      </c>
      <c r="E104" t="s">
        <v>630</v>
      </c>
      <c r="F104">
        <v>824</v>
      </c>
      <c r="G104" s="4">
        <v>33731</v>
      </c>
      <c r="H104" s="4">
        <v>27794344</v>
      </c>
      <c r="I104" t="s">
        <v>636</v>
      </c>
      <c r="J104" t="s">
        <v>671</v>
      </c>
      <c r="K104" t="s">
        <v>677</v>
      </c>
      <c r="L104" t="s">
        <v>682</v>
      </c>
      <c r="M104" t="s">
        <v>683</v>
      </c>
      <c r="N104" t="s">
        <v>691</v>
      </c>
      <c r="O104" t="s">
        <v>693</v>
      </c>
      <c r="P104" s="4">
        <v>27794344</v>
      </c>
      <c r="Q104">
        <v>0</v>
      </c>
      <c r="R104" s="7">
        <v>9.57</v>
      </c>
      <c r="S104" s="8">
        <f>Table1[[#This Row],[Discount_%]]/100</f>
        <v>9.5700000000000007E-2</v>
      </c>
      <c r="T104" s="6" t="s">
        <v>781</v>
      </c>
      <c r="U104" t="s">
        <v>992</v>
      </c>
      <c r="V104">
        <v>2024</v>
      </c>
      <c r="W104" t="s">
        <v>994</v>
      </c>
      <c r="X104" t="s">
        <v>998</v>
      </c>
      <c r="Y104" t="s">
        <v>1002</v>
      </c>
      <c r="Z104">
        <v>5</v>
      </c>
      <c r="AA104">
        <v>47</v>
      </c>
      <c r="AB104" s="4">
        <f>Table1[[#This Row],[Total_Price]]*(1-Table1[[#This Row],[Discount 2]])</f>
        <v>25134425.279199999</v>
      </c>
      <c r="AC104" s="4" t="str" cm="1">
        <f t="array" ref="AC104">_xlfn.IFS(Table1[[#This Row],[Revenue]]&gt;=30000000,"High Value",Table1[[#This Row],[Revenue]]&gt;=10000000,"Moderate Value",TRUE,"Low Value")</f>
        <v>Moderate Value</v>
      </c>
      <c r="AD104" t="str">
        <f>IF(Table1[[#This Row],[Discount 2]]&gt;=5%, "YES", "NO")</f>
        <v>YES</v>
      </c>
      <c r="AE104" t="str" cm="1">
        <f t="array" ref="AE104">_xlfn.IFS(Table1[[#This Row],[Revenue]]&gt;=30000000,"High Spender",Table1[[#This Row],[Revenue]]&gt;=10000000,"Moderate Spender",TRUE,"Low Spender")</f>
        <v>Moderate Spender</v>
      </c>
      <c r="AF104" s="4" t="str" cm="1">
        <f t="array" ref="AF104">_xlfn.IFS(Table1[[#This Row],[Land_Size_SQM]]&gt;=730,"LARGE",Table1[[#This Row],[Land_Size_SQM]]&gt;=465,"MEDIUM",TRUE,"SMALL")</f>
        <v>LARGE</v>
      </c>
    </row>
    <row r="105" spans="1:32" x14ac:dyDescent="0.3">
      <c r="A105" t="s">
        <v>129</v>
      </c>
      <c r="B105" t="s">
        <v>584</v>
      </c>
      <c r="C105" t="s">
        <v>626</v>
      </c>
      <c r="D105">
        <v>65</v>
      </c>
      <c r="E105" t="s">
        <v>628</v>
      </c>
      <c r="F105">
        <v>787</v>
      </c>
      <c r="G105" s="4">
        <v>46343</v>
      </c>
      <c r="H105" s="4">
        <v>36471941</v>
      </c>
      <c r="I105" t="s">
        <v>657</v>
      </c>
      <c r="J105" t="s">
        <v>671</v>
      </c>
      <c r="K105" t="s">
        <v>676</v>
      </c>
      <c r="L105" t="s">
        <v>681</v>
      </c>
      <c r="M105" t="s">
        <v>684</v>
      </c>
      <c r="N105" t="s">
        <v>690</v>
      </c>
      <c r="O105" t="s">
        <v>694</v>
      </c>
      <c r="P105" s="4">
        <v>16248733</v>
      </c>
      <c r="Q105">
        <v>24</v>
      </c>
      <c r="R105" s="7">
        <v>9.5500000000000007</v>
      </c>
      <c r="S105" s="8">
        <f>Table1[[#This Row],[Discount_%]]/100</f>
        <v>9.5500000000000002E-2</v>
      </c>
      <c r="T105" s="6" t="s">
        <v>748</v>
      </c>
      <c r="U105" t="s">
        <v>987</v>
      </c>
      <c r="V105">
        <v>2024</v>
      </c>
      <c r="W105" t="s">
        <v>995</v>
      </c>
      <c r="X105" t="s">
        <v>999</v>
      </c>
      <c r="Y105" t="s">
        <v>1000</v>
      </c>
      <c r="Z105">
        <v>5</v>
      </c>
      <c r="AA105">
        <v>18</v>
      </c>
      <c r="AB105" s="4">
        <f>Table1[[#This Row],[Total_Price]]*(1-Table1[[#This Row],[Discount 2]])</f>
        <v>32988870.634500001</v>
      </c>
      <c r="AC105" s="4" t="str" cm="1">
        <f t="array" ref="AC105">_xlfn.IFS(Table1[[#This Row],[Revenue]]&gt;=30000000,"High Value",Table1[[#This Row],[Revenue]]&gt;=10000000,"Moderate Value",TRUE,"Low Value")</f>
        <v>High Value</v>
      </c>
      <c r="AD105" t="str">
        <f>IF(Table1[[#This Row],[Discount 2]]&gt;=5%, "YES", "NO")</f>
        <v>YES</v>
      </c>
      <c r="AE105" t="str" cm="1">
        <f t="array" ref="AE105">_xlfn.IFS(Table1[[#This Row],[Revenue]]&gt;=30000000,"High Spender",Table1[[#This Row],[Revenue]]&gt;=10000000,"Moderate Spender",TRUE,"Low Spender")</f>
        <v>High Spender</v>
      </c>
      <c r="AF105" s="4" t="str" cm="1">
        <f t="array" ref="AF105">_xlfn.IFS(Table1[[#This Row],[Land_Size_SQM]]&gt;=730,"LARGE",Table1[[#This Row],[Land_Size_SQM]]&gt;=465,"MEDIUM",TRUE,"SMALL")</f>
        <v>LARGE</v>
      </c>
    </row>
    <row r="106" spans="1:32" x14ac:dyDescent="0.3">
      <c r="A106" t="s">
        <v>130</v>
      </c>
      <c r="B106" t="s">
        <v>570</v>
      </c>
      <c r="C106" t="s">
        <v>627</v>
      </c>
      <c r="D106">
        <v>23</v>
      </c>
      <c r="E106" t="s">
        <v>628</v>
      </c>
      <c r="F106">
        <v>340</v>
      </c>
      <c r="G106" s="4">
        <v>9158</v>
      </c>
      <c r="H106" s="4">
        <v>3113720</v>
      </c>
      <c r="I106" t="s">
        <v>655</v>
      </c>
      <c r="J106" t="s">
        <v>672</v>
      </c>
      <c r="K106" t="s">
        <v>677</v>
      </c>
      <c r="L106" t="s">
        <v>681</v>
      </c>
      <c r="M106" t="s">
        <v>687</v>
      </c>
      <c r="N106" t="s">
        <v>691</v>
      </c>
      <c r="O106" t="s">
        <v>693</v>
      </c>
      <c r="P106" s="4">
        <v>3113720</v>
      </c>
      <c r="Q106">
        <v>0</v>
      </c>
      <c r="R106" s="7">
        <v>2.42</v>
      </c>
      <c r="S106" s="8">
        <f>Table1[[#This Row],[Discount_%]]/100</f>
        <v>2.4199999999999999E-2</v>
      </c>
      <c r="T106" s="6" t="s">
        <v>782</v>
      </c>
      <c r="U106" t="s">
        <v>984</v>
      </c>
      <c r="V106">
        <v>2024</v>
      </c>
      <c r="W106" t="s">
        <v>993</v>
      </c>
      <c r="X106" t="s">
        <v>997</v>
      </c>
      <c r="Y106" t="s">
        <v>1000</v>
      </c>
      <c r="Z106">
        <v>1</v>
      </c>
      <c r="AA106">
        <v>36</v>
      </c>
      <c r="AB106" s="4">
        <f>Table1[[#This Row],[Total_Price]]*(1-Table1[[#This Row],[Discount 2]])</f>
        <v>3038367.9759999998</v>
      </c>
      <c r="AC106" s="4" t="str" cm="1">
        <f t="array" ref="AC106">_xlfn.IFS(Table1[[#This Row],[Revenue]]&gt;=30000000,"High Value",Table1[[#This Row],[Revenue]]&gt;=10000000,"Moderate Value",TRUE,"Low Value")</f>
        <v>Low Value</v>
      </c>
      <c r="AD106" t="str">
        <f>IF(Table1[[#This Row],[Discount 2]]&gt;=5%, "YES", "NO")</f>
        <v>NO</v>
      </c>
      <c r="AE106" t="str" cm="1">
        <f t="array" ref="AE106">_xlfn.IFS(Table1[[#This Row],[Revenue]]&gt;=30000000,"High Spender",Table1[[#This Row],[Revenue]]&gt;=10000000,"Moderate Spender",TRUE,"Low Spender")</f>
        <v>Low Spender</v>
      </c>
      <c r="AF106" s="4" t="str" cm="1">
        <f t="array" ref="AF106">_xlfn.IFS(Table1[[#This Row],[Land_Size_SQM]]&gt;=730,"LARGE",Table1[[#This Row],[Land_Size_SQM]]&gt;=465,"MEDIUM",TRUE,"SMALL")</f>
        <v>SMALL</v>
      </c>
    </row>
    <row r="107" spans="1:32" x14ac:dyDescent="0.3">
      <c r="A107" t="s">
        <v>131</v>
      </c>
      <c r="B107" t="s">
        <v>585</v>
      </c>
      <c r="C107" t="s">
        <v>627</v>
      </c>
      <c r="D107">
        <v>25</v>
      </c>
      <c r="E107" t="s">
        <v>629</v>
      </c>
      <c r="F107">
        <v>688</v>
      </c>
      <c r="G107" s="4">
        <v>44633</v>
      </c>
      <c r="H107" s="4">
        <v>30707504</v>
      </c>
      <c r="I107" t="s">
        <v>632</v>
      </c>
      <c r="J107" t="s">
        <v>669</v>
      </c>
      <c r="K107" t="s">
        <v>678</v>
      </c>
      <c r="L107" t="s">
        <v>682</v>
      </c>
      <c r="M107" t="s">
        <v>683</v>
      </c>
      <c r="N107" t="s">
        <v>692</v>
      </c>
      <c r="O107" t="s">
        <v>693</v>
      </c>
      <c r="P107" s="4">
        <v>30707504</v>
      </c>
      <c r="Q107">
        <v>0</v>
      </c>
      <c r="R107" s="7">
        <v>7.56</v>
      </c>
      <c r="S107" s="8">
        <f>Table1[[#This Row],[Discount_%]]/100</f>
        <v>7.5600000000000001E-2</v>
      </c>
      <c r="T107" s="6" t="s">
        <v>783</v>
      </c>
      <c r="U107" t="s">
        <v>992</v>
      </c>
      <c r="V107">
        <v>2024</v>
      </c>
      <c r="W107" t="s">
        <v>993</v>
      </c>
      <c r="X107" t="s">
        <v>999</v>
      </c>
      <c r="Y107" t="s">
        <v>1002</v>
      </c>
      <c r="Z107">
        <v>2</v>
      </c>
      <c r="AA107">
        <v>3</v>
      </c>
      <c r="AB107" s="4">
        <f>Table1[[#This Row],[Total_Price]]*(1-Table1[[#This Row],[Discount 2]])</f>
        <v>28386016.6976</v>
      </c>
      <c r="AC107" s="4" t="str" cm="1">
        <f t="array" ref="AC107">_xlfn.IFS(Table1[[#This Row],[Revenue]]&gt;=30000000,"High Value",Table1[[#This Row],[Revenue]]&gt;=10000000,"Moderate Value",TRUE,"Low Value")</f>
        <v>Moderate Value</v>
      </c>
      <c r="AD107" t="str">
        <f>IF(Table1[[#This Row],[Discount 2]]&gt;=5%, "YES", "NO")</f>
        <v>YES</v>
      </c>
      <c r="AE107" t="str" cm="1">
        <f t="array" ref="AE107">_xlfn.IFS(Table1[[#This Row],[Revenue]]&gt;=30000000,"High Spender",Table1[[#This Row],[Revenue]]&gt;=10000000,"Moderate Spender",TRUE,"Low Spender")</f>
        <v>Moderate Spender</v>
      </c>
      <c r="AF107" s="4" t="str" cm="1">
        <f t="array" ref="AF107">_xlfn.IFS(Table1[[#This Row],[Land_Size_SQM]]&gt;=730,"LARGE",Table1[[#This Row],[Land_Size_SQM]]&gt;=465,"MEDIUM",TRUE,"SMALL")</f>
        <v>MEDIUM</v>
      </c>
    </row>
    <row r="108" spans="1:32" x14ac:dyDescent="0.3">
      <c r="A108" t="s">
        <v>132</v>
      </c>
      <c r="B108" t="s">
        <v>586</v>
      </c>
      <c r="C108" t="s">
        <v>626</v>
      </c>
      <c r="D108">
        <v>38</v>
      </c>
      <c r="E108" t="s">
        <v>630</v>
      </c>
      <c r="F108">
        <v>390</v>
      </c>
      <c r="G108" s="4">
        <v>20970</v>
      </c>
      <c r="H108" s="4">
        <v>8178300</v>
      </c>
      <c r="I108" t="s">
        <v>658</v>
      </c>
      <c r="J108" t="s">
        <v>670</v>
      </c>
      <c r="K108" t="s">
        <v>678</v>
      </c>
      <c r="L108" t="s">
        <v>682</v>
      </c>
      <c r="M108" t="s">
        <v>686</v>
      </c>
      <c r="N108" t="s">
        <v>692</v>
      </c>
      <c r="O108" t="s">
        <v>693</v>
      </c>
      <c r="P108" s="4">
        <v>8178300</v>
      </c>
      <c r="Q108">
        <v>0</v>
      </c>
      <c r="R108" s="7">
        <v>0.09</v>
      </c>
      <c r="S108" s="8">
        <f>Table1[[#This Row],[Discount_%]]/100</f>
        <v>8.9999999999999998E-4</v>
      </c>
      <c r="T108" s="6" t="s">
        <v>699</v>
      </c>
      <c r="U108" t="s">
        <v>985</v>
      </c>
      <c r="V108">
        <v>2024</v>
      </c>
      <c r="W108" t="s">
        <v>995</v>
      </c>
      <c r="X108" t="s">
        <v>999</v>
      </c>
      <c r="Y108" t="s">
        <v>1001</v>
      </c>
      <c r="Z108">
        <v>4</v>
      </c>
      <c r="AA108">
        <v>18</v>
      </c>
      <c r="AB108" s="4">
        <f>Table1[[#This Row],[Total_Price]]*(1-Table1[[#This Row],[Discount 2]])</f>
        <v>8170939.5300000003</v>
      </c>
      <c r="AC108" s="4" t="str" cm="1">
        <f t="array" ref="AC108">_xlfn.IFS(Table1[[#This Row],[Revenue]]&gt;=30000000,"High Value",Table1[[#This Row],[Revenue]]&gt;=10000000,"Moderate Value",TRUE,"Low Value")</f>
        <v>Low Value</v>
      </c>
      <c r="AD108" t="str">
        <f>IF(Table1[[#This Row],[Discount 2]]&gt;=5%, "YES", "NO")</f>
        <v>NO</v>
      </c>
      <c r="AE108" t="str" cm="1">
        <f t="array" ref="AE108">_xlfn.IFS(Table1[[#This Row],[Revenue]]&gt;=30000000,"High Spender",Table1[[#This Row],[Revenue]]&gt;=10000000,"Moderate Spender",TRUE,"Low Spender")</f>
        <v>Low Spender</v>
      </c>
      <c r="AF108" s="4" t="str" cm="1">
        <f t="array" ref="AF108">_xlfn.IFS(Table1[[#This Row],[Land_Size_SQM]]&gt;=730,"LARGE",Table1[[#This Row],[Land_Size_SQM]]&gt;=465,"MEDIUM",TRUE,"SMALL")</f>
        <v>SMALL</v>
      </c>
    </row>
    <row r="109" spans="1:32" x14ac:dyDescent="0.3">
      <c r="A109" t="s">
        <v>133</v>
      </c>
      <c r="B109" t="s">
        <v>566</v>
      </c>
      <c r="C109" t="s">
        <v>627</v>
      </c>
      <c r="D109">
        <v>31</v>
      </c>
      <c r="E109" t="s">
        <v>629</v>
      </c>
      <c r="F109">
        <v>366</v>
      </c>
      <c r="G109" s="4">
        <v>49914</v>
      </c>
      <c r="H109" s="4">
        <v>18268524</v>
      </c>
      <c r="I109" t="s">
        <v>649</v>
      </c>
      <c r="J109" t="s">
        <v>669</v>
      </c>
      <c r="K109" t="s">
        <v>651</v>
      </c>
      <c r="L109" t="s">
        <v>682</v>
      </c>
      <c r="M109" t="s">
        <v>684</v>
      </c>
      <c r="N109" t="s">
        <v>691</v>
      </c>
      <c r="O109" t="s">
        <v>694</v>
      </c>
      <c r="P109" s="4">
        <v>7592023</v>
      </c>
      <c r="Q109">
        <v>12</v>
      </c>
      <c r="R109" s="7">
        <v>0.14000000000000001</v>
      </c>
      <c r="S109" s="8">
        <f>Table1[[#This Row],[Discount_%]]/100</f>
        <v>1.4000000000000002E-3</v>
      </c>
      <c r="T109" s="6" t="s">
        <v>784</v>
      </c>
      <c r="U109" t="s">
        <v>982</v>
      </c>
      <c r="V109">
        <v>2024</v>
      </c>
      <c r="W109" t="s">
        <v>994</v>
      </c>
      <c r="X109" t="s">
        <v>999</v>
      </c>
      <c r="Y109" t="s">
        <v>1002</v>
      </c>
      <c r="Z109">
        <v>1</v>
      </c>
      <c r="AA109">
        <v>12</v>
      </c>
      <c r="AB109" s="4">
        <f>Table1[[#This Row],[Total_Price]]*(1-Table1[[#This Row],[Discount 2]])</f>
        <v>18242948.066399999</v>
      </c>
      <c r="AC109" s="4" t="str" cm="1">
        <f t="array" ref="AC109">_xlfn.IFS(Table1[[#This Row],[Revenue]]&gt;=30000000,"High Value",Table1[[#This Row],[Revenue]]&gt;=10000000,"Moderate Value",TRUE,"Low Value")</f>
        <v>Moderate Value</v>
      </c>
      <c r="AD109" t="str">
        <f>IF(Table1[[#This Row],[Discount 2]]&gt;=5%, "YES", "NO")</f>
        <v>NO</v>
      </c>
      <c r="AE109" t="str" cm="1">
        <f t="array" ref="AE109">_xlfn.IFS(Table1[[#This Row],[Revenue]]&gt;=30000000,"High Spender",Table1[[#This Row],[Revenue]]&gt;=10000000,"Moderate Spender",TRUE,"Low Spender")</f>
        <v>Moderate Spender</v>
      </c>
      <c r="AF109" s="4" t="str" cm="1">
        <f t="array" ref="AF109">_xlfn.IFS(Table1[[#This Row],[Land_Size_SQM]]&gt;=730,"LARGE",Table1[[#This Row],[Land_Size_SQM]]&gt;=465,"MEDIUM",TRUE,"SMALL")</f>
        <v>SMALL</v>
      </c>
    </row>
    <row r="110" spans="1:32" x14ac:dyDescent="0.3">
      <c r="A110" t="s">
        <v>134</v>
      </c>
      <c r="B110" t="s">
        <v>566</v>
      </c>
      <c r="C110" t="s">
        <v>627</v>
      </c>
      <c r="D110">
        <v>36</v>
      </c>
      <c r="E110" t="s">
        <v>629</v>
      </c>
      <c r="F110">
        <v>454</v>
      </c>
      <c r="G110" s="4">
        <v>2447</v>
      </c>
      <c r="H110" s="4">
        <v>1110938</v>
      </c>
      <c r="I110" t="s">
        <v>632</v>
      </c>
      <c r="J110" t="s">
        <v>669</v>
      </c>
      <c r="K110" t="s">
        <v>651</v>
      </c>
      <c r="L110" t="s">
        <v>681</v>
      </c>
      <c r="M110" t="s">
        <v>683</v>
      </c>
      <c r="N110" t="s">
        <v>689</v>
      </c>
      <c r="O110" t="s">
        <v>694</v>
      </c>
      <c r="P110" s="4">
        <v>300682</v>
      </c>
      <c r="Q110">
        <v>24</v>
      </c>
      <c r="R110" s="7">
        <v>7.54</v>
      </c>
      <c r="S110" s="8">
        <f>Table1[[#This Row],[Discount_%]]/100</f>
        <v>7.5399999999999995E-2</v>
      </c>
      <c r="T110" s="6" t="s">
        <v>785</v>
      </c>
      <c r="U110" t="s">
        <v>982</v>
      </c>
      <c r="V110">
        <v>2024</v>
      </c>
      <c r="W110" t="s">
        <v>993</v>
      </c>
      <c r="X110" t="s">
        <v>998</v>
      </c>
      <c r="Y110" t="s">
        <v>1002</v>
      </c>
      <c r="Z110">
        <v>2</v>
      </c>
      <c r="AA110">
        <v>26</v>
      </c>
      <c r="AB110" s="4">
        <f>Table1[[#This Row],[Total_Price]]*(1-Table1[[#This Row],[Discount 2]])</f>
        <v>1027173.2748</v>
      </c>
      <c r="AC110" s="4" t="str" cm="1">
        <f t="array" ref="AC110">_xlfn.IFS(Table1[[#This Row],[Revenue]]&gt;=30000000,"High Value",Table1[[#This Row],[Revenue]]&gt;=10000000,"Moderate Value",TRUE,"Low Value")</f>
        <v>Low Value</v>
      </c>
      <c r="AD110" t="str">
        <f>IF(Table1[[#This Row],[Discount 2]]&gt;=5%, "YES", "NO")</f>
        <v>YES</v>
      </c>
      <c r="AE110" t="str" cm="1">
        <f t="array" ref="AE110">_xlfn.IFS(Table1[[#This Row],[Revenue]]&gt;=30000000,"High Spender",Table1[[#This Row],[Revenue]]&gt;=10000000,"Moderate Spender",TRUE,"Low Spender")</f>
        <v>Low Spender</v>
      </c>
      <c r="AF110" s="4" t="str" cm="1">
        <f t="array" ref="AF110">_xlfn.IFS(Table1[[#This Row],[Land_Size_SQM]]&gt;=730,"LARGE",Table1[[#This Row],[Land_Size_SQM]]&gt;=465,"MEDIUM",TRUE,"SMALL")</f>
        <v>SMALL</v>
      </c>
    </row>
    <row r="111" spans="1:32" x14ac:dyDescent="0.3">
      <c r="A111" t="s">
        <v>135</v>
      </c>
      <c r="B111" t="s">
        <v>587</v>
      </c>
      <c r="C111" t="s">
        <v>626</v>
      </c>
      <c r="D111">
        <v>58</v>
      </c>
      <c r="E111" t="s">
        <v>630</v>
      </c>
      <c r="F111">
        <v>906</v>
      </c>
      <c r="G111" s="4">
        <v>9694</v>
      </c>
      <c r="H111" s="4">
        <v>8782764</v>
      </c>
      <c r="I111" t="s">
        <v>644</v>
      </c>
      <c r="J111" t="s">
        <v>668</v>
      </c>
      <c r="K111" t="s">
        <v>677</v>
      </c>
      <c r="L111" t="s">
        <v>681</v>
      </c>
      <c r="M111" t="s">
        <v>686</v>
      </c>
      <c r="N111" t="s">
        <v>691</v>
      </c>
      <c r="O111" t="s">
        <v>694</v>
      </c>
      <c r="P111" s="4">
        <v>3375986</v>
      </c>
      <c r="Q111">
        <v>12</v>
      </c>
      <c r="R111" s="7">
        <v>2.19</v>
      </c>
      <c r="S111" s="8">
        <f>Table1[[#This Row],[Discount_%]]/100</f>
        <v>2.1899999999999999E-2</v>
      </c>
      <c r="T111" s="6" t="s">
        <v>786</v>
      </c>
      <c r="U111" t="s">
        <v>987</v>
      </c>
      <c r="V111">
        <v>2024</v>
      </c>
      <c r="W111" t="s">
        <v>996</v>
      </c>
      <c r="X111" t="s">
        <v>999</v>
      </c>
      <c r="Y111" t="s">
        <v>1001</v>
      </c>
      <c r="Z111">
        <v>5</v>
      </c>
      <c r="AA111">
        <v>6</v>
      </c>
      <c r="AB111" s="4">
        <f>Table1[[#This Row],[Total_Price]]*(1-Table1[[#This Row],[Discount 2]])</f>
        <v>8590421.4683999997</v>
      </c>
      <c r="AC111" s="4" t="str" cm="1">
        <f t="array" ref="AC111">_xlfn.IFS(Table1[[#This Row],[Revenue]]&gt;=30000000,"High Value",Table1[[#This Row],[Revenue]]&gt;=10000000,"Moderate Value",TRUE,"Low Value")</f>
        <v>Low Value</v>
      </c>
      <c r="AD111" t="str">
        <f>IF(Table1[[#This Row],[Discount 2]]&gt;=5%, "YES", "NO")</f>
        <v>NO</v>
      </c>
      <c r="AE111" t="str" cm="1">
        <f t="array" ref="AE111">_xlfn.IFS(Table1[[#This Row],[Revenue]]&gt;=30000000,"High Spender",Table1[[#This Row],[Revenue]]&gt;=10000000,"Moderate Spender",TRUE,"Low Spender")</f>
        <v>Low Spender</v>
      </c>
      <c r="AF111" s="4" t="str" cm="1">
        <f t="array" ref="AF111">_xlfn.IFS(Table1[[#This Row],[Land_Size_SQM]]&gt;=730,"LARGE",Table1[[#This Row],[Land_Size_SQM]]&gt;=465,"MEDIUM",TRUE,"SMALL")</f>
        <v>LARGE</v>
      </c>
    </row>
    <row r="112" spans="1:32" x14ac:dyDescent="0.3">
      <c r="A112" t="s">
        <v>136</v>
      </c>
      <c r="B112" t="s">
        <v>588</v>
      </c>
      <c r="C112" t="s">
        <v>627</v>
      </c>
      <c r="D112">
        <v>56</v>
      </c>
      <c r="E112" t="s">
        <v>629</v>
      </c>
      <c r="F112">
        <v>920</v>
      </c>
      <c r="G112" s="4">
        <v>25709</v>
      </c>
      <c r="H112" s="4">
        <v>23652280</v>
      </c>
      <c r="I112" t="s">
        <v>660</v>
      </c>
      <c r="J112" t="s">
        <v>672</v>
      </c>
      <c r="K112" t="s">
        <v>675</v>
      </c>
      <c r="L112" t="s">
        <v>680</v>
      </c>
      <c r="M112" t="s">
        <v>683</v>
      </c>
      <c r="N112" t="s">
        <v>690</v>
      </c>
      <c r="O112" t="s">
        <v>693</v>
      </c>
      <c r="P112" s="4">
        <v>23652280</v>
      </c>
      <c r="Q112">
        <v>0</v>
      </c>
      <c r="R112" s="7">
        <v>9.17</v>
      </c>
      <c r="S112" s="8">
        <f>Table1[[#This Row],[Discount_%]]/100</f>
        <v>9.1700000000000004E-2</v>
      </c>
      <c r="T112" s="6" t="s">
        <v>787</v>
      </c>
      <c r="U112" t="s">
        <v>981</v>
      </c>
      <c r="V112">
        <v>2024</v>
      </c>
      <c r="W112" t="s">
        <v>995</v>
      </c>
      <c r="X112" t="s">
        <v>999</v>
      </c>
      <c r="Y112" t="s">
        <v>1001</v>
      </c>
      <c r="Z112">
        <v>2</v>
      </c>
      <c r="AA112">
        <v>46</v>
      </c>
      <c r="AB112" s="4">
        <f>Table1[[#This Row],[Total_Price]]*(1-Table1[[#This Row],[Discount 2]])</f>
        <v>21483365.923999999</v>
      </c>
      <c r="AC112" s="4" t="str" cm="1">
        <f t="array" ref="AC112">_xlfn.IFS(Table1[[#This Row],[Revenue]]&gt;=30000000,"High Value",Table1[[#This Row],[Revenue]]&gt;=10000000,"Moderate Value",TRUE,"Low Value")</f>
        <v>Moderate Value</v>
      </c>
      <c r="AD112" t="str">
        <f>IF(Table1[[#This Row],[Discount 2]]&gt;=5%, "YES", "NO")</f>
        <v>YES</v>
      </c>
      <c r="AE112" t="str" cm="1">
        <f t="array" ref="AE112">_xlfn.IFS(Table1[[#This Row],[Revenue]]&gt;=30000000,"High Spender",Table1[[#This Row],[Revenue]]&gt;=10000000,"Moderate Spender",TRUE,"Low Spender")</f>
        <v>Moderate Spender</v>
      </c>
      <c r="AF112" s="4" t="str" cm="1">
        <f t="array" ref="AF112">_xlfn.IFS(Table1[[#This Row],[Land_Size_SQM]]&gt;=730,"LARGE",Table1[[#This Row],[Land_Size_SQM]]&gt;=465,"MEDIUM",TRUE,"SMALL")</f>
        <v>LARGE</v>
      </c>
    </row>
    <row r="113" spans="1:32" x14ac:dyDescent="0.3">
      <c r="A113" t="s">
        <v>137</v>
      </c>
      <c r="B113" t="s">
        <v>552</v>
      </c>
      <c r="C113" t="s">
        <v>627</v>
      </c>
      <c r="D113">
        <v>55</v>
      </c>
      <c r="E113" t="s">
        <v>630</v>
      </c>
      <c r="F113">
        <v>722</v>
      </c>
      <c r="G113" s="4">
        <v>31195</v>
      </c>
      <c r="H113" s="4">
        <v>22522790</v>
      </c>
      <c r="I113" t="s">
        <v>660</v>
      </c>
      <c r="J113" t="s">
        <v>672</v>
      </c>
      <c r="K113" t="s">
        <v>676</v>
      </c>
      <c r="L113" t="s">
        <v>682</v>
      </c>
      <c r="M113" t="s">
        <v>687</v>
      </c>
      <c r="N113" t="s">
        <v>689</v>
      </c>
      <c r="O113" t="s">
        <v>693</v>
      </c>
      <c r="P113" s="4">
        <v>22522790</v>
      </c>
      <c r="Q113">
        <v>0</v>
      </c>
      <c r="R113" s="7">
        <v>4.53</v>
      </c>
      <c r="S113" s="8">
        <f>Table1[[#This Row],[Discount_%]]/100</f>
        <v>4.53E-2</v>
      </c>
      <c r="T113" s="6" t="s">
        <v>788</v>
      </c>
      <c r="U113" t="s">
        <v>986</v>
      </c>
      <c r="V113">
        <v>2024</v>
      </c>
      <c r="W113" t="s">
        <v>995</v>
      </c>
      <c r="X113" t="s">
        <v>998</v>
      </c>
      <c r="Y113" t="s">
        <v>1000</v>
      </c>
      <c r="Z113">
        <v>2</v>
      </c>
      <c r="AA113">
        <v>38</v>
      </c>
      <c r="AB113" s="4">
        <f>Table1[[#This Row],[Total_Price]]*(1-Table1[[#This Row],[Discount 2]])</f>
        <v>21502507.612999998</v>
      </c>
      <c r="AC113" s="4" t="str" cm="1">
        <f t="array" ref="AC113">_xlfn.IFS(Table1[[#This Row],[Revenue]]&gt;=30000000,"High Value",Table1[[#This Row],[Revenue]]&gt;=10000000,"Moderate Value",TRUE,"Low Value")</f>
        <v>Moderate Value</v>
      </c>
      <c r="AD113" t="str">
        <f>IF(Table1[[#This Row],[Discount 2]]&gt;=5%, "YES", "NO")</f>
        <v>NO</v>
      </c>
      <c r="AE113" t="str" cm="1">
        <f t="array" ref="AE113">_xlfn.IFS(Table1[[#This Row],[Revenue]]&gt;=30000000,"High Spender",Table1[[#This Row],[Revenue]]&gt;=10000000,"Moderate Spender",TRUE,"Low Spender")</f>
        <v>Moderate Spender</v>
      </c>
      <c r="AF113" s="4" t="str" cm="1">
        <f t="array" ref="AF113">_xlfn.IFS(Table1[[#This Row],[Land_Size_SQM]]&gt;=730,"LARGE",Table1[[#This Row],[Land_Size_SQM]]&gt;=465,"MEDIUM",TRUE,"SMALL")</f>
        <v>MEDIUM</v>
      </c>
    </row>
    <row r="114" spans="1:32" x14ac:dyDescent="0.3">
      <c r="A114" t="s">
        <v>138</v>
      </c>
      <c r="B114" t="s">
        <v>589</v>
      </c>
      <c r="C114" t="s">
        <v>627</v>
      </c>
      <c r="D114">
        <v>38</v>
      </c>
      <c r="E114" t="s">
        <v>630</v>
      </c>
      <c r="F114">
        <v>552</v>
      </c>
      <c r="G114" s="4">
        <v>47900</v>
      </c>
      <c r="H114" s="4">
        <v>26440800</v>
      </c>
      <c r="I114" t="s">
        <v>664</v>
      </c>
      <c r="J114" t="s">
        <v>673</v>
      </c>
      <c r="K114" t="s">
        <v>640</v>
      </c>
      <c r="L114" t="s">
        <v>680</v>
      </c>
      <c r="M114" t="s">
        <v>683</v>
      </c>
      <c r="N114" t="s">
        <v>691</v>
      </c>
      <c r="O114" t="s">
        <v>693</v>
      </c>
      <c r="P114" s="4">
        <v>26440800</v>
      </c>
      <c r="Q114">
        <v>0</v>
      </c>
      <c r="R114" s="7">
        <v>5.41</v>
      </c>
      <c r="S114" s="8">
        <f>Table1[[#This Row],[Discount_%]]/100</f>
        <v>5.4100000000000002E-2</v>
      </c>
      <c r="T114" s="6" t="s">
        <v>789</v>
      </c>
      <c r="U114" t="s">
        <v>988</v>
      </c>
      <c r="V114">
        <v>2024</v>
      </c>
      <c r="W114" t="s">
        <v>994</v>
      </c>
      <c r="X114" t="s">
        <v>998</v>
      </c>
      <c r="Y114" t="s">
        <v>1002</v>
      </c>
      <c r="Z114">
        <v>4</v>
      </c>
      <c r="AA114">
        <v>25</v>
      </c>
      <c r="AB114" s="4">
        <f>Table1[[#This Row],[Total_Price]]*(1-Table1[[#This Row],[Discount 2]])</f>
        <v>25010352.719999999</v>
      </c>
      <c r="AC114" s="4" t="str" cm="1">
        <f t="array" ref="AC114">_xlfn.IFS(Table1[[#This Row],[Revenue]]&gt;=30000000,"High Value",Table1[[#This Row],[Revenue]]&gt;=10000000,"Moderate Value",TRUE,"Low Value")</f>
        <v>Moderate Value</v>
      </c>
      <c r="AD114" t="str">
        <f>IF(Table1[[#This Row],[Discount 2]]&gt;=5%, "YES", "NO")</f>
        <v>YES</v>
      </c>
      <c r="AE114" t="str" cm="1">
        <f t="array" ref="AE114">_xlfn.IFS(Table1[[#This Row],[Revenue]]&gt;=30000000,"High Spender",Table1[[#This Row],[Revenue]]&gt;=10000000,"Moderate Spender",TRUE,"Low Spender")</f>
        <v>Moderate Spender</v>
      </c>
      <c r="AF114" s="4" t="str" cm="1">
        <f t="array" ref="AF114">_xlfn.IFS(Table1[[#This Row],[Land_Size_SQM]]&gt;=730,"LARGE",Table1[[#This Row],[Land_Size_SQM]]&gt;=465,"MEDIUM",TRUE,"SMALL")</f>
        <v>MEDIUM</v>
      </c>
    </row>
    <row r="115" spans="1:32" x14ac:dyDescent="0.3">
      <c r="A115" t="s">
        <v>139</v>
      </c>
      <c r="B115" t="s">
        <v>590</v>
      </c>
      <c r="C115" t="s">
        <v>627</v>
      </c>
      <c r="D115">
        <v>21</v>
      </c>
      <c r="E115" t="s">
        <v>630</v>
      </c>
      <c r="F115">
        <v>336</v>
      </c>
      <c r="G115" s="4">
        <v>44830</v>
      </c>
      <c r="H115" s="4">
        <v>15062880</v>
      </c>
      <c r="I115" t="s">
        <v>662</v>
      </c>
      <c r="J115" t="s">
        <v>673</v>
      </c>
      <c r="K115" t="s">
        <v>675</v>
      </c>
      <c r="L115" t="s">
        <v>681</v>
      </c>
      <c r="M115" t="s">
        <v>686</v>
      </c>
      <c r="N115" t="s">
        <v>691</v>
      </c>
      <c r="O115" t="s">
        <v>694</v>
      </c>
      <c r="P115" s="4">
        <v>3819074</v>
      </c>
      <c r="Q115">
        <v>3</v>
      </c>
      <c r="R115" s="7">
        <v>5.37</v>
      </c>
      <c r="S115" s="8">
        <f>Table1[[#This Row],[Discount_%]]/100</f>
        <v>5.3699999999999998E-2</v>
      </c>
      <c r="T115" s="6" t="s">
        <v>790</v>
      </c>
      <c r="U115" t="s">
        <v>986</v>
      </c>
      <c r="V115">
        <v>2024</v>
      </c>
      <c r="W115" t="s">
        <v>995</v>
      </c>
      <c r="X115" t="s">
        <v>999</v>
      </c>
      <c r="Y115" t="s">
        <v>1000</v>
      </c>
      <c r="Z115">
        <v>4</v>
      </c>
      <c r="AA115">
        <v>23</v>
      </c>
      <c r="AB115" s="4">
        <f>Table1[[#This Row],[Total_Price]]*(1-Table1[[#This Row],[Discount 2]])</f>
        <v>14254003.344000001</v>
      </c>
      <c r="AC115" s="4" t="str" cm="1">
        <f t="array" ref="AC115">_xlfn.IFS(Table1[[#This Row],[Revenue]]&gt;=30000000,"High Value",Table1[[#This Row],[Revenue]]&gt;=10000000,"Moderate Value",TRUE,"Low Value")</f>
        <v>Moderate Value</v>
      </c>
      <c r="AD115" t="str">
        <f>IF(Table1[[#This Row],[Discount 2]]&gt;=5%, "YES", "NO")</f>
        <v>YES</v>
      </c>
      <c r="AE115" t="str" cm="1">
        <f t="array" ref="AE115">_xlfn.IFS(Table1[[#This Row],[Revenue]]&gt;=30000000,"High Spender",Table1[[#This Row],[Revenue]]&gt;=10000000,"Moderate Spender",TRUE,"Low Spender")</f>
        <v>Moderate Spender</v>
      </c>
      <c r="AF115" s="4" t="str" cm="1">
        <f t="array" ref="AF115">_xlfn.IFS(Table1[[#This Row],[Land_Size_SQM]]&gt;=730,"LARGE",Table1[[#This Row],[Land_Size_SQM]]&gt;=465,"MEDIUM",TRUE,"SMALL")</f>
        <v>SMALL</v>
      </c>
    </row>
    <row r="116" spans="1:32" x14ac:dyDescent="0.3">
      <c r="A116" t="s">
        <v>140</v>
      </c>
      <c r="B116" t="s">
        <v>547</v>
      </c>
      <c r="C116" t="s">
        <v>627</v>
      </c>
      <c r="D116">
        <v>33</v>
      </c>
      <c r="E116" t="s">
        <v>628</v>
      </c>
      <c r="F116">
        <v>942</v>
      </c>
      <c r="G116" s="4">
        <v>9395</v>
      </c>
      <c r="H116" s="4">
        <v>8850090</v>
      </c>
      <c r="I116" t="s">
        <v>651</v>
      </c>
      <c r="J116" t="s">
        <v>669</v>
      </c>
      <c r="K116" t="s">
        <v>679</v>
      </c>
      <c r="L116" t="s">
        <v>680</v>
      </c>
      <c r="M116" t="s">
        <v>686</v>
      </c>
      <c r="N116" t="s">
        <v>689</v>
      </c>
      <c r="O116" t="s">
        <v>693</v>
      </c>
      <c r="P116" s="4">
        <v>8850090</v>
      </c>
      <c r="Q116">
        <v>0</v>
      </c>
      <c r="R116" s="7">
        <v>8.09</v>
      </c>
      <c r="S116" s="8">
        <f>Table1[[#This Row],[Discount_%]]/100</f>
        <v>8.09E-2</v>
      </c>
      <c r="T116" s="6" t="s">
        <v>767</v>
      </c>
      <c r="U116" t="s">
        <v>989</v>
      </c>
      <c r="V116">
        <v>2024</v>
      </c>
      <c r="W116" t="s">
        <v>995</v>
      </c>
      <c r="X116" t="s">
        <v>997</v>
      </c>
      <c r="Y116" t="s">
        <v>1001</v>
      </c>
      <c r="Z116">
        <v>1</v>
      </c>
      <c r="AA116">
        <v>16</v>
      </c>
      <c r="AB116" s="4">
        <f>Table1[[#This Row],[Total_Price]]*(1-Table1[[#This Row],[Discount 2]])</f>
        <v>8134117.7190000005</v>
      </c>
      <c r="AC116" s="4" t="str" cm="1">
        <f t="array" ref="AC116">_xlfn.IFS(Table1[[#This Row],[Revenue]]&gt;=30000000,"High Value",Table1[[#This Row],[Revenue]]&gt;=10000000,"Moderate Value",TRUE,"Low Value")</f>
        <v>Low Value</v>
      </c>
      <c r="AD116" t="str">
        <f>IF(Table1[[#This Row],[Discount 2]]&gt;=5%, "YES", "NO")</f>
        <v>YES</v>
      </c>
      <c r="AE116" t="str" cm="1">
        <f t="array" ref="AE116">_xlfn.IFS(Table1[[#This Row],[Revenue]]&gt;=30000000,"High Spender",Table1[[#This Row],[Revenue]]&gt;=10000000,"Moderate Spender",TRUE,"Low Spender")</f>
        <v>Low Spender</v>
      </c>
      <c r="AF116" s="4" t="str" cm="1">
        <f t="array" ref="AF116">_xlfn.IFS(Table1[[#This Row],[Land_Size_SQM]]&gt;=730,"LARGE",Table1[[#This Row],[Land_Size_SQM]]&gt;=465,"MEDIUM",TRUE,"SMALL")</f>
        <v>LARGE</v>
      </c>
    </row>
    <row r="117" spans="1:32" x14ac:dyDescent="0.3">
      <c r="A117" t="s">
        <v>141</v>
      </c>
      <c r="B117" t="s">
        <v>567</v>
      </c>
      <c r="C117" t="s">
        <v>626</v>
      </c>
      <c r="D117">
        <v>34</v>
      </c>
      <c r="E117" t="s">
        <v>629</v>
      </c>
      <c r="F117">
        <v>649</v>
      </c>
      <c r="G117" s="4">
        <v>17357</v>
      </c>
      <c r="H117" s="4">
        <v>11264693</v>
      </c>
      <c r="I117" t="s">
        <v>631</v>
      </c>
      <c r="J117" t="s">
        <v>668</v>
      </c>
      <c r="K117" t="s">
        <v>640</v>
      </c>
      <c r="L117" t="s">
        <v>682</v>
      </c>
      <c r="M117" t="s">
        <v>687</v>
      </c>
      <c r="N117" t="s">
        <v>692</v>
      </c>
      <c r="O117" t="s">
        <v>693</v>
      </c>
      <c r="P117" s="4">
        <v>11264693</v>
      </c>
      <c r="Q117">
        <v>0</v>
      </c>
      <c r="R117" s="7">
        <v>7.54</v>
      </c>
      <c r="S117" s="8">
        <f>Table1[[#This Row],[Discount_%]]/100</f>
        <v>7.5399999999999995E-2</v>
      </c>
      <c r="T117" s="6" t="s">
        <v>791</v>
      </c>
      <c r="U117" t="s">
        <v>988</v>
      </c>
      <c r="V117">
        <v>2024</v>
      </c>
      <c r="W117" t="s">
        <v>994</v>
      </c>
      <c r="X117" t="s">
        <v>999</v>
      </c>
      <c r="Y117" t="s">
        <v>1002</v>
      </c>
      <c r="Z117">
        <v>2</v>
      </c>
      <c r="AA117">
        <v>43</v>
      </c>
      <c r="AB117" s="4">
        <f>Table1[[#This Row],[Total_Price]]*(1-Table1[[#This Row],[Discount 2]])</f>
        <v>10415335.1478</v>
      </c>
      <c r="AC117" s="4" t="str" cm="1">
        <f t="array" ref="AC117">_xlfn.IFS(Table1[[#This Row],[Revenue]]&gt;=30000000,"High Value",Table1[[#This Row],[Revenue]]&gt;=10000000,"Moderate Value",TRUE,"Low Value")</f>
        <v>Moderate Value</v>
      </c>
      <c r="AD117" t="str">
        <f>IF(Table1[[#This Row],[Discount 2]]&gt;=5%, "YES", "NO")</f>
        <v>YES</v>
      </c>
      <c r="AE117" t="str" cm="1">
        <f t="array" ref="AE117">_xlfn.IFS(Table1[[#This Row],[Revenue]]&gt;=30000000,"High Spender",Table1[[#This Row],[Revenue]]&gt;=10000000,"Moderate Spender",TRUE,"Low Spender")</f>
        <v>Moderate Spender</v>
      </c>
      <c r="AF117" s="4" t="str" cm="1">
        <f t="array" ref="AF117">_xlfn.IFS(Table1[[#This Row],[Land_Size_SQM]]&gt;=730,"LARGE",Table1[[#This Row],[Land_Size_SQM]]&gt;=465,"MEDIUM",TRUE,"SMALL")</f>
        <v>MEDIUM</v>
      </c>
    </row>
    <row r="118" spans="1:32" x14ac:dyDescent="0.3">
      <c r="A118" t="s">
        <v>142</v>
      </c>
      <c r="B118" t="s">
        <v>537</v>
      </c>
      <c r="C118" t="s">
        <v>626</v>
      </c>
      <c r="D118">
        <v>23</v>
      </c>
      <c r="E118" t="s">
        <v>630</v>
      </c>
      <c r="F118">
        <v>507</v>
      </c>
      <c r="G118" s="4">
        <v>20032</v>
      </c>
      <c r="H118" s="4">
        <v>10156224</v>
      </c>
      <c r="I118" t="s">
        <v>640</v>
      </c>
      <c r="J118" t="s">
        <v>672</v>
      </c>
      <c r="K118" t="s">
        <v>640</v>
      </c>
      <c r="L118" t="s">
        <v>682</v>
      </c>
      <c r="M118" t="s">
        <v>684</v>
      </c>
      <c r="N118" t="s">
        <v>692</v>
      </c>
      <c r="O118" t="s">
        <v>693</v>
      </c>
      <c r="P118" s="4">
        <v>10156224</v>
      </c>
      <c r="Q118">
        <v>0</v>
      </c>
      <c r="R118" s="7">
        <v>5.57</v>
      </c>
      <c r="S118" s="8">
        <f>Table1[[#This Row],[Discount_%]]/100</f>
        <v>5.57E-2</v>
      </c>
      <c r="T118" s="6" t="s">
        <v>792</v>
      </c>
      <c r="U118" t="s">
        <v>985</v>
      </c>
      <c r="V118">
        <v>2024</v>
      </c>
      <c r="W118" t="s">
        <v>994</v>
      </c>
      <c r="X118" t="s">
        <v>997</v>
      </c>
      <c r="Y118" t="s">
        <v>1002</v>
      </c>
      <c r="Z118">
        <v>4</v>
      </c>
      <c r="AA118">
        <v>10</v>
      </c>
      <c r="AB118" s="4">
        <f>Table1[[#This Row],[Total_Price]]*(1-Table1[[#This Row],[Discount 2]])</f>
        <v>9590522.3232000005</v>
      </c>
      <c r="AC118" s="4" t="str" cm="1">
        <f t="array" ref="AC118">_xlfn.IFS(Table1[[#This Row],[Revenue]]&gt;=30000000,"High Value",Table1[[#This Row],[Revenue]]&gt;=10000000,"Moderate Value",TRUE,"Low Value")</f>
        <v>Low Value</v>
      </c>
      <c r="AD118" t="str">
        <f>IF(Table1[[#This Row],[Discount 2]]&gt;=5%, "YES", "NO")</f>
        <v>YES</v>
      </c>
      <c r="AE118" t="str" cm="1">
        <f t="array" ref="AE118">_xlfn.IFS(Table1[[#This Row],[Revenue]]&gt;=30000000,"High Spender",Table1[[#This Row],[Revenue]]&gt;=10000000,"Moderate Spender",TRUE,"Low Spender")</f>
        <v>Low Spender</v>
      </c>
      <c r="AF118" s="4" t="str" cm="1">
        <f t="array" ref="AF118">_xlfn.IFS(Table1[[#This Row],[Land_Size_SQM]]&gt;=730,"LARGE",Table1[[#This Row],[Land_Size_SQM]]&gt;=465,"MEDIUM",TRUE,"SMALL")</f>
        <v>MEDIUM</v>
      </c>
    </row>
    <row r="119" spans="1:32" x14ac:dyDescent="0.3">
      <c r="A119" t="s">
        <v>143</v>
      </c>
      <c r="B119" t="s">
        <v>548</v>
      </c>
      <c r="C119" t="s">
        <v>627</v>
      </c>
      <c r="D119">
        <v>55</v>
      </c>
      <c r="E119" t="s">
        <v>630</v>
      </c>
      <c r="F119">
        <v>972</v>
      </c>
      <c r="G119" s="4">
        <v>37253</v>
      </c>
      <c r="H119" s="4">
        <v>36209916</v>
      </c>
      <c r="I119" t="s">
        <v>639</v>
      </c>
      <c r="J119" t="s">
        <v>671</v>
      </c>
      <c r="K119" t="s">
        <v>638</v>
      </c>
      <c r="L119" t="s">
        <v>681</v>
      </c>
      <c r="M119" t="s">
        <v>686</v>
      </c>
      <c r="N119" t="s">
        <v>692</v>
      </c>
      <c r="O119" t="s">
        <v>694</v>
      </c>
      <c r="P119" s="4">
        <v>16468352</v>
      </c>
      <c r="Q119">
        <v>6</v>
      </c>
      <c r="R119" s="7">
        <v>3.01</v>
      </c>
      <c r="S119" s="8">
        <f>Table1[[#This Row],[Discount_%]]/100</f>
        <v>3.0099999999999998E-2</v>
      </c>
      <c r="T119" s="6" t="s">
        <v>793</v>
      </c>
      <c r="U119" t="s">
        <v>984</v>
      </c>
      <c r="V119">
        <v>2024</v>
      </c>
      <c r="W119" t="s">
        <v>996</v>
      </c>
      <c r="X119" t="s">
        <v>998</v>
      </c>
      <c r="Y119" t="s">
        <v>1000</v>
      </c>
      <c r="Z119">
        <v>3</v>
      </c>
      <c r="AA119">
        <v>14</v>
      </c>
      <c r="AB119" s="4">
        <f>Table1[[#This Row],[Total_Price]]*(1-Table1[[#This Row],[Discount 2]])</f>
        <v>35119997.528399996</v>
      </c>
      <c r="AC119" s="4" t="str" cm="1">
        <f t="array" ref="AC119">_xlfn.IFS(Table1[[#This Row],[Revenue]]&gt;=30000000,"High Value",Table1[[#This Row],[Revenue]]&gt;=10000000,"Moderate Value",TRUE,"Low Value")</f>
        <v>High Value</v>
      </c>
      <c r="AD119" t="str">
        <f>IF(Table1[[#This Row],[Discount 2]]&gt;=5%, "YES", "NO")</f>
        <v>NO</v>
      </c>
      <c r="AE119" t="str" cm="1">
        <f t="array" ref="AE119">_xlfn.IFS(Table1[[#This Row],[Revenue]]&gt;=30000000,"High Spender",Table1[[#This Row],[Revenue]]&gt;=10000000,"Moderate Spender",TRUE,"Low Spender")</f>
        <v>High Spender</v>
      </c>
      <c r="AF119" s="4" t="str" cm="1">
        <f t="array" ref="AF119">_xlfn.IFS(Table1[[#This Row],[Land_Size_SQM]]&gt;=730,"LARGE",Table1[[#This Row],[Land_Size_SQM]]&gt;=465,"MEDIUM",TRUE,"SMALL")</f>
        <v>LARGE</v>
      </c>
    </row>
    <row r="120" spans="1:32" x14ac:dyDescent="0.3">
      <c r="A120" t="s">
        <v>144</v>
      </c>
      <c r="B120" t="s">
        <v>591</v>
      </c>
      <c r="C120" t="s">
        <v>626</v>
      </c>
      <c r="D120">
        <v>63</v>
      </c>
      <c r="E120" t="s">
        <v>629</v>
      </c>
      <c r="F120">
        <v>660</v>
      </c>
      <c r="G120" s="4">
        <v>26318</v>
      </c>
      <c r="H120" s="4">
        <v>17369880</v>
      </c>
      <c r="I120" t="s">
        <v>636</v>
      </c>
      <c r="J120" t="s">
        <v>671</v>
      </c>
      <c r="K120" t="s">
        <v>676</v>
      </c>
      <c r="L120" t="s">
        <v>682</v>
      </c>
      <c r="M120" t="s">
        <v>685</v>
      </c>
      <c r="N120" t="s">
        <v>689</v>
      </c>
      <c r="O120" t="s">
        <v>693</v>
      </c>
      <c r="P120" s="4">
        <v>17369880</v>
      </c>
      <c r="Q120">
        <v>0</v>
      </c>
      <c r="R120" s="7">
        <v>5.36</v>
      </c>
      <c r="S120" s="8">
        <f>Table1[[#This Row],[Discount_%]]/100</f>
        <v>5.3600000000000002E-2</v>
      </c>
      <c r="T120" s="6" t="s">
        <v>794</v>
      </c>
      <c r="U120" t="s">
        <v>990</v>
      </c>
      <c r="V120">
        <v>2024</v>
      </c>
      <c r="W120" t="s">
        <v>996</v>
      </c>
      <c r="X120" t="s">
        <v>997</v>
      </c>
      <c r="Y120" t="s">
        <v>1001</v>
      </c>
      <c r="Z120">
        <v>5</v>
      </c>
      <c r="AA120">
        <v>14</v>
      </c>
      <c r="AB120" s="4">
        <f>Table1[[#This Row],[Total_Price]]*(1-Table1[[#This Row],[Discount 2]])</f>
        <v>16438854.432</v>
      </c>
      <c r="AC120" s="4" t="str" cm="1">
        <f t="array" ref="AC120">_xlfn.IFS(Table1[[#This Row],[Revenue]]&gt;=30000000,"High Value",Table1[[#This Row],[Revenue]]&gt;=10000000,"Moderate Value",TRUE,"Low Value")</f>
        <v>Moderate Value</v>
      </c>
      <c r="AD120" t="str">
        <f>IF(Table1[[#This Row],[Discount 2]]&gt;=5%, "YES", "NO")</f>
        <v>YES</v>
      </c>
      <c r="AE120" t="str" cm="1">
        <f t="array" ref="AE120">_xlfn.IFS(Table1[[#This Row],[Revenue]]&gt;=30000000,"High Spender",Table1[[#This Row],[Revenue]]&gt;=10000000,"Moderate Spender",TRUE,"Low Spender")</f>
        <v>Moderate Spender</v>
      </c>
      <c r="AF120" s="4" t="str" cm="1">
        <f t="array" ref="AF120">_xlfn.IFS(Table1[[#This Row],[Land_Size_SQM]]&gt;=730,"LARGE",Table1[[#This Row],[Land_Size_SQM]]&gt;=465,"MEDIUM",TRUE,"SMALL")</f>
        <v>MEDIUM</v>
      </c>
    </row>
    <row r="121" spans="1:32" x14ac:dyDescent="0.3">
      <c r="A121" t="s">
        <v>145</v>
      </c>
      <c r="B121" t="s">
        <v>572</v>
      </c>
      <c r="C121" t="s">
        <v>627</v>
      </c>
      <c r="D121">
        <v>45</v>
      </c>
      <c r="E121" t="s">
        <v>628</v>
      </c>
      <c r="F121">
        <v>510</v>
      </c>
      <c r="G121" s="4">
        <v>3004</v>
      </c>
      <c r="H121" s="4">
        <v>1532040</v>
      </c>
      <c r="I121" t="s">
        <v>650</v>
      </c>
      <c r="J121" t="s">
        <v>670</v>
      </c>
      <c r="K121" t="s">
        <v>651</v>
      </c>
      <c r="L121" t="s">
        <v>682</v>
      </c>
      <c r="M121" t="s">
        <v>687</v>
      </c>
      <c r="N121" t="s">
        <v>690</v>
      </c>
      <c r="O121" t="s">
        <v>693</v>
      </c>
      <c r="P121" s="4">
        <v>1532040</v>
      </c>
      <c r="Q121">
        <v>0</v>
      </c>
      <c r="R121" s="7">
        <v>9.3699999999999992</v>
      </c>
      <c r="S121" s="8">
        <f>Table1[[#This Row],[Discount_%]]/100</f>
        <v>9.3699999999999992E-2</v>
      </c>
      <c r="T121" s="6" t="s">
        <v>735</v>
      </c>
      <c r="U121" t="s">
        <v>987</v>
      </c>
      <c r="V121">
        <v>2024</v>
      </c>
      <c r="W121" t="s">
        <v>995</v>
      </c>
      <c r="X121" t="s">
        <v>998</v>
      </c>
      <c r="Y121" t="s">
        <v>1001</v>
      </c>
      <c r="Z121">
        <v>3</v>
      </c>
      <c r="AA121">
        <v>20</v>
      </c>
      <c r="AB121" s="4">
        <f>Table1[[#This Row],[Total_Price]]*(1-Table1[[#This Row],[Discount 2]])</f>
        <v>1388487.852</v>
      </c>
      <c r="AC121" s="4" t="str" cm="1">
        <f t="array" ref="AC121">_xlfn.IFS(Table1[[#This Row],[Revenue]]&gt;=30000000,"High Value",Table1[[#This Row],[Revenue]]&gt;=10000000,"Moderate Value",TRUE,"Low Value")</f>
        <v>Low Value</v>
      </c>
      <c r="AD121" t="str">
        <f>IF(Table1[[#This Row],[Discount 2]]&gt;=5%, "YES", "NO")</f>
        <v>YES</v>
      </c>
      <c r="AE121" t="str" cm="1">
        <f t="array" ref="AE121">_xlfn.IFS(Table1[[#This Row],[Revenue]]&gt;=30000000,"High Spender",Table1[[#This Row],[Revenue]]&gt;=10000000,"Moderate Spender",TRUE,"Low Spender")</f>
        <v>Low Spender</v>
      </c>
      <c r="AF121" s="4" t="str" cm="1">
        <f t="array" ref="AF121">_xlfn.IFS(Table1[[#This Row],[Land_Size_SQM]]&gt;=730,"LARGE",Table1[[#This Row],[Land_Size_SQM]]&gt;=465,"MEDIUM",TRUE,"SMALL")</f>
        <v>MEDIUM</v>
      </c>
    </row>
    <row r="122" spans="1:32" x14ac:dyDescent="0.3">
      <c r="A122" t="s">
        <v>146</v>
      </c>
      <c r="B122" t="s">
        <v>530</v>
      </c>
      <c r="C122" t="s">
        <v>626</v>
      </c>
      <c r="D122">
        <v>40</v>
      </c>
      <c r="E122" t="s">
        <v>630</v>
      </c>
      <c r="F122">
        <v>709</v>
      </c>
      <c r="G122" s="4">
        <v>32540</v>
      </c>
      <c r="H122" s="4">
        <v>23070860</v>
      </c>
      <c r="I122" t="s">
        <v>657</v>
      </c>
      <c r="J122" t="s">
        <v>671</v>
      </c>
      <c r="K122" t="s">
        <v>675</v>
      </c>
      <c r="L122" t="s">
        <v>680</v>
      </c>
      <c r="M122" t="s">
        <v>686</v>
      </c>
      <c r="N122" t="s">
        <v>688</v>
      </c>
      <c r="O122" t="s">
        <v>693</v>
      </c>
      <c r="P122" s="4">
        <v>23070860</v>
      </c>
      <c r="Q122">
        <v>0</v>
      </c>
      <c r="R122" s="7">
        <v>8.0299999999999994</v>
      </c>
      <c r="S122" s="8">
        <f>Table1[[#This Row],[Discount_%]]/100</f>
        <v>8.0299999999999996E-2</v>
      </c>
      <c r="T122" s="6" t="s">
        <v>795</v>
      </c>
      <c r="U122" t="s">
        <v>989</v>
      </c>
      <c r="V122">
        <v>2024</v>
      </c>
      <c r="W122" t="s">
        <v>996</v>
      </c>
      <c r="X122" t="s">
        <v>999</v>
      </c>
      <c r="Y122" t="s">
        <v>1002</v>
      </c>
      <c r="Z122">
        <v>5</v>
      </c>
      <c r="AA122">
        <v>38</v>
      </c>
      <c r="AB122" s="4">
        <f>Table1[[#This Row],[Total_Price]]*(1-Table1[[#This Row],[Discount 2]])</f>
        <v>21218269.941999998</v>
      </c>
      <c r="AC122" s="4" t="str" cm="1">
        <f t="array" ref="AC122">_xlfn.IFS(Table1[[#This Row],[Revenue]]&gt;=30000000,"High Value",Table1[[#This Row],[Revenue]]&gt;=10000000,"Moderate Value",TRUE,"Low Value")</f>
        <v>Moderate Value</v>
      </c>
      <c r="AD122" t="str">
        <f>IF(Table1[[#This Row],[Discount 2]]&gt;=5%, "YES", "NO")</f>
        <v>YES</v>
      </c>
      <c r="AE122" t="str" cm="1">
        <f t="array" ref="AE122">_xlfn.IFS(Table1[[#This Row],[Revenue]]&gt;=30000000,"High Spender",Table1[[#This Row],[Revenue]]&gt;=10000000,"Moderate Spender",TRUE,"Low Spender")</f>
        <v>Moderate Spender</v>
      </c>
      <c r="AF122" s="4" t="str" cm="1">
        <f t="array" ref="AF122">_xlfn.IFS(Table1[[#This Row],[Land_Size_SQM]]&gt;=730,"LARGE",Table1[[#This Row],[Land_Size_SQM]]&gt;=465,"MEDIUM",TRUE,"SMALL")</f>
        <v>MEDIUM</v>
      </c>
    </row>
    <row r="123" spans="1:32" x14ac:dyDescent="0.3">
      <c r="A123" t="s">
        <v>147</v>
      </c>
      <c r="B123" t="s">
        <v>550</v>
      </c>
      <c r="C123" t="s">
        <v>626</v>
      </c>
      <c r="D123">
        <v>55</v>
      </c>
      <c r="E123" t="s">
        <v>629</v>
      </c>
      <c r="F123">
        <v>502</v>
      </c>
      <c r="G123" s="4">
        <v>11988</v>
      </c>
      <c r="H123" s="4">
        <v>6017976</v>
      </c>
      <c r="I123" t="s">
        <v>655</v>
      </c>
      <c r="J123" t="s">
        <v>672</v>
      </c>
      <c r="K123" t="s">
        <v>640</v>
      </c>
      <c r="L123" t="s">
        <v>682</v>
      </c>
      <c r="M123" t="s">
        <v>687</v>
      </c>
      <c r="N123" t="s">
        <v>690</v>
      </c>
      <c r="O123" t="s">
        <v>693</v>
      </c>
      <c r="P123" s="4">
        <v>6017976</v>
      </c>
      <c r="Q123">
        <v>0</v>
      </c>
      <c r="R123" s="7">
        <v>3.3</v>
      </c>
      <c r="S123" s="8">
        <f>Table1[[#This Row],[Discount_%]]/100</f>
        <v>3.3000000000000002E-2</v>
      </c>
      <c r="T123" s="6" t="s">
        <v>716</v>
      </c>
      <c r="U123" t="s">
        <v>991</v>
      </c>
      <c r="V123">
        <v>2024</v>
      </c>
      <c r="W123" t="s">
        <v>995</v>
      </c>
      <c r="X123" t="s">
        <v>997</v>
      </c>
      <c r="Y123" t="s">
        <v>1001</v>
      </c>
      <c r="Z123">
        <v>4</v>
      </c>
      <c r="AA123">
        <v>30</v>
      </c>
      <c r="AB123" s="4">
        <f>Table1[[#This Row],[Total_Price]]*(1-Table1[[#This Row],[Discount 2]])</f>
        <v>5819382.7919999994</v>
      </c>
      <c r="AC123" s="4" t="str" cm="1">
        <f t="array" ref="AC123">_xlfn.IFS(Table1[[#This Row],[Revenue]]&gt;=30000000,"High Value",Table1[[#This Row],[Revenue]]&gt;=10000000,"Moderate Value",TRUE,"Low Value")</f>
        <v>Low Value</v>
      </c>
      <c r="AD123" t="str">
        <f>IF(Table1[[#This Row],[Discount 2]]&gt;=5%, "YES", "NO")</f>
        <v>NO</v>
      </c>
      <c r="AE123" t="str" cm="1">
        <f t="array" ref="AE123">_xlfn.IFS(Table1[[#This Row],[Revenue]]&gt;=30000000,"High Spender",Table1[[#This Row],[Revenue]]&gt;=10000000,"Moderate Spender",TRUE,"Low Spender")</f>
        <v>Low Spender</v>
      </c>
      <c r="AF123" s="4" t="str" cm="1">
        <f t="array" ref="AF123">_xlfn.IFS(Table1[[#This Row],[Land_Size_SQM]]&gt;=730,"LARGE",Table1[[#This Row],[Land_Size_SQM]]&gt;=465,"MEDIUM",TRUE,"SMALL")</f>
        <v>MEDIUM</v>
      </c>
    </row>
    <row r="124" spans="1:32" x14ac:dyDescent="0.3">
      <c r="A124" t="s">
        <v>148</v>
      </c>
      <c r="B124" t="s">
        <v>588</v>
      </c>
      <c r="C124" t="s">
        <v>627</v>
      </c>
      <c r="D124">
        <v>24</v>
      </c>
      <c r="E124" t="s">
        <v>629</v>
      </c>
      <c r="F124">
        <v>343</v>
      </c>
      <c r="G124" s="4">
        <v>49206</v>
      </c>
      <c r="H124" s="4">
        <v>16877658</v>
      </c>
      <c r="I124" t="s">
        <v>651</v>
      </c>
      <c r="J124" t="s">
        <v>669</v>
      </c>
      <c r="K124" t="s">
        <v>638</v>
      </c>
      <c r="L124" t="s">
        <v>680</v>
      </c>
      <c r="M124" t="s">
        <v>685</v>
      </c>
      <c r="N124" t="s">
        <v>691</v>
      </c>
      <c r="O124" t="s">
        <v>694</v>
      </c>
      <c r="P124" s="4">
        <v>8018066</v>
      </c>
      <c r="Q124">
        <v>6</v>
      </c>
      <c r="R124" s="7">
        <v>5.42</v>
      </c>
      <c r="S124" s="8">
        <f>Table1[[#This Row],[Discount_%]]/100</f>
        <v>5.4199999999999998E-2</v>
      </c>
      <c r="T124" s="6" t="s">
        <v>796</v>
      </c>
      <c r="U124" t="s">
        <v>983</v>
      </c>
      <c r="V124">
        <v>2024</v>
      </c>
      <c r="W124" t="s">
        <v>996</v>
      </c>
      <c r="X124" t="s">
        <v>997</v>
      </c>
      <c r="Y124" t="s">
        <v>1000</v>
      </c>
      <c r="Z124">
        <v>1</v>
      </c>
      <c r="AA124">
        <v>46</v>
      </c>
      <c r="AB124" s="4">
        <f>Table1[[#This Row],[Total_Price]]*(1-Table1[[#This Row],[Discount 2]])</f>
        <v>15962888.9364</v>
      </c>
      <c r="AC124" s="4" t="str" cm="1">
        <f t="array" ref="AC124">_xlfn.IFS(Table1[[#This Row],[Revenue]]&gt;=30000000,"High Value",Table1[[#This Row],[Revenue]]&gt;=10000000,"Moderate Value",TRUE,"Low Value")</f>
        <v>Moderate Value</v>
      </c>
      <c r="AD124" t="str">
        <f>IF(Table1[[#This Row],[Discount 2]]&gt;=5%, "YES", "NO")</f>
        <v>YES</v>
      </c>
      <c r="AE124" t="str" cm="1">
        <f t="array" ref="AE124">_xlfn.IFS(Table1[[#This Row],[Revenue]]&gt;=30000000,"High Spender",Table1[[#This Row],[Revenue]]&gt;=10000000,"Moderate Spender",TRUE,"Low Spender")</f>
        <v>Moderate Spender</v>
      </c>
      <c r="AF124" s="4" t="str" cm="1">
        <f t="array" ref="AF124">_xlfn.IFS(Table1[[#This Row],[Land_Size_SQM]]&gt;=730,"LARGE",Table1[[#This Row],[Land_Size_SQM]]&gt;=465,"MEDIUM",TRUE,"SMALL")</f>
        <v>SMALL</v>
      </c>
    </row>
    <row r="125" spans="1:32" x14ac:dyDescent="0.3">
      <c r="A125" t="s">
        <v>149</v>
      </c>
      <c r="B125" t="s">
        <v>555</v>
      </c>
      <c r="C125" t="s">
        <v>627</v>
      </c>
      <c r="D125">
        <v>20</v>
      </c>
      <c r="E125" t="s">
        <v>629</v>
      </c>
      <c r="F125">
        <v>717</v>
      </c>
      <c r="G125" s="4">
        <v>31885</v>
      </c>
      <c r="H125" s="4">
        <v>22861545</v>
      </c>
      <c r="I125" t="s">
        <v>649</v>
      </c>
      <c r="J125" t="s">
        <v>669</v>
      </c>
      <c r="K125" t="s">
        <v>679</v>
      </c>
      <c r="L125" t="s">
        <v>682</v>
      </c>
      <c r="M125" t="s">
        <v>684</v>
      </c>
      <c r="N125" t="s">
        <v>689</v>
      </c>
      <c r="O125" t="s">
        <v>694</v>
      </c>
      <c r="P125" s="4">
        <v>8809709</v>
      </c>
      <c r="Q125">
        <v>3</v>
      </c>
      <c r="R125" s="7">
        <v>6.67</v>
      </c>
      <c r="S125" s="8">
        <f>Table1[[#This Row],[Discount_%]]/100</f>
        <v>6.6699999999999995E-2</v>
      </c>
      <c r="T125" s="6" t="s">
        <v>746</v>
      </c>
      <c r="U125" t="s">
        <v>983</v>
      </c>
      <c r="V125">
        <v>2024</v>
      </c>
      <c r="W125" t="s">
        <v>993</v>
      </c>
      <c r="X125" t="s">
        <v>997</v>
      </c>
      <c r="Y125" t="s">
        <v>1001</v>
      </c>
      <c r="Z125">
        <v>3</v>
      </c>
      <c r="AA125">
        <v>35</v>
      </c>
      <c r="AB125" s="4">
        <f>Table1[[#This Row],[Total_Price]]*(1-Table1[[#This Row],[Discount 2]])</f>
        <v>21336679.9485</v>
      </c>
      <c r="AC125" s="4" t="str" cm="1">
        <f t="array" ref="AC125">_xlfn.IFS(Table1[[#This Row],[Revenue]]&gt;=30000000,"High Value",Table1[[#This Row],[Revenue]]&gt;=10000000,"Moderate Value",TRUE,"Low Value")</f>
        <v>Moderate Value</v>
      </c>
      <c r="AD125" t="str">
        <f>IF(Table1[[#This Row],[Discount 2]]&gt;=5%, "YES", "NO")</f>
        <v>YES</v>
      </c>
      <c r="AE125" t="str" cm="1">
        <f t="array" ref="AE125">_xlfn.IFS(Table1[[#This Row],[Revenue]]&gt;=30000000,"High Spender",Table1[[#This Row],[Revenue]]&gt;=10000000,"Moderate Spender",TRUE,"Low Spender")</f>
        <v>Moderate Spender</v>
      </c>
      <c r="AF125" s="4" t="str" cm="1">
        <f t="array" ref="AF125">_xlfn.IFS(Table1[[#This Row],[Land_Size_SQM]]&gt;=730,"LARGE",Table1[[#This Row],[Land_Size_SQM]]&gt;=465,"MEDIUM",TRUE,"SMALL")</f>
        <v>MEDIUM</v>
      </c>
    </row>
    <row r="126" spans="1:32" x14ac:dyDescent="0.3">
      <c r="A126" t="s">
        <v>150</v>
      </c>
      <c r="B126" t="s">
        <v>592</v>
      </c>
      <c r="C126" t="s">
        <v>626</v>
      </c>
      <c r="D126">
        <v>42</v>
      </c>
      <c r="E126" t="s">
        <v>630</v>
      </c>
      <c r="F126">
        <v>914</v>
      </c>
      <c r="G126" s="4">
        <v>46173</v>
      </c>
      <c r="H126" s="4">
        <v>42202122</v>
      </c>
      <c r="I126" t="s">
        <v>643</v>
      </c>
      <c r="J126" t="s">
        <v>671</v>
      </c>
      <c r="K126" t="s">
        <v>675</v>
      </c>
      <c r="L126" t="s">
        <v>681</v>
      </c>
      <c r="M126" t="s">
        <v>685</v>
      </c>
      <c r="N126" t="s">
        <v>690</v>
      </c>
      <c r="O126" t="s">
        <v>694</v>
      </c>
      <c r="P126" s="4">
        <v>9795321</v>
      </c>
      <c r="Q126">
        <v>6</v>
      </c>
      <c r="R126" s="7">
        <v>0.96</v>
      </c>
      <c r="S126" s="8">
        <f>Table1[[#This Row],[Discount_%]]/100</f>
        <v>9.5999999999999992E-3</v>
      </c>
      <c r="T126" s="6" t="s">
        <v>797</v>
      </c>
      <c r="U126" t="s">
        <v>987</v>
      </c>
      <c r="V126">
        <v>2024</v>
      </c>
      <c r="W126" t="s">
        <v>995</v>
      </c>
      <c r="X126" t="s">
        <v>998</v>
      </c>
      <c r="Y126" t="s">
        <v>1001</v>
      </c>
      <c r="Z126">
        <v>2</v>
      </c>
      <c r="AA126">
        <v>45</v>
      </c>
      <c r="AB126" s="4">
        <f>Table1[[#This Row],[Total_Price]]*(1-Table1[[#This Row],[Discount 2]])</f>
        <v>41796981.628799997</v>
      </c>
      <c r="AC126" s="4" t="str" cm="1">
        <f t="array" ref="AC126">_xlfn.IFS(Table1[[#This Row],[Revenue]]&gt;=30000000,"High Value",Table1[[#This Row],[Revenue]]&gt;=10000000,"Moderate Value",TRUE,"Low Value")</f>
        <v>High Value</v>
      </c>
      <c r="AD126" t="str">
        <f>IF(Table1[[#This Row],[Discount 2]]&gt;=5%, "YES", "NO")</f>
        <v>NO</v>
      </c>
      <c r="AE126" t="str" cm="1">
        <f t="array" ref="AE126">_xlfn.IFS(Table1[[#This Row],[Revenue]]&gt;=30000000,"High Spender",Table1[[#This Row],[Revenue]]&gt;=10000000,"Moderate Spender",TRUE,"Low Spender")</f>
        <v>High Spender</v>
      </c>
      <c r="AF126" s="4" t="str" cm="1">
        <f t="array" ref="AF126">_xlfn.IFS(Table1[[#This Row],[Land_Size_SQM]]&gt;=730,"LARGE",Table1[[#This Row],[Land_Size_SQM]]&gt;=465,"MEDIUM",TRUE,"SMALL")</f>
        <v>LARGE</v>
      </c>
    </row>
    <row r="127" spans="1:32" x14ac:dyDescent="0.3">
      <c r="A127" t="s">
        <v>151</v>
      </c>
      <c r="B127" t="s">
        <v>593</v>
      </c>
      <c r="C127" t="s">
        <v>626</v>
      </c>
      <c r="D127">
        <v>23</v>
      </c>
      <c r="E127" t="s">
        <v>629</v>
      </c>
      <c r="F127">
        <v>869</v>
      </c>
      <c r="G127" s="4">
        <v>44591</v>
      </c>
      <c r="H127" s="4">
        <v>38749579</v>
      </c>
      <c r="I127" t="s">
        <v>651</v>
      </c>
      <c r="J127" t="s">
        <v>669</v>
      </c>
      <c r="K127" t="s">
        <v>676</v>
      </c>
      <c r="L127" t="s">
        <v>680</v>
      </c>
      <c r="M127" t="s">
        <v>683</v>
      </c>
      <c r="N127" t="s">
        <v>689</v>
      </c>
      <c r="O127" t="s">
        <v>693</v>
      </c>
      <c r="P127" s="4">
        <v>38749579</v>
      </c>
      <c r="Q127">
        <v>0</v>
      </c>
      <c r="R127" s="7">
        <v>0.94</v>
      </c>
      <c r="S127" s="8">
        <f>Table1[[#This Row],[Discount_%]]/100</f>
        <v>9.3999999999999986E-3</v>
      </c>
      <c r="T127" s="6" t="s">
        <v>716</v>
      </c>
      <c r="U127" t="s">
        <v>991</v>
      </c>
      <c r="V127">
        <v>2024</v>
      </c>
      <c r="W127" t="s">
        <v>995</v>
      </c>
      <c r="X127" t="s">
        <v>998</v>
      </c>
      <c r="Y127" t="s">
        <v>1001</v>
      </c>
      <c r="Z127">
        <v>3</v>
      </c>
      <c r="AA127">
        <v>37</v>
      </c>
      <c r="AB127" s="4">
        <f>Table1[[#This Row],[Total_Price]]*(1-Table1[[#This Row],[Discount 2]])</f>
        <v>38385332.957400002</v>
      </c>
      <c r="AC127" s="4" t="str" cm="1">
        <f t="array" ref="AC127">_xlfn.IFS(Table1[[#This Row],[Revenue]]&gt;=30000000,"High Value",Table1[[#This Row],[Revenue]]&gt;=10000000,"Moderate Value",TRUE,"Low Value")</f>
        <v>High Value</v>
      </c>
      <c r="AD127" t="str">
        <f>IF(Table1[[#This Row],[Discount 2]]&gt;=5%, "YES", "NO")</f>
        <v>NO</v>
      </c>
      <c r="AE127" t="str" cm="1">
        <f t="array" ref="AE127">_xlfn.IFS(Table1[[#This Row],[Revenue]]&gt;=30000000,"High Spender",Table1[[#This Row],[Revenue]]&gt;=10000000,"Moderate Spender",TRUE,"Low Spender")</f>
        <v>High Spender</v>
      </c>
      <c r="AF127" s="4" t="str" cm="1">
        <f t="array" ref="AF127">_xlfn.IFS(Table1[[#This Row],[Land_Size_SQM]]&gt;=730,"LARGE",Table1[[#This Row],[Land_Size_SQM]]&gt;=465,"MEDIUM",TRUE,"SMALL")</f>
        <v>LARGE</v>
      </c>
    </row>
    <row r="128" spans="1:32" x14ac:dyDescent="0.3">
      <c r="A128" t="s">
        <v>152</v>
      </c>
      <c r="B128" t="s">
        <v>568</v>
      </c>
      <c r="C128" t="s">
        <v>627</v>
      </c>
      <c r="D128">
        <v>31</v>
      </c>
      <c r="E128" t="s">
        <v>630</v>
      </c>
      <c r="F128">
        <v>435</v>
      </c>
      <c r="G128" s="4">
        <v>15855</v>
      </c>
      <c r="H128" s="4">
        <v>6896925</v>
      </c>
      <c r="I128" t="s">
        <v>642</v>
      </c>
      <c r="J128" t="s">
        <v>673</v>
      </c>
      <c r="K128" t="s">
        <v>664</v>
      </c>
      <c r="L128" t="s">
        <v>680</v>
      </c>
      <c r="M128" t="s">
        <v>683</v>
      </c>
      <c r="N128" t="s">
        <v>692</v>
      </c>
      <c r="O128" t="s">
        <v>694</v>
      </c>
      <c r="P128" s="4">
        <v>1475725</v>
      </c>
      <c r="Q128">
        <v>12</v>
      </c>
      <c r="R128" s="7">
        <v>0.74</v>
      </c>
      <c r="S128" s="8">
        <f>Table1[[#This Row],[Discount_%]]/100</f>
        <v>7.4000000000000003E-3</v>
      </c>
      <c r="T128" s="6" t="s">
        <v>798</v>
      </c>
      <c r="U128" t="s">
        <v>992</v>
      </c>
      <c r="V128">
        <v>2024</v>
      </c>
      <c r="W128" t="s">
        <v>996</v>
      </c>
      <c r="X128" t="s">
        <v>997</v>
      </c>
      <c r="Y128" t="s">
        <v>1002</v>
      </c>
      <c r="Z128">
        <v>1</v>
      </c>
      <c r="AA128">
        <v>20</v>
      </c>
      <c r="AB128" s="4">
        <f>Table1[[#This Row],[Total_Price]]*(1-Table1[[#This Row],[Discount 2]])</f>
        <v>6845887.7549999999</v>
      </c>
      <c r="AC128" s="4" t="str" cm="1">
        <f t="array" ref="AC128">_xlfn.IFS(Table1[[#This Row],[Revenue]]&gt;=30000000,"High Value",Table1[[#This Row],[Revenue]]&gt;=10000000,"Moderate Value",TRUE,"Low Value")</f>
        <v>Low Value</v>
      </c>
      <c r="AD128" t="str">
        <f>IF(Table1[[#This Row],[Discount 2]]&gt;=5%, "YES", "NO")</f>
        <v>NO</v>
      </c>
      <c r="AE128" t="str" cm="1">
        <f t="array" ref="AE128">_xlfn.IFS(Table1[[#This Row],[Revenue]]&gt;=30000000,"High Spender",Table1[[#This Row],[Revenue]]&gt;=10000000,"Moderate Spender",TRUE,"Low Spender")</f>
        <v>Low Spender</v>
      </c>
      <c r="AF128" s="4" t="str" cm="1">
        <f t="array" ref="AF128">_xlfn.IFS(Table1[[#This Row],[Land_Size_SQM]]&gt;=730,"LARGE",Table1[[#This Row],[Land_Size_SQM]]&gt;=465,"MEDIUM",TRUE,"SMALL")</f>
        <v>SMALL</v>
      </c>
    </row>
    <row r="129" spans="1:32" x14ac:dyDescent="0.3">
      <c r="A129" t="s">
        <v>153</v>
      </c>
      <c r="B129" t="s">
        <v>540</v>
      </c>
      <c r="C129" t="s">
        <v>626</v>
      </c>
      <c r="D129">
        <v>23</v>
      </c>
      <c r="E129" t="s">
        <v>628</v>
      </c>
      <c r="F129">
        <v>780</v>
      </c>
      <c r="G129" s="4">
        <v>27503</v>
      </c>
      <c r="H129" s="4">
        <v>21452340</v>
      </c>
      <c r="I129" t="s">
        <v>656</v>
      </c>
      <c r="J129" t="s">
        <v>669</v>
      </c>
      <c r="K129" t="s">
        <v>679</v>
      </c>
      <c r="L129" t="s">
        <v>681</v>
      </c>
      <c r="M129" t="s">
        <v>683</v>
      </c>
      <c r="N129" t="s">
        <v>689</v>
      </c>
      <c r="O129" t="s">
        <v>694</v>
      </c>
      <c r="P129" s="4">
        <v>9153344</v>
      </c>
      <c r="Q129">
        <v>24</v>
      </c>
      <c r="R129" s="7">
        <v>1.4</v>
      </c>
      <c r="S129" s="8">
        <f>Table1[[#This Row],[Discount_%]]/100</f>
        <v>1.3999999999999999E-2</v>
      </c>
      <c r="T129" s="6" t="s">
        <v>779</v>
      </c>
      <c r="U129" t="s">
        <v>984</v>
      </c>
      <c r="V129">
        <v>2024</v>
      </c>
      <c r="W129" t="s">
        <v>994</v>
      </c>
      <c r="X129" t="s">
        <v>997</v>
      </c>
      <c r="Y129" t="s">
        <v>1001</v>
      </c>
      <c r="Z129">
        <v>5</v>
      </c>
      <c r="AA129">
        <v>26</v>
      </c>
      <c r="AB129" s="4">
        <f>Table1[[#This Row],[Total_Price]]*(1-Table1[[#This Row],[Discount 2]])</f>
        <v>21152007.239999998</v>
      </c>
      <c r="AC129" s="4" t="str" cm="1">
        <f t="array" ref="AC129">_xlfn.IFS(Table1[[#This Row],[Revenue]]&gt;=30000000,"High Value",Table1[[#This Row],[Revenue]]&gt;=10000000,"Moderate Value",TRUE,"Low Value")</f>
        <v>Moderate Value</v>
      </c>
      <c r="AD129" t="str">
        <f>IF(Table1[[#This Row],[Discount 2]]&gt;=5%, "YES", "NO")</f>
        <v>NO</v>
      </c>
      <c r="AE129" t="str" cm="1">
        <f t="array" ref="AE129">_xlfn.IFS(Table1[[#This Row],[Revenue]]&gt;=30000000,"High Spender",Table1[[#This Row],[Revenue]]&gt;=10000000,"Moderate Spender",TRUE,"Low Spender")</f>
        <v>Moderate Spender</v>
      </c>
      <c r="AF129" s="4" t="str" cm="1">
        <f t="array" ref="AF129">_xlfn.IFS(Table1[[#This Row],[Land_Size_SQM]]&gt;=730,"LARGE",Table1[[#This Row],[Land_Size_SQM]]&gt;=465,"MEDIUM",TRUE,"SMALL")</f>
        <v>LARGE</v>
      </c>
    </row>
    <row r="130" spans="1:32" x14ac:dyDescent="0.3">
      <c r="A130" t="s">
        <v>154</v>
      </c>
      <c r="B130" t="s">
        <v>564</v>
      </c>
      <c r="C130" t="s">
        <v>626</v>
      </c>
      <c r="D130">
        <v>25</v>
      </c>
      <c r="E130" t="s">
        <v>629</v>
      </c>
      <c r="F130">
        <v>661</v>
      </c>
      <c r="G130" s="4">
        <v>34152</v>
      </c>
      <c r="H130" s="4">
        <v>22574472</v>
      </c>
      <c r="I130" t="s">
        <v>643</v>
      </c>
      <c r="J130" t="s">
        <v>671</v>
      </c>
      <c r="K130" t="s">
        <v>677</v>
      </c>
      <c r="L130" t="s">
        <v>681</v>
      </c>
      <c r="M130" t="s">
        <v>683</v>
      </c>
      <c r="N130" t="s">
        <v>689</v>
      </c>
      <c r="O130" t="s">
        <v>693</v>
      </c>
      <c r="P130" s="4">
        <v>22574472</v>
      </c>
      <c r="Q130">
        <v>0</v>
      </c>
      <c r="R130" s="7">
        <v>3.56</v>
      </c>
      <c r="S130" s="8">
        <f>Table1[[#This Row],[Discount_%]]/100</f>
        <v>3.56E-2</v>
      </c>
      <c r="T130" s="6" t="s">
        <v>799</v>
      </c>
      <c r="U130" t="s">
        <v>991</v>
      </c>
      <c r="V130">
        <v>2024</v>
      </c>
      <c r="W130" t="s">
        <v>993</v>
      </c>
      <c r="X130" t="s">
        <v>998</v>
      </c>
      <c r="Y130" t="s">
        <v>1000</v>
      </c>
      <c r="Z130">
        <v>4</v>
      </c>
      <c r="AA130">
        <v>46</v>
      </c>
      <c r="AB130" s="4">
        <f>Table1[[#This Row],[Total_Price]]*(1-Table1[[#This Row],[Discount 2]])</f>
        <v>21770820.796800002</v>
      </c>
      <c r="AC130" s="4" t="str" cm="1">
        <f t="array" ref="AC130">_xlfn.IFS(Table1[[#This Row],[Revenue]]&gt;=30000000,"High Value",Table1[[#This Row],[Revenue]]&gt;=10000000,"Moderate Value",TRUE,"Low Value")</f>
        <v>Moderate Value</v>
      </c>
      <c r="AD130" t="str">
        <f>IF(Table1[[#This Row],[Discount 2]]&gt;=5%, "YES", "NO")</f>
        <v>NO</v>
      </c>
      <c r="AE130" t="str" cm="1">
        <f t="array" ref="AE130">_xlfn.IFS(Table1[[#This Row],[Revenue]]&gt;=30000000,"High Spender",Table1[[#This Row],[Revenue]]&gt;=10000000,"Moderate Spender",TRUE,"Low Spender")</f>
        <v>Moderate Spender</v>
      </c>
      <c r="AF130" s="4" t="str" cm="1">
        <f t="array" ref="AF130">_xlfn.IFS(Table1[[#This Row],[Land_Size_SQM]]&gt;=730,"LARGE",Table1[[#This Row],[Land_Size_SQM]]&gt;=465,"MEDIUM",TRUE,"SMALL")</f>
        <v>MEDIUM</v>
      </c>
    </row>
    <row r="131" spans="1:32" x14ac:dyDescent="0.3">
      <c r="A131" t="s">
        <v>155</v>
      </c>
      <c r="B131" t="s">
        <v>594</v>
      </c>
      <c r="C131" t="s">
        <v>626</v>
      </c>
      <c r="D131">
        <v>26</v>
      </c>
      <c r="E131" t="s">
        <v>628</v>
      </c>
      <c r="F131">
        <v>524</v>
      </c>
      <c r="G131" s="4">
        <v>25638</v>
      </c>
      <c r="H131" s="4">
        <v>13434312</v>
      </c>
      <c r="I131" t="s">
        <v>653</v>
      </c>
      <c r="J131" t="s">
        <v>668</v>
      </c>
      <c r="K131" t="s">
        <v>640</v>
      </c>
      <c r="L131" t="s">
        <v>680</v>
      </c>
      <c r="M131" t="s">
        <v>683</v>
      </c>
      <c r="N131" t="s">
        <v>691</v>
      </c>
      <c r="O131" t="s">
        <v>693</v>
      </c>
      <c r="P131" s="4">
        <v>13434312</v>
      </c>
      <c r="Q131">
        <v>0</v>
      </c>
      <c r="R131" s="7">
        <v>0.92</v>
      </c>
      <c r="S131" s="8">
        <f>Table1[[#This Row],[Discount_%]]/100</f>
        <v>9.1999999999999998E-3</v>
      </c>
      <c r="T131" s="6" t="s">
        <v>800</v>
      </c>
      <c r="U131" t="s">
        <v>982</v>
      </c>
      <c r="V131">
        <v>2024</v>
      </c>
      <c r="W131" t="s">
        <v>995</v>
      </c>
      <c r="X131" t="s">
        <v>997</v>
      </c>
      <c r="Y131" t="s">
        <v>1001</v>
      </c>
      <c r="Z131">
        <v>5</v>
      </c>
      <c r="AA131">
        <v>27</v>
      </c>
      <c r="AB131" s="4">
        <f>Table1[[#This Row],[Total_Price]]*(1-Table1[[#This Row],[Discount 2]])</f>
        <v>13310716.329600001</v>
      </c>
      <c r="AC131" s="4" t="str" cm="1">
        <f t="array" ref="AC131">_xlfn.IFS(Table1[[#This Row],[Revenue]]&gt;=30000000,"High Value",Table1[[#This Row],[Revenue]]&gt;=10000000,"Moderate Value",TRUE,"Low Value")</f>
        <v>Moderate Value</v>
      </c>
      <c r="AD131" t="str">
        <f>IF(Table1[[#This Row],[Discount 2]]&gt;=5%, "YES", "NO")</f>
        <v>NO</v>
      </c>
      <c r="AE131" t="str" cm="1">
        <f t="array" ref="AE131">_xlfn.IFS(Table1[[#This Row],[Revenue]]&gt;=30000000,"High Spender",Table1[[#This Row],[Revenue]]&gt;=10000000,"Moderate Spender",TRUE,"Low Spender")</f>
        <v>Moderate Spender</v>
      </c>
      <c r="AF131" s="4" t="str" cm="1">
        <f t="array" ref="AF131">_xlfn.IFS(Table1[[#This Row],[Land_Size_SQM]]&gt;=730,"LARGE",Table1[[#This Row],[Land_Size_SQM]]&gt;=465,"MEDIUM",TRUE,"SMALL")</f>
        <v>MEDIUM</v>
      </c>
    </row>
    <row r="132" spans="1:32" x14ac:dyDescent="0.3">
      <c r="A132" t="s">
        <v>156</v>
      </c>
      <c r="B132" t="s">
        <v>538</v>
      </c>
      <c r="C132" t="s">
        <v>626</v>
      </c>
      <c r="D132">
        <v>46</v>
      </c>
      <c r="E132" t="s">
        <v>630</v>
      </c>
      <c r="F132">
        <v>562</v>
      </c>
      <c r="G132" s="4">
        <v>38321</v>
      </c>
      <c r="H132" s="4">
        <v>21536402</v>
      </c>
      <c r="I132" t="s">
        <v>664</v>
      </c>
      <c r="J132" t="s">
        <v>673</v>
      </c>
      <c r="K132" t="s">
        <v>676</v>
      </c>
      <c r="L132" t="s">
        <v>680</v>
      </c>
      <c r="M132" t="s">
        <v>686</v>
      </c>
      <c r="N132" t="s">
        <v>688</v>
      </c>
      <c r="O132" t="s">
        <v>693</v>
      </c>
      <c r="P132" s="4">
        <v>21536402</v>
      </c>
      <c r="Q132">
        <v>0</v>
      </c>
      <c r="R132" s="7">
        <v>5.97</v>
      </c>
      <c r="S132" s="8">
        <f>Table1[[#This Row],[Discount_%]]/100</f>
        <v>5.9699999999999996E-2</v>
      </c>
      <c r="T132" s="6" t="s">
        <v>755</v>
      </c>
      <c r="U132" t="s">
        <v>982</v>
      </c>
      <c r="V132">
        <v>2024</v>
      </c>
      <c r="W132" t="s">
        <v>996</v>
      </c>
      <c r="X132" t="s">
        <v>997</v>
      </c>
      <c r="Y132" t="s">
        <v>1002</v>
      </c>
      <c r="Z132">
        <v>2</v>
      </c>
      <c r="AA132">
        <v>9</v>
      </c>
      <c r="AB132" s="4">
        <f>Table1[[#This Row],[Total_Price]]*(1-Table1[[#This Row],[Discount 2]])</f>
        <v>20250678.8006</v>
      </c>
      <c r="AC132" s="4" t="str" cm="1">
        <f t="array" ref="AC132">_xlfn.IFS(Table1[[#This Row],[Revenue]]&gt;=30000000,"High Value",Table1[[#This Row],[Revenue]]&gt;=10000000,"Moderate Value",TRUE,"Low Value")</f>
        <v>Moderate Value</v>
      </c>
      <c r="AD132" t="str">
        <f>IF(Table1[[#This Row],[Discount 2]]&gt;=5%, "YES", "NO")</f>
        <v>YES</v>
      </c>
      <c r="AE132" t="str" cm="1">
        <f t="array" ref="AE132">_xlfn.IFS(Table1[[#This Row],[Revenue]]&gt;=30000000,"High Spender",Table1[[#This Row],[Revenue]]&gt;=10000000,"Moderate Spender",TRUE,"Low Spender")</f>
        <v>Moderate Spender</v>
      </c>
      <c r="AF132" s="4" t="str" cm="1">
        <f t="array" ref="AF132">_xlfn.IFS(Table1[[#This Row],[Land_Size_SQM]]&gt;=730,"LARGE",Table1[[#This Row],[Land_Size_SQM]]&gt;=465,"MEDIUM",TRUE,"SMALL")</f>
        <v>MEDIUM</v>
      </c>
    </row>
    <row r="133" spans="1:32" x14ac:dyDescent="0.3">
      <c r="A133" t="s">
        <v>157</v>
      </c>
      <c r="B133" t="s">
        <v>557</v>
      </c>
      <c r="C133" t="s">
        <v>626</v>
      </c>
      <c r="D133">
        <v>24</v>
      </c>
      <c r="E133" t="s">
        <v>630</v>
      </c>
      <c r="F133">
        <v>704</v>
      </c>
      <c r="G133" s="4">
        <v>11563</v>
      </c>
      <c r="H133" s="4">
        <v>8140352</v>
      </c>
      <c r="I133" t="s">
        <v>657</v>
      </c>
      <c r="J133" t="s">
        <v>671</v>
      </c>
      <c r="K133" t="s">
        <v>677</v>
      </c>
      <c r="L133" t="s">
        <v>681</v>
      </c>
      <c r="M133" t="s">
        <v>683</v>
      </c>
      <c r="N133" t="s">
        <v>691</v>
      </c>
      <c r="O133" t="s">
        <v>693</v>
      </c>
      <c r="P133" s="4">
        <v>8140352</v>
      </c>
      <c r="Q133">
        <v>0</v>
      </c>
      <c r="R133" s="7">
        <v>1.67</v>
      </c>
      <c r="S133" s="8">
        <f>Table1[[#This Row],[Discount_%]]/100</f>
        <v>1.67E-2</v>
      </c>
      <c r="T133" s="6" t="s">
        <v>801</v>
      </c>
      <c r="U133" t="s">
        <v>992</v>
      </c>
      <c r="V133">
        <v>2024</v>
      </c>
      <c r="W133" t="s">
        <v>996</v>
      </c>
      <c r="X133" t="s">
        <v>998</v>
      </c>
      <c r="Y133" t="s">
        <v>1000</v>
      </c>
      <c r="Z133">
        <v>2</v>
      </c>
      <c r="AA133">
        <v>20</v>
      </c>
      <c r="AB133" s="4">
        <f>Table1[[#This Row],[Total_Price]]*(1-Table1[[#This Row],[Discount 2]])</f>
        <v>8004408.1215999993</v>
      </c>
      <c r="AC133" s="4" t="str" cm="1">
        <f t="array" ref="AC133">_xlfn.IFS(Table1[[#This Row],[Revenue]]&gt;=30000000,"High Value",Table1[[#This Row],[Revenue]]&gt;=10000000,"Moderate Value",TRUE,"Low Value")</f>
        <v>Low Value</v>
      </c>
      <c r="AD133" t="str">
        <f>IF(Table1[[#This Row],[Discount 2]]&gt;=5%, "YES", "NO")</f>
        <v>NO</v>
      </c>
      <c r="AE133" t="str" cm="1">
        <f t="array" ref="AE133">_xlfn.IFS(Table1[[#This Row],[Revenue]]&gt;=30000000,"High Spender",Table1[[#This Row],[Revenue]]&gt;=10000000,"Moderate Spender",TRUE,"Low Spender")</f>
        <v>Low Spender</v>
      </c>
      <c r="AF133" s="4" t="str" cm="1">
        <f t="array" ref="AF133">_xlfn.IFS(Table1[[#This Row],[Land_Size_SQM]]&gt;=730,"LARGE",Table1[[#This Row],[Land_Size_SQM]]&gt;=465,"MEDIUM",TRUE,"SMALL")</f>
        <v>MEDIUM</v>
      </c>
    </row>
    <row r="134" spans="1:32" x14ac:dyDescent="0.3">
      <c r="A134" t="s">
        <v>158</v>
      </c>
      <c r="B134" t="s">
        <v>595</v>
      </c>
      <c r="C134" t="s">
        <v>626</v>
      </c>
      <c r="D134">
        <v>40</v>
      </c>
      <c r="E134" t="s">
        <v>629</v>
      </c>
      <c r="F134">
        <v>835</v>
      </c>
      <c r="G134" s="4">
        <v>26896</v>
      </c>
      <c r="H134" s="4">
        <v>22458160</v>
      </c>
      <c r="I134" t="s">
        <v>661</v>
      </c>
      <c r="J134" t="s">
        <v>673</v>
      </c>
      <c r="K134" t="s">
        <v>651</v>
      </c>
      <c r="L134" t="s">
        <v>682</v>
      </c>
      <c r="M134" t="s">
        <v>683</v>
      </c>
      <c r="N134" t="s">
        <v>691</v>
      </c>
      <c r="O134" t="s">
        <v>694</v>
      </c>
      <c r="P134" s="4">
        <v>6746900</v>
      </c>
      <c r="Q134">
        <v>24</v>
      </c>
      <c r="R134" s="7">
        <v>8.15</v>
      </c>
      <c r="S134" s="8">
        <f>Table1[[#This Row],[Discount_%]]/100</f>
        <v>8.1500000000000003E-2</v>
      </c>
      <c r="T134" s="6" t="s">
        <v>751</v>
      </c>
      <c r="U134" t="s">
        <v>983</v>
      </c>
      <c r="V134">
        <v>2024</v>
      </c>
      <c r="W134" t="s">
        <v>994</v>
      </c>
      <c r="X134" t="s">
        <v>999</v>
      </c>
      <c r="Y134" t="s">
        <v>1002</v>
      </c>
      <c r="Z134">
        <v>3</v>
      </c>
      <c r="AA134">
        <v>19</v>
      </c>
      <c r="AB134" s="4">
        <f>Table1[[#This Row],[Total_Price]]*(1-Table1[[#This Row],[Discount 2]])</f>
        <v>20627819.960000001</v>
      </c>
      <c r="AC134" s="4" t="str" cm="1">
        <f t="array" ref="AC134">_xlfn.IFS(Table1[[#This Row],[Revenue]]&gt;=30000000,"High Value",Table1[[#This Row],[Revenue]]&gt;=10000000,"Moderate Value",TRUE,"Low Value")</f>
        <v>Moderate Value</v>
      </c>
      <c r="AD134" t="str">
        <f>IF(Table1[[#This Row],[Discount 2]]&gt;=5%, "YES", "NO")</f>
        <v>YES</v>
      </c>
      <c r="AE134" t="str" cm="1">
        <f t="array" ref="AE134">_xlfn.IFS(Table1[[#This Row],[Revenue]]&gt;=30000000,"High Spender",Table1[[#This Row],[Revenue]]&gt;=10000000,"Moderate Spender",TRUE,"Low Spender")</f>
        <v>Moderate Spender</v>
      </c>
      <c r="AF134" s="4" t="str" cm="1">
        <f t="array" ref="AF134">_xlfn.IFS(Table1[[#This Row],[Land_Size_SQM]]&gt;=730,"LARGE",Table1[[#This Row],[Land_Size_SQM]]&gt;=465,"MEDIUM",TRUE,"SMALL")</f>
        <v>LARGE</v>
      </c>
    </row>
    <row r="135" spans="1:32" x14ac:dyDescent="0.3">
      <c r="A135" t="s">
        <v>159</v>
      </c>
      <c r="B135" t="s">
        <v>529</v>
      </c>
      <c r="C135" t="s">
        <v>627</v>
      </c>
      <c r="D135">
        <v>57</v>
      </c>
      <c r="E135" t="s">
        <v>629</v>
      </c>
      <c r="F135">
        <v>789</v>
      </c>
      <c r="G135" s="4">
        <v>17887</v>
      </c>
      <c r="H135" s="4">
        <v>14112843</v>
      </c>
      <c r="I135" t="s">
        <v>659</v>
      </c>
      <c r="J135" t="s">
        <v>668</v>
      </c>
      <c r="K135" t="s">
        <v>678</v>
      </c>
      <c r="L135" t="s">
        <v>680</v>
      </c>
      <c r="M135" t="s">
        <v>686</v>
      </c>
      <c r="N135" t="s">
        <v>689</v>
      </c>
      <c r="O135" t="s">
        <v>694</v>
      </c>
      <c r="P135" s="4">
        <v>4009318</v>
      </c>
      <c r="Q135">
        <v>24</v>
      </c>
      <c r="R135" s="7">
        <v>7.86</v>
      </c>
      <c r="S135" s="8">
        <f>Table1[[#This Row],[Discount_%]]/100</f>
        <v>7.8600000000000003E-2</v>
      </c>
      <c r="T135" s="6" t="s">
        <v>802</v>
      </c>
      <c r="U135" t="s">
        <v>991</v>
      </c>
      <c r="V135">
        <v>2024</v>
      </c>
      <c r="W135" t="s">
        <v>995</v>
      </c>
      <c r="X135" t="s">
        <v>997</v>
      </c>
      <c r="Y135" t="s">
        <v>1000</v>
      </c>
      <c r="Z135">
        <v>4</v>
      </c>
      <c r="AA135">
        <v>19</v>
      </c>
      <c r="AB135" s="4">
        <f>Table1[[#This Row],[Total_Price]]*(1-Table1[[#This Row],[Discount 2]])</f>
        <v>13003573.540200001</v>
      </c>
      <c r="AC135" s="4" t="str" cm="1">
        <f t="array" ref="AC135">_xlfn.IFS(Table1[[#This Row],[Revenue]]&gt;=30000000,"High Value",Table1[[#This Row],[Revenue]]&gt;=10000000,"Moderate Value",TRUE,"Low Value")</f>
        <v>Moderate Value</v>
      </c>
      <c r="AD135" t="str">
        <f>IF(Table1[[#This Row],[Discount 2]]&gt;=5%, "YES", "NO")</f>
        <v>YES</v>
      </c>
      <c r="AE135" t="str" cm="1">
        <f t="array" ref="AE135">_xlfn.IFS(Table1[[#This Row],[Revenue]]&gt;=30000000,"High Spender",Table1[[#This Row],[Revenue]]&gt;=10000000,"Moderate Spender",TRUE,"Low Spender")</f>
        <v>Moderate Spender</v>
      </c>
      <c r="AF135" s="4" t="str" cm="1">
        <f t="array" ref="AF135">_xlfn.IFS(Table1[[#This Row],[Land_Size_SQM]]&gt;=730,"LARGE",Table1[[#This Row],[Land_Size_SQM]]&gt;=465,"MEDIUM",TRUE,"SMALL")</f>
        <v>LARGE</v>
      </c>
    </row>
    <row r="136" spans="1:32" x14ac:dyDescent="0.3">
      <c r="A136" t="s">
        <v>160</v>
      </c>
      <c r="B136" t="s">
        <v>527</v>
      </c>
      <c r="C136" t="s">
        <v>626</v>
      </c>
      <c r="D136">
        <v>44</v>
      </c>
      <c r="E136" t="s">
        <v>628</v>
      </c>
      <c r="F136">
        <v>889</v>
      </c>
      <c r="G136" s="4">
        <v>34722</v>
      </c>
      <c r="H136" s="4">
        <v>30867858</v>
      </c>
      <c r="I136" t="s">
        <v>631</v>
      </c>
      <c r="J136" t="s">
        <v>668</v>
      </c>
      <c r="K136" t="s">
        <v>640</v>
      </c>
      <c r="L136" t="s">
        <v>681</v>
      </c>
      <c r="M136" t="s">
        <v>686</v>
      </c>
      <c r="N136" t="s">
        <v>691</v>
      </c>
      <c r="O136" t="s">
        <v>693</v>
      </c>
      <c r="P136" s="4">
        <v>30867858</v>
      </c>
      <c r="Q136">
        <v>0</v>
      </c>
      <c r="R136" s="7">
        <v>6.33</v>
      </c>
      <c r="S136" s="8">
        <f>Table1[[#This Row],[Discount_%]]/100</f>
        <v>6.3299999999999995E-2</v>
      </c>
      <c r="T136" s="6" t="s">
        <v>727</v>
      </c>
      <c r="U136" t="s">
        <v>992</v>
      </c>
      <c r="V136">
        <v>2024</v>
      </c>
      <c r="W136" t="s">
        <v>995</v>
      </c>
      <c r="X136" t="s">
        <v>997</v>
      </c>
      <c r="Y136" t="s">
        <v>1001</v>
      </c>
      <c r="Z136">
        <v>4</v>
      </c>
      <c r="AA136">
        <v>35</v>
      </c>
      <c r="AB136" s="4">
        <f>Table1[[#This Row],[Total_Price]]*(1-Table1[[#This Row],[Discount 2]])</f>
        <v>28913922.588599999</v>
      </c>
      <c r="AC136" s="4" t="str" cm="1">
        <f t="array" ref="AC136">_xlfn.IFS(Table1[[#This Row],[Revenue]]&gt;=30000000,"High Value",Table1[[#This Row],[Revenue]]&gt;=10000000,"Moderate Value",TRUE,"Low Value")</f>
        <v>Moderate Value</v>
      </c>
      <c r="AD136" t="str">
        <f>IF(Table1[[#This Row],[Discount 2]]&gt;=5%, "YES", "NO")</f>
        <v>YES</v>
      </c>
      <c r="AE136" t="str" cm="1">
        <f t="array" ref="AE136">_xlfn.IFS(Table1[[#This Row],[Revenue]]&gt;=30000000,"High Spender",Table1[[#This Row],[Revenue]]&gt;=10000000,"Moderate Spender",TRUE,"Low Spender")</f>
        <v>Moderate Spender</v>
      </c>
      <c r="AF136" s="4" t="str" cm="1">
        <f t="array" ref="AF136">_xlfn.IFS(Table1[[#This Row],[Land_Size_SQM]]&gt;=730,"LARGE",Table1[[#This Row],[Land_Size_SQM]]&gt;=465,"MEDIUM",TRUE,"SMALL")</f>
        <v>LARGE</v>
      </c>
    </row>
    <row r="137" spans="1:32" x14ac:dyDescent="0.3">
      <c r="A137" t="s">
        <v>161</v>
      </c>
      <c r="B137" t="s">
        <v>581</v>
      </c>
      <c r="C137" t="s">
        <v>627</v>
      </c>
      <c r="D137">
        <v>56</v>
      </c>
      <c r="E137" t="s">
        <v>629</v>
      </c>
      <c r="F137">
        <v>808</v>
      </c>
      <c r="G137" s="4">
        <v>43823</v>
      </c>
      <c r="H137" s="4">
        <v>35408984</v>
      </c>
      <c r="I137" t="s">
        <v>646</v>
      </c>
      <c r="J137" t="s">
        <v>673</v>
      </c>
      <c r="K137" t="s">
        <v>675</v>
      </c>
      <c r="L137" t="s">
        <v>682</v>
      </c>
      <c r="M137" t="s">
        <v>684</v>
      </c>
      <c r="N137" t="s">
        <v>690</v>
      </c>
      <c r="O137" t="s">
        <v>693</v>
      </c>
      <c r="P137" s="4">
        <v>35408984</v>
      </c>
      <c r="Q137">
        <v>0</v>
      </c>
      <c r="R137" s="7">
        <v>1.0900000000000001</v>
      </c>
      <c r="S137" s="8">
        <f>Table1[[#This Row],[Discount_%]]/100</f>
        <v>1.09E-2</v>
      </c>
      <c r="T137" s="6" t="s">
        <v>803</v>
      </c>
      <c r="U137" t="s">
        <v>992</v>
      </c>
      <c r="V137">
        <v>2024</v>
      </c>
      <c r="W137" t="s">
        <v>995</v>
      </c>
      <c r="X137" t="s">
        <v>999</v>
      </c>
      <c r="Y137" t="s">
        <v>1000</v>
      </c>
      <c r="Z137">
        <v>1</v>
      </c>
      <c r="AA137">
        <v>17</v>
      </c>
      <c r="AB137" s="4">
        <f>Table1[[#This Row],[Total_Price]]*(1-Table1[[#This Row],[Discount 2]])</f>
        <v>35023026.0744</v>
      </c>
      <c r="AC137" s="4" t="str" cm="1">
        <f t="array" ref="AC137">_xlfn.IFS(Table1[[#This Row],[Revenue]]&gt;=30000000,"High Value",Table1[[#This Row],[Revenue]]&gt;=10000000,"Moderate Value",TRUE,"Low Value")</f>
        <v>High Value</v>
      </c>
      <c r="AD137" t="str">
        <f>IF(Table1[[#This Row],[Discount 2]]&gt;=5%, "YES", "NO")</f>
        <v>NO</v>
      </c>
      <c r="AE137" t="str" cm="1">
        <f t="array" ref="AE137">_xlfn.IFS(Table1[[#This Row],[Revenue]]&gt;=30000000,"High Spender",Table1[[#This Row],[Revenue]]&gt;=10000000,"Moderate Spender",TRUE,"Low Spender")</f>
        <v>High Spender</v>
      </c>
      <c r="AF137" s="4" t="str" cm="1">
        <f t="array" ref="AF137">_xlfn.IFS(Table1[[#This Row],[Land_Size_SQM]]&gt;=730,"LARGE",Table1[[#This Row],[Land_Size_SQM]]&gt;=465,"MEDIUM",TRUE,"SMALL")</f>
        <v>LARGE</v>
      </c>
    </row>
    <row r="138" spans="1:32" x14ac:dyDescent="0.3">
      <c r="A138" t="s">
        <v>162</v>
      </c>
      <c r="B138" t="s">
        <v>596</v>
      </c>
      <c r="C138" t="s">
        <v>627</v>
      </c>
      <c r="D138">
        <v>42</v>
      </c>
      <c r="E138" t="s">
        <v>628</v>
      </c>
      <c r="F138">
        <v>771</v>
      </c>
      <c r="G138" s="4">
        <v>40044</v>
      </c>
      <c r="H138" s="4">
        <v>30873924</v>
      </c>
      <c r="I138" t="s">
        <v>656</v>
      </c>
      <c r="J138" t="s">
        <v>669</v>
      </c>
      <c r="K138" t="s">
        <v>675</v>
      </c>
      <c r="L138" t="s">
        <v>681</v>
      </c>
      <c r="M138" t="s">
        <v>685</v>
      </c>
      <c r="N138" t="s">
        <v>690</v>
      </c>
      <c r="O138" t="s">
        <v>693</v>
      </c>
      <c r="P138" s="4">
        <v>30873924</v>
      </c>
      <c r="Q138">
        <v>0</v>
      </c>
      <c r="R138" s="7">
        <v>4.46</v>
      </c>
      <c r="S138" s="8">
        <f>Table1[[#This Row],[Discount_%]]/100</f>
        <v>4.4600000000000001E-2</v>
      </c>
      <c r="T138" s="6" t="s">
        <v>804</v>
      </c>
      <c r="U138" t="s">
        <v>991</v>
      </c>
      <c r="V138">
        <v>2024</v>
      </c>
      <c r="W138" t="s">
        <v>995</v>
      </c>
      <c r="X138" t="s">
        <v>999</v>
      </c>
      <c r="Y138" t="s">
        <v>1000</v>
      </c>
      <c r="Z138">
        <v>2</v>
      </c>
      <c r="AA138">
        <v>23</v>
      </c>
      <c r="AB138" s="4">
        <f>Table1[[#This Row],[Total_Price]]*(1-Table1[[#This Row],[Discount 2]])</f>
        <v>29496946.989599999</v>
      </c>
      <c r="AC138" s="4" t="str" cm="1">
        <f t="array" ref="AC138">_xlfn.IFS(Table1[[#This Row],[Revenue]]&gt;=30000000,"High Value",Table1[[#This Row],[Revenue]]&gt;=10000000,"Moderate Value",TRUE,"Low Value")</f>
        <v>Moderate Value</v>
      </c>
      <c r="AD138" t="str">
        <f>IF(Table1[[#This Row],[Discount 2]]&gt;=5%, "YES", "NO")</f>
        <v>NO</v>
      </c>
      <c r="AE138" t="str" cm="1">
        <f t="array" ref="AE138">_xlfn.IFS(Table1[[#This Row],[Revenue]]&gt;=30000000,"High Spender",Table1[[#This Row],[Revenue]]&gt;=10000000,"Moderate Spender",TRUE,"Low Spender")</f>
        <v>Moderate Spender</v>
      </c>
      <c r="AF138" s="4" t="str" cm="1">
        <f t="array" ref="AF138">_xlfn.IFS(Table1[[#This Row],[Land_Size_SQM]]&gt;=730,"LARGE",Table1[[#This Row],[Land_Size_SQM]]&gt;=465,"MEDIUM",TRUE,"SMALL")</f>
        <v>LARGE</v>
      </c>
    </row>
    <row r="139" spans="1:32" x14ac:dyDescent="0.3">
      <c r="A139" t="s">
        <v>163</v>
      </c>
      <c r="B139" t="s">
        <v>594</v>
      </c>
      <c r="C139" t="s">
        <v>627</v>
      </c>
      <c r="D139">
        <v>39</v>
      </c>
      <c r="E139" t="s">
        <v>628</v>
      </c>
      <c r="F139">
        <v>411</v>
      </c>
      <c r="G139" s="4">
        <v>36151</v>
      </c>
      <c r="H139" s="4">
        <v>14858061</v>
      </c>
      <c r="I139" t="s">
        <v>657</v>
      </c>
      <c r="J139" t="s">
        <v>671</v>
      </c>
      <c r="K139" t="s">
        <v>678</v>
      </c>
      <c r="L139" t="s">
        <v>682</v>
      </c>
      <c r="M139" t="s">
        <v>685</v>
      </c>
      <c r="N139" t="s">
        <v>689</v>
      </c>
      <c r="O139" t="s">
        <v>694</v>
      </c>
      <c r="P139" s="4">
        <v>5094068</v>
      </c>
      <c r="Q139">
        <v>12</v>
      </c>
      <c r="R139" s="7">
        <v>4.38</v>
      </c>
      <c r="S139" s="8">
        <f>Table1[[#This Row],[Discount_%]]/100</f>
        <v>4.3799999999999999E-2</v>
      </c>
      <c r="T139" s="6" t="s">
        <v>805</v>
      </c>
      <c r="U139" t="s">
        <v>984</v>
      </c>
      <c r="V139">
        <v>2024</v>
      </c>
      <c r="W139" t="s">
        <v>994</v>
      </c>
      <c r="X139" t="s">
        <v>997</v>
      </c>
      <c r="Y139" t="s">
        <v>1000</v>
      </c>
      <c r="Z139">
        <v>2</v>
      </c>
      <c r="AA139">
        <v>48</v>
      </c>
      <c r="AB139" s="4">
        <f>Table1[[#This Row],[Total_Price]]*(1-Table1[[#This Row],[Discount 2]])</f>
        <v>14207277.928200001</v>
      </c>
      <c r="AC139" s="4" t="str" cm="1">
        <f t="array" ref="AC139">_xlfn.IFS(Table1[[#This Row],[Revenue]]&gt;=30000000,"High Value",Table1[[#This Row],[Revenue]]&gt;=10000000,"Moderate Value",TRUE,"Low Value")</f>
        <v>Moderate Value</v>
      </c>
      <c r="AD139" t="str">
        <f>IF(Table1[[#This Row],[Discount 2]]&gt;=5%, "YES", "NO")</f>
        <v>NO</v>
      </c>
      <c r="AE139" t="str" cm="1">
        <f t="array" ref="AE139">_xlfn.IFS(Table1[[#This Row],[Revenue]]&gt;=30000000,"High Spender",Table1[[#This Row],[Revenue]]&gt;=10000000,"Moderate Spender",TRUE,"Low Spender")</f>
        <v>Moderate Spender</v>
      </c>
      <c r="AF139" s="4" t="str" cm="1">
        <f t="array" ref="AF139">_xlfn.IFS(Table1[[#This Row],[Land_Size_SQM]]&gt;=730,"LARGE",Table1[[#This Row],[Land_Size_SQM]]&gt;=465,"MEDIUM",TRUE,"SMALL")</f>
        <v>SMALL</v>
      </c>
    </row>
    <row r="140" spans="1:32" x14ac:dyDescent="0.3">
      <c r="A140" t="s">
        <v>164</v>
      </c>
      <c r="B140" t="s">
        <v>534</v>
      </c>
      <c r="C140" t="s">
        <v>626</v>
      </c>
      <c r="D140">
        <v>45</v>
      </c>
      <c r="E140" t="s">
        <v>628</v>
      </c>
      <c r="F140">
        <v>765</v>
      </c>
      <c r="G140" s="4">
        <v>12494</v>
      </c>
      <c r="H140" s="4">
        <v>9557910</v>
      </c>
      <c r="I140" t="s">
        <v>656</v>
      </c>
      <c r="J140" t="s">
        <v>669</v>
      </c>
      <c r="K140" t="s">
        <v>638</v>
      </c>
      <c r="L140" t="s">
        <v>682</v>
      </c>
      <c r="M140" t="s">
        <v>686</v>
      </c>
      <c r="N140" t="s">
        <v>688</v>
      </c>
      <c r="O140" t="s">
        <v>694</v>
      </c>
      <c r="P140" s="4">
        <v>4659852</v>
      </c>
      <c r="Q140">
        <v>24</v>
      </c>
      <c r="R140" s="7">
        <v>2.3199999999999998</v>
      </c>
      <c r="S140" s="8">
        <f>Table1[[#This Row],[Discount_%]]/100</f>
        <v>2.3199999999999998E-2</v>
      </c>
      <c r="T140" s="6" t="s">
        <v>722</v>
      </c>
      <c r="U140" t="s">
        <v>991</v>
      </c>
      <c r="V140">
        <v>2024</v>
      </c>
      <c r="W140" t="s">
        <v>995</v>
      </c>
      <c r="X140" t="s">
        <v>997</v>
      </c>
      <c r="Y140" t="s">
        <v>1002</v>
      </c>
      <c r="Z140">
        <v>4</v>
      </c>
      <c r="AA140">
        <v>1</v>
      </c>
      <c r="AB140" s="4">
        <f>Table1[[#This Row],[Total_Price]]*(1-Table1[[#This Row],[Discount 2]])</f>
        <v>9336166.4879999999</v>
      </c>
      <c r="AC140" s="4" t="str" cm="1">
        <f t="array" ref="AC140">_xlfn.IFS(Table1[[#This Row],[Revenue]]&gt;=30000000,"High Value",Table1[[#This Row],[Revenue]]&gt;=10000000,"Moderate Value",TRUE,"Low Value")</f>
        <v>Low Value</v>
      </c>
      <c r="AD140" t="str">
        <f>IF(Table1[[#This Row],[Discount 2]]&gt;=5%, "YES", "NO")</f>
        <v>NO</v>
      </c>
      <c r="AE140" t="str" cm="1">
        <f t="array" ref="AE140">_xlfn.IFS(Table1[[#This Row],[Revenue]]&gt;=30000000,"High Spender",Table1[[#This Row],[Revenue]]&gt;=10000000,"Moderate Spender",TRUE,"Low Spender")</f>
        <v>Low Spender</v>
      </c>
      <c r="AF140" s="4" t="str" cm="1">
        <f t="array" ref="AF140">_xlfn.IFS(Table1[[#This Row],[Land_Size_SQM]]&gt;=730,"LARGE",Table1[[#This Row],[Land_Size_SQM]]&gt;=465,"MEDIUM",TRUE,"SMALL")</f>
        <v>LARGE</v>
      </c>
    </row>
    <row r="141" spans="1:32" x14ac:dyDescent="0.3">
      <c r="A141" t="s">
        <v>165</v>
      </c>
      <c r="B141" t="s">
        <v>579</v>
      </c>
      <c r="C141" t="s">
        <v>626</v>
      </c>
      <c r="D141">
        <v>32</v>
      </c>
      <c r="E141" t="s">
        <v>630</v>
      </c>
      <c r="F141">
        <v>485</v>
      </c>
      <c r="G141" s="4">
        <v>48121</v>
      </c>
      <c r="H141" s="4">
        <v>23338685</v>
      </c>
      <c r="I141" t="s">
        <v>653</v>
      </c>
      <c r="J141" t="s">
        <v>668</v>
      </c>
      <c r="K141" t="s">
        <v>679</v>
      </c>
      <c r="L141" t="s">
        <v>680</v>
      </c>
      <c r="M141" t="s">
        <v>687</v>
      </c>
      <c r="N141" t="s">
        <v>691</v>
      </c>
      <c r="O141" t="s">
        <v>693</v>
      </c>
      <c r="P141" s="4">
        <v>23338685</v>
      </c>
      <c r="Q141">
        <v>0</v>
      </c>
      <c r="R141" s="7">
        <v>5.77</v>
      </c>
      <c r="S141" s="8">
        <f>Table1[[#This Row],[Discount_%]]/100</f>
        <v>5.7699999999999994E-2</v>
      </c>
      <c r="T141" s="6" t="s">
        <v>701</v>
      </c>
      <c r="U141" t="s">
        <v>985</v>
      </c>
      <c r="V141">
        <v>2024</v>
      </c>
      <c r="W141" t="s">
        <v>994</v>
      </c>
      <c r="X141" t="s">
        <v>997</v>
      </c>
      <c r="Y141" t="s">
        <v>1002</v>
      </c>
      <c r="Z141">
        <v>5</v>
      </c>
      <c r="AA141">
        <v>26</v>
      </c>
      <c r="AB141" s="4">
        <f>Table1[[#This Row],[Total_Price]]*(1-Table1[[#This Row],[Discount 2]])</f>
        <v>21992042.875500001</v>
      </c>
      <c r="AC141" s="4" t="str" cm="1">
        <f t="array" ref="AC141">_xlfn.IFS(Table1[[#This Row],[Revenue]]&gt;=30000000,"High Value",Table1[[#This Row],[Revenue]]&gt;=10000000,"Moderate Value",TRUE,"Low Value")</f>
        <v>Moderate Value</v>
      </c>
      <c r="AD141" t="str">
        <f>IF(Table1[[#This Row],[Discount 2]]&gt;=5%, "YES", "NO")</f>
        <v>YES</v>
      </c>
      <c r="AE141" t="str" cm="1">
        <f t="array" ref="AE141">_xlfn.IFS(Table1[[#This Row],[Revenue]]&gt;=30000000,"High Spender",Table1[[#This Row],[Revenue]]&gt;=10000000,"Moderate Spender",TRUE,"Low Spender")</f>
        <v>Moderate Spender</v>
      </c>
      <c r="AF141" s="4" t="str" cm="1">
        <f t="array" ref="AF141">_xlfn.IFS(Table1[[#This Row],[Land_Size_SQM]]&gt;=730,"LARGE",Table1[[#This Row],[Land_Size_SQM]]&gt;=465,"MEDIUM",TRUE,"SMALL")</f>
        <v>MEDIUM</v>
      </c>
    </row>
    <row r="142" spans="1:32" x14ac:dyDescent="0.3">
      <c r="A142" t="s">
        <v>166</v>
      </c>
      <c r="B142" t="s">
        <v>566</v>
      </c>
      <c r="C142" t="s">
        <v>627</v>
      </c>
      <c r="D142">
        <v>63</v>
      </c>
      <c r="E142" t="s">
        <v>628</v>
      </c>
      <c r="F142">
        <v>560</v>
      </c>
      <c r="G142" s="4">
        <v>32006</v>
      </c>
      <c r="H142" s="4">
        <v>17923360</v>
      </c>
      <c r="I142" t="s">
        <v>638</v>
      </c>
      <c r="J142" t="s">
        <v>672</v>
      </c>
      <c r="K142" t="s">
        <v>651</v>
      </c>
      <c r="L142" t="s">
        <v>681</v>
      </c>
      <c r="M142" t="s">
        <v>685</v>
      </c>
      <c r="N142" t="s">
        <v>688</v>
      </c>
      <c r="O142" t="s">
        <v>693</v>
      </c>
      <c r="P142" s="4">
        <v>17923360</v>
      </c>
      <c r="Q142">
        <v>0</v>
      </c>
      <c r="R142" s="7">
        <v>8.14</v>
      </c>
      <c r="S142" s="8">
        <f>Table1[[#This Row],[Discount_%]]/100</f>
        <v>8.14E-2</v>
      </c>
      <c r="T142" s="6" t="s">
        <v>806</v>
      </c>
      <c r="U142" t="s">
        <v>984</v>
      </c>
      <c r="V142">
        <v>2024</v>
      </c>
      <c r="W142" t="s">
        <v>994</v>
      </c>
      <c r="X142" t="s">
        <v>999</v>
      </c>
      <c r="Y142" t="s">
        <v>1000</v>
      </c>
      <c r="Z142">
        <v>3</v>
      </c>
      <c r="AA142">
        <v>45</v>
      </c>
      <c r="AB142" s="4">
        <f>Table1[[#This Row],[Total_Price]]*(1-Table1[[#This Row],[Discount 2]])</f>
        <v>16464398.495999999</v>
      </c>
      <c r="AC142" s="4" t="str" cm="1">
        <f t="array" ref="AC142">_xlfn.IFS(Table1[[#This Row],[Revenue]]&gt;=30000000,"High Value",Table1[[#This Row],[Revenue]]&gt;=10000000,"Moderate Value",TRUE,"Low Value")</f>
        <v>Moderate Value</v>
      </c>
      <c r="AD142" t="str">
        <f>IF(Table1[[#This Row],[Discount 2]]&gt;=5%, "YES", "NO")</f>
        <v>YES</v>
      </c>
      <c r="AE142" t="str" cm="1">
        <f t="array" ref="AE142">_xlfn.IFS(Table1[[#This Row],[Revenue]]&gt;=30000000,"High Spender",Table1[[#This Row],[Revenue]]&gt;=10000000,"Moderate Spender",TRUE,"Low Spender")</f>
        <v>Moderate Spender</v>
      </c>
      <c r="AF142" s="4" t="str" cm="1">
        <f t="array" ref="AF142">_xlfn.IFS(Table1[[#This Row],[Land_Size_SQM]]&gt;=730,"LARGE",Table1[[#This Row],[Land_Size_SQM]]&gt;=465,"MEDIUM",TRUE,"SMALL")</f>
        <v>MEDIUM</v>
      </c>
    </row>
    <row r="143" spans="1:32" x14ac:dyDescent="0.3">
      <c r="A143" t="s">
        <v>167</v>
      </c>
      <c r="B143" t="s">
        <v>548</v>
      </c>
      <c r="C143" t="s">
        <v>627</v>
      </c>
      <c r="D143">
        <v>55</v>
      </c>
      <c r="E143" t="s">
        <v>628</v>
      </c>
      <c r="F143">
        <v>628</v>
      </c>
      <c r="G143" s="4">
        <v>41087</v>
      </c>
      <c r="H143" s="4">
        <v>25802636</v>
      </c>
      <c r="I143" t="s">
        <v>656</v>
      </c>
      <c r="J143" t="s">
        <v>669</v>
      </c>
      <c r="K143" t="s">
        <v>640</v>
      </c>
      <c r="L143" t="s">
        <v>681</v>
      </c>
      <c r="M143" t="s">
        <v>687</v>
      </c>
      <c r="N143" t="s">
        <v>688</v>
      </c>
      <c r="O143" t="s">
        <v>693</v>
      </c>
      <c r="P143" s="4">
        <v>25802636</v>
      </c>
      <c r="Q143">
        <v>0</v>
      </c>
      <c r="R143" s="7">
        <v>5.75</v>
      </c>
      <c r="S143" s="8">
        <f>Table1[[#This Row],[Discount_%]]/100</f>
        <v>5.7500000000000002E-2</v>
      </c>
      <c r="T143" s="6" t="s">
        <v>807</v>
      </c>
      <c r="U143" t="s">
        <v>989</v>
      </c>
      <c r="V143">
        <v>2024</v>
      </c>
      <c r="W143" t="s">
        <v>996</v>
      </c>
      <c r="X143" t="s">
        <v>998</v>
      </c>
      <c r="Y143" t="s">
        <v>1002</v>
      </c>
      <c r="Z143">
        <v>5</v>
      </c>
      <c r="AA143">
        <v>4</v>
      </c>
      <c r="AB143" s="4">
        <f>Table1[[#This Row],[Total_Price]]*(1-Table1[[#This Row],[Discount 2]])</f>
        <v>24318984.43</v>
      </c>
      <c r="AC143" s="4" t="str" cm="1">
        <f t="array" ref="AC143">_xlfn.IFS(Table1[[#This Row],[Revenue]]&gt;=30000000,"High Value",Table1[[#This Row],[Revenue]]&gt;=10000000,"Moderate Value",TRUE,"Low Value")</f>
        <v>Moderate Value</v>
      </c>
      <c r="AD143" t="str">
        <f>IF(Table1[[#This Row],[Discount 2]]&gt;=5%, "YES", "NO")</f>
        <v>YES</v>
      </c>
      <c r="AE143" t="str" cm="1">
        <f t="array" ref="AE143">_xlfn.IFS(Table1[[#This Row],[Revenue]]&gt;=30000000,"High Spender",Table1[[#This Row],[Revenue]]&gt;=10000000,"Moderate Spender",TRUE,"Low Spender")</f>
        <v>Moderate Spender</v>
      </c>
      <c r="AF143" s="4" t="str" cm="1">
        <f t="array" ref="AF143">_xlfn.IFS(Table1[[#This Row],[Land_Size_SQM]]&gt;=730,"LARGE",Table1[[#This Row],[Land_Size_SQM]]&gt;=465,"MEDIUM",TRUE,"SMALL")</f>
        <v>MEDIUM</v>
      </c>
    </row>
    <row r="144" spans="1:32" x14ac:dyDescent="0.3">
      <c r="A144" t="s">
        <v>168</v>
      </c>
      <c r="B144" t="s">
        <v>555</v>
      </c>
      <c r="C144" t="s">
        <v>627</v>
      </c>
      <c r="D144">
        <v>25</v>
      </c>
      <c r="E144" t="s">
        <v>629</v>
      </c>
      <c r="F144">
        <v>339</v>
      </c>
      <c r="G144" s="4">
        <v>14787</v>
      </c>
      <c r="H144" s="4">
        <v>5012793</v>
      </c>
      <c r="I144" t="s">
        <v>643</v>
      </c>
      <c r="J144" t="s">
        <v>671</v>
      </c>
      <c r="K144" t="s">
        <v>678</v>
      </c>
      <c r="L144" t="s">
        <v>680</v>
      </c>
      <c r="M144" t="s">
        <v>683</v>
      </c>
      <c r="N144" t="s">
        <v>690</v>
      </c>
      <c r="O144" t="s">
        <v>694</v>
      </c>
      <c r="P144" s="4">
        <v>1617830</v>
      </c>
      <c r="Q144">
        <v>24</v>
      </c>
      <c r="R144" s="7">
        <v>4.92</v>
      </c>
      <c r="S144" s="8">
        <f>Table1[[#This Row],[Discount_%]]/100</f>
        <v>4.9200000000000001E-2</v>
      </c>
      <c r="T144" s="6" t="s">
        <v>808</v>
      </c>
      <c r="U144" t="s">
        <v>984</v>
      </c>
      <c r="V144">
        <v>2024</v>
      </c>
      <c r="W144" t="s">
        <v>993</v>
      </c>
      <c r="X144" t="s">
        <v>998</v>
      </c>
      <c r="Y144" t="s">
        <v>1000</v>
      </c>
      <c r="Z144">
        <v>5</v>
      </c>
      <c r="AA144">
        <v>19</v>
      </c>
      <c r="AB144" s="4">
        <f>Table1[[#This Row],[Total_Price]]*(1-Table1[[#This Row],[Discount 2]])</f>
        <v>4766163.5844000001</v>
      </c>
      <c r="AC144" s="4" t="str" cm="1">
        <f t="array" ref="AC144">_xlfn.IFS(Table1[[#This Row],[Revenue]]&gt;=30000000,"High Value",Table1[[#This Row],[Revenue]]&gt;=10000000,"Moderate Value",TRUE,"Low Value")</f>
        <v>Low Value</v>
      </c>
      <c r="AD144" t="str">
        <f>IF(Table1[[#This Row],[Discount 2]]&gt;=5%, "YES", "NO")</f>
        <v>NO</v>
      </c>
      <c r="AE144" t="str" cm="1">
        <f t="array" ref="AE144">_xlfn.IFS(Table1[[#This Row],[Revenue]]&gt;=30000000,"High Spender",Table1[[#This Row],[Revenue]]&gt;=10000000,"Moderate Spender",TRUE,"Low Spender")</f>
        <v>Low Spender</v>
      </c>
      <c r="AF144" s="4" t="str" cm="1">
        <f t="array" ref="AF144">_xlfn.IFS(Table1[[#This Row],[Land_Size_SQM]]&gt;=730,"LARGE",Table1[[#This Row],[Land_Size_SQM]]&gt;=465,"MEDIUM",TRUE,"SMALL")</f>
        <v>SMALL</v>
      </c>
    </row>
    <row r="145" spans="1:32" x14ac:dyDescent="0.3">
      <c r="A145" t="s">
        <v>169</v>
      </c>
      <c r="B145" t="s">
        <v>597</v>
      </c>
      <c r="C145" t="s">
        <v>627</v>
      </c>
      <c r="D145">
        <v>48</v>
      </c>
      <c r="E145" t="s">
        <v>629</v>
      </c>
      <c r="F145">
        <v>960</v>
      </c>
      <c r="G145" s="4">
        <v>34460</v>
      </c>
      <c r="H145" s="4">
        <v>33081600</v>
      </c>
      <c r="I145" t="s">
        <v>632</v>
      </c>
      <c r="J145" t="s">
        <v>669</v>
      </c>
      <c r="K145" t="s">
        <v>674</v>
      </c>
      <c r="L145" t="s">
        <v>680</v>
      </c>
      <c r="M145" t="s">
        <v>684</v>
      </c>
      <c r="N145" t="s">
        <v>689</v>
      </c>
      <c r="O145" t="s">
        <v>693</v>
      </c>
      <c r="P145" s="4">
        <v>33081600</v>
      </c>
      <c r="Q145">
        <v>0</v>
      </c>
      <c r="R145" s="7">
        <v>5.73</v>
      </c>
      <c r="S145" s="8">
        <f>Table1[[#This Row],[Discount_%]]/100</f>
        <v>5.7300000000000004E-2</v>
      </c>
      <c r="T145" s="6" t="s">
        <v>809</v>
      </c>
      <c r="U145" t="s">
        <v>992</v>
      </c>
      <c r="V145">
        <v>2024</v>
      </c>
      <c r="W145" t="s">
        <v>996</v>
      </c>
      <c r="X145" t="s">
        <v>998</v>
      </c>
      <c r="Y145" t="s">
        <v>1000</v>
      </c>
      <c r="Z145">
        <v>4</v>
      </c>
      <c r="AA145">
        <v>17</v>
      </c>
      <c r="AB145" s="4">
        <f>Table1[[#This Row],[Total_Price]]*(1-Table1[[#This Row],[Discount 2]])</f>
        <v>31186024.32</v>
      </c>
      <c r="AC145" s="4" t="str" cm="1">
        <f t="array" ref="AC145">_xlfn.IFS(Table1[[#This Row],[Revenue]]&gt;=30000000,"High Value",Table1[[#This Row],[Revenue]]&gt;=10000000,"Moderate Value",TRUE,"Low Value")</f>
        <v>High Value</v>
      </c>
      <c r="AD145" t="str">
        <f>IF(Table1[[#This Row],[Discount 2]]&gt;=5%, "YES", "NO")</f>
        <v>YES</v>
      </c>
      <c r="AE145" t="str" cm="1">
        <f t="array" ref="AE145">_xlfn.IFS(Table1[[#This Row],[Revenue]]&gt;=30000000,"High Spender",Table1[[#This Row],[Revenue]]&gt;=10000000,"Moderate Spender",TRUE,"Low Spender")</f>
        <v>High Spender</v>
      </c>
      <c r="AF145" s="4" t="str" cm="1">
        <f t="array" ref="AF145">_xlfn.IFS(Table1[[#This Row],[Land_Size_SQM]]&gt;=730,"LARGE",Table1[[#This Row],[Land_Size_SQM]]&gt;=465,"MEDIUM",TRUE,"SMALL")</f>
        <v>LARGE</v>
      </c>
    </row>
    <row r="146" spans="1:32" x14ac:dyDescent="0.3">
      <c r="A146" t="s">
        <v>170</v>
      </c>
      <c r="B146" t="s">
        <v>598</v>
      </c>
      <c r="C146" t="s">
        <v>626</v>
      </c>
      <c r="D146">
        <v>30</v>
      </c>
      <c r="E146" t="s">
        <v>629</v>
      </c>
      <c r="F146">
        <v>320</v>
      </c>
      <c r="G146" s="4">
        <v>17528</v>
      </c>
      <c r="H146" s="4">
        <v>5608960</v>
      </c>
      <c r="I146" t="s">
        <v>643</v>
      </c>
      <c r="J146" t="s">
        <v>671</v>
      </c>
      <c r="K146" t="s">
        <v>678</v>
      </c>
      <c r="L146" t="s">
        <v>680</v>
      </c>
      <c r="M146" t="s">
        <v>683</v>
      </c>
      <c r="N146" t="s">
        <v>688</v>
      </c>
      <c r="O146" t="s">
        <v>693</v>
      </c>
      <c r="P146" s="4">
        <v>5608960</v>
      </c>
      <c r="Q146">
        <v>0</v>
      </c>
      <c r="R146" s="7">
        <v>8.11</v>
      </c>
      <c r="S146" s="8">
        <f>Table1[[#This Row],[Discount_%]]/100</f>
        <v>8.1099999999999992E-2</v>
      </c>
      <c r="T146" s="6" t="s">
        <v>810</v>
      </c>
      <c r="U146" t="s">
        <v>985</v>
      </c>
      <c r="V146">
        <v>2024</v>
      </c>
      <c r="W146" t="s">
        <v>993</v>
      </c>
      <c r="X146" t="s">
        <v>997</v>
      </c>
      <c r="Y146" t="s">
        <v>1002</v>
      </c>
      <c r="Z146">
        <v>5</v>
      </c>
      <c r="AA146">
        <v>18</v>
      </c>
      <c r="AB146" s="4">
        <f>Table1[[#This Row],[Total_Price]]*(1-Table1[[#This Row],[Discount 2]])</f>
        <v>5154073.3440000005</v>
      </c>
      <c r="AC146" s="4" t="str" cm="1">
        <f t="array" ref="AC146">_xlfn.IFS(Table1[[#This Row],[Revenue]]&gt;=30000000,"High Value",Table1[[#This Row],[Revenue]]&gt;=10000000,"Moderate Value",TRUE,"Low Value")</f>
        <v>Low Value</v>
      </c>
      <c r="AD146" t="str">
        <f>IF(Table1[[#This Row],[Discount 2]]&gt;=5%, "YES", "NO")</f>
        <v>YES</v>
      </c>
      <c r="AE146" t="str" cm="1">
        <f t="array" ref="AE146">_xlfn.IFS(Table1[[#This Row],[Revenue]]&gt;=30000000,"High Spender",Table1[[#This Row],[Revenue]]&gt;=10000000,"Moderate Spender",TRUE,"Low Spender")</f>
        <v>Low Spender</v>
      </c>
      <c r="AF146" s="4" t="str" cm="1">
        <f t="array" ref="AF146">_xlfn.IFS(Table1[[#This Row],[Land_Size_SQM]]&gt;=730,"LARGE",Table1[[#This Row],[Land_Size_SQM]]&gt;=465,"MEDIUM",TRUE,"SMALL")</f>
        <v>SMALL</v>
      </c>
    </row>
    <row r="147" spans="1:32" x14ac:dyDescent="0.3">
      <c r="A147" t="s">
        <v>171</v>
      </c>
      <c r="B147" t="s">
        <v>556</v>
      </c>
      <c r="C147" t="s">
        <v>626</v>
      </c>
      <c r="D147">
        <v>23</v>
      </c>
      <c r="E147" t="s">
        <v>630</v>
      </c>
      <c r="F147">
        <v>531</v>
      </c>
      <c r="G147" s="4">
        <v>48140</v>
      </c>
      <c r="H147" s="4">
        <v>25562340</v>
      </c>
      <c r="I147" t="s">
        <v>665</v>
      </c>
      <c r="J147" t="s">
        <v>672</v>
      </c>
      <c r="K147" t="s">
        <v>638</v>
      </c>
      <c r="L147" t="s">
        <v>682</v>
      </c>
      <c r="M147" t="s">
        <v>683</v>
      </c>
      <c r="N147" t="s">
        <v>688</v>
      </c>
      <c r="O147" t="s">
        <v>694</v>
      </c>
      <c r="P147" s="4">
        <v>9504606</v>
      </c>
      <c r="Q147">
        <v>12</v>
      </c>
      <c r="R147" s="7">
        <v>9.52</v>
      </c>
      <c r="S147" s="8">
        <f>Table1[[#This Row],[Discount_%]]/100</f>
        <v>9.5199999999999993E-2</v>
      </c>
      <c r="T147" s="6" t="s">
        <v>777</v>
      </c>
      <c r="U147" t="s">
        <v>986</v>
      </c>
      <c r="V147">
        <v>2024</v>
      </c>
      <c r="W147" t="s">
        <v>996</v>
      </c>
      <c r="X147" t="s">
        <v>999</v>
      </c>
      <c r="Y147" t="s">
        <v>1001</v>
      </c>
      <c r="Z147">
        <v>3</v>
      </c>
      <c r="AA147">
        <v>16</v>
      </c>
      <c r="AB147" s="4">
        <f>Table1[[#This Row],[Total_Price]]*(1-Table1[[#This Row],[Discount 2]])</f>
        <v>23128805.232000001</v>
      </c>
      <c r="AC147" s="4" t="str" cm="1">
        <f t="array" ref="AC147">_xlfn.IFS(Table1[[#This Row],[Revenue]]&gt;=30000000,"High Value",Table1[[#This Row],[Revenue]]&gt;=10000000,"Moderate Value",TRUE,"Low Value")</f>
        <v>Moderate Value</v>
      </c>
      <c r="AD147" t="str">
        <f>IF(Table1[[#This Row],[Discount 2]]&gt;=5%, "YES", "NO")</f>
        <v>YES</v>
      </c>
      <c r="AE147" t="str" cm="1">
        <f t="array" ref="AE147">_xlfn.IFS(Table1[[#This Row],[Revenue]]&gt;=30000000,"High Spender",Table1[[#This Row],[Revenue]]&gt;=10000000,"Moderate Spender",TRUE,"Low Spender")</f>
        <v>Moderate Spender</v>
      </c>
      <c r="AF147" s="4" t="str" cm="1">
        <f t="array" ref="AF147">_xlfn.IFS(Table1[[#This Row],[Land_Size_SQM]]&gt;=730,"LARGE",Table1[[#This Row],[Land_Size_SQM]]&gt;=465,"MEDIUM",TRUE,"SMALL")</f>
        <v>MEDIUM</v>
      </c>
    </row>
    <row r="148" spans="1:32" x14ac:dyDescent="0.3">
      <c r="A148" t="s">
        <v>172</v>
      </c>
      <c r="B148" t="s">
        <v>593</v>
      </c>
      <c r="C148" t="s">
        <v>626</v>
      </c>
      <c r="D148">
        <v>64</v>
      </c>
      <c r="E148" t="s">
        <v>630</v>
      </c>
      <c r="F148">
        <v>345</v>
      </c>
      <c r="G148" s="4">
        <v>39842</v>
      </c>
      <c r="H148" s="4">
        <v>13745490</v>
      </c>
      <c r="I148" t="s">
        <v>633</v>
      </c>
      <c r="J148" t="s">
        <v>668</v>
      </c>
      <c r="K148" t="s">
        <v>678</v>
      </c>
      <c r="L148" t="s">
        <v>681</v>
      </c>
      <c r="M148" t="s">
        <v>684</v>
      </c>
      <c r="N148" t="s">
        <v>690</v>
      </c>
      <c r="O148" t="s">
        <v>694</v>
      </c>
      <c r="P148" s="4">
        <v>4296176</v>
      </c>
      <c r="Q148">
        <v>24</v>
      </c>
      <c r="R148" s="7">
        <v>0.76</v>
      </c>
      <c r="S148" s="8">
        <f>Table1[[#This Row],[Discount_%]]/100</f>
        <v>7.6E-3</v>
      </c>
      <c r="T148" s="6" t="s">
        <v>811</v>
      </c>
      <c r="U148" t="s">
        <v>981</v>
      </c>
      <c r="V148">
        <v>2024</v>
      </c>
      <c r="W148" t="s">
        <v>993</v>
      </c>
      <c r="X148" t="s">
        <v>997</v>
      </c>
      <c r="Y148" t="s">
        <v>1000</v>
      </c>
      <c r="Z148">
        <v>4</v>
      </c>
      <c r="AA148">
        <v>41</v>
      </c>
      <c r="AB148" s="4">
        <f>Table1[[#This Row],[Total_Price]]*(1-Table1[[#This Row],[Discount 2]])</f>
        <v>13641024.275999999</v>
      </c>
      <c r="AC148" s="4" t="str" cm="1">
        <f t="array" ref="AC148">_xlfn.IFS(Table1[[#This Row],[Revenue]]&gt;=30000000,"High Value",Table1[[#This Row],[Revenue]]&gt;=10000000,"Moderate Value",TRUE,"Low Value")</f>
        <v>Moderate Value</v>
      </c>
      <c r="AD148" t="str">
        <f>IF(Table1[[#This Row],[Discount 2]]&gt;=5%, "YES", "NO")</f>
        <v>NO</v>
      </c>
      <c r="AE148" t="str" cm="1">
        <f t="array" ref="AE148">_xlfn.IFS(Table1[[#This Row],[Revenue]]&gt;=30000000,"High Spender",Table1[[#This Row],[Revenue]]&gt;=10000000,"Moderate Spender",TRUE,"Low Spender")</f>
        <v>Moderate Spender</v>
      </c>
      <c r="AF148" s="4" t="str" cm="1">
        <f t="array" ref="AF148">_xlfn.IFS(Table1[[#This Row],[Land_Size_SQM]]&gt;=730,"LARGE",Table1[[#This Row],[Land_Size_SQM]]&gt;=465,"MEDIUM",TRUE,"SMALL")</f>
        <v>SMALL</v>
      </c>
    </row>
    <row r="149" spans="1:32" x14ac:dyDescent="0.3">
      <c r="A149" t="s">
        <v>173</v>
      </c>
      <c r="B149" t="s">
        <v>532</v>
      </c>
      <c r="C149" t="s">
        <v>626</v>
      </c>
      <c r="D149">
        <v>41</v>
      </c>
      <c r="E149" t="s">
        <v>629</v>
      </c>
      <c r="F149">
        <v>264</v>
      </c>
      <c r="G149" s="4">
        <v>37024</v>
      </c>
      <c r="H149" s="4">
        <v>9774336</v>
      </c>
      <c r="I149" t="s">
        <v>659</v>
      </c>
      <c r="J149" t="s">
        <v>668</v>
      </c>
      <c r="K149" t="s">
        <v>651</v>
      </c>
      <c r="L149" t="s">
        <v>682</v>
      </c>
      <c r="M149" t="s">
        <v>683</v>
      </c>
      <c r="N149" t="s">
        <v>692</v>
      </c>
      <c r="O149" t="s">
        <v>694</v>
      </c>
      <c r="P149" s="4">
        <v>4793711</v>
      </c>
      <c r="Q149">
        <v>6</v>
      </c>
      <c r="R149" s="7">
        <v>8.25</v>
      </c>
      <c r="S149" s="8">
        <f>Table1[[#This Row],[Discount_%]]/100</f>
        <v>8.2500000000000004E-2</v>
      </c>
      <c r="T149" s="6" t="s">
        <v>812</v>
      </c>
      <c r="U149" t="s">
        <v>986</v>
      </c>
      <c r="V149">
        <v>2024</v>
      </c>
      <c r="W149" t="s">
        <v>995</v>
      </c>
      <c r="X149" t="s">
        <v>998</v>
      </c>
      <c r="Y149" t="s">
        <v>1001</v>
      </c>
      <c r="Z149">
        <v>1</v>
      </c>
      <c r="AA149">
        <v>3</v>
      </c>
      <c r="AB149" s="4">
        <f>Table1[[#This Row],[Total_Price]]*(1-Table1[[#This Row],[Discount 2]])</f>
        <v>8967953.2799999993</v>
      </c>
      <c r="AC149" s="4" t="str" cm="1">
        <f t="array" ref="AC149">_xlfn.IFS(Table1[[#This Row],[Revenue]]&gt;=30000000,"High Value",Table1[[#This Row],[Revenue]]&gt;=10000000,"Moderate Value",TRUE,"Low Value")</f>
        <v>Low Value</v>
      </c>
      <c r="AD149" t="str">
        <f>IF(Table1[[#This Row],[Discount 2]]&gt;=5%, "YES", "NO")</f>
        <v>YES</v>
      </c>
      <c r="AE149" t="str" cm="1">
        <f t="array" ref="AE149">_xlfn.IFS(Table1[[#This Row],[Revenue]]&gt;=30000000,"High Spender",Table1[[#This Row],[Revenue]]&gt;=10000000,"Moderate Spender",TRUE,"Low Spender")</f>
        <v>Low Spender</v>
      </c>
      <c r="AF149" s="4" t="str" cm="1">
        <f t="array" ref="AF149">_xlfn.IFS(Table1[[#This Row],[Land_Size_SQM]]&gt;=730,"LARGE",Table1[[#This Row],[Land_Size_SQM]]&gt;=465,"MEDIUM",TRUE,"SMALL")</f>
        <v>SMALL</v>
      </c>
    </row>
    <row r="150" spans="1:32" x14ac:dyDescent="0.3">
      <c r="A150" t="s">
        <v>174</v>
      </c>
      <c r="B150" t="s">
        <v>599</v>
      </c>
      <c r="C150" t="s">
        <v>627</v>
      </c>
      <c r="D150">
        <v>61</v>
      </c>
      <c r="E150" t="s">
        <v>630</v>
      </c>
      <c r="F150">
        <v>216</v>
      </c>
      <c r="G150" s="4">
        <v>10142</v>
      </c>
      <c r="H150" s="4">
        <v>2190672</v>
      </c>
      <c r="I150" t="s">
        <v>662</v>
      </c>
      <c r="J150" t="s">
        <v>673</v>
      </c>
      <c r="K150" t="s">
        <v>678</v>
      </c>
      <c r="L150" t="s">
        <v>680</v>
      </c>
      <c r="M150" t="s">
        <v>687</v>
      </c>
      <c r="N150" t="s">
        <v>689</v>
      </c>
      <c r="O150" t="s">
        <v>693</v>
      </c>
      <c r="P150" s="4">
        <v>2190672</v>
      </c>
      <c r="Q150">
        <v>0</v>
      </c>
      <c r="R150" s="7">
        <v>4.41</v>
      </c>
      <c r="S150" s="8">
        <f>Table1[[#This Row],[Discount_%]]/100</f>
        <v>4.41E-2</v>
      </c>
      <c r="T150" s="6" t="s">
        <v>715</v>
      </c>
      <c r="U150" t="s">
        <v>988</v>
      </c>
      <c r="V150">
        <v>2024</v>
      </c>
      <c r="W150" t="s">
        <v>994</v>
      </c>
      <c r="X150" t="s">
        <v>998</v>
      </c>
      <c r="Y150" t="s">
        <v>1000</v>
      </c>
      <c r="Z150">
        <v>3</v>
      </c>
      <c r="AA150">
        <v>43</v>
      </c>
      <c r="AB150" s="4">
        <f>Table1[[#This Row],[Total_Price]]*(1-Table1[[#This Row],[Discount 2]])</f>
        <v>2094063.3647999999</v>
      </c>
      <c r="AC150" s="4" t="str" cm="1">
        <f t="array" ref="AC150">_xlfn.IFS(Table1[[#This Row],[Revenue]]&gt;=30000000,"High Value",Table1[[#This Row],[Revenue]]&gt;=10000000,"Moderate Value",TRUE,"Low Value")</f>
        <v>Low Value</v>
      </c>
      <c r="AD150" t="str">
        <f>IF(Table1[[#This Row],[Discount 2]]&gt;=5%, "YES", "NO")</f>
        <v>NO</v>
      </c>
      <c r="AE150" t="str" cm="1">
        <f t="array" ref="AE150">_xlfn.IFS(Table1[[#This Row],[Revenue]]&gt;=30000000,"High Spender",Table1[[#This Row],[Revenue]]&gt;=10000000,"Moderate Spender",TRUE,"Low Spender")</f>
        <v>Low Spender</v>
      </c>
      <c r="AF150" s="4" t="str" cm="1">
        <f t="array" ref="AF150">_xlfn.IFS(Table1[[#This Row],[Land_Size_SQM]]&gt;=730,"LARGE",Table1[[#This Row],[Land_Size_SQM]]&gt;=465,"MEDIUM",TRUE,"SMALL")</f>
        <v>SMALL</v>
      </c>
    </row>
    <row r="151" spans="1:32" x14ac:dyDescent="0.3">
      <c r="A151" t="s">
        <v>175</v>
      </c>
      <c r="B151" t="s">
        <v>574</v>
      </c>
      <c r="C151" t="s">
        <v>626</v>
      </c>
      <c r="D151">
        <v>24</v>
      </c>
      <c r="E151" t="s">
        <v>628</v>
      </c>
      <c r="F151">
        <v>605</v>
      </c>
      <c r="G151" s="4">
        <v>42999</v>
      </c>
      <c r="H151" s="4">
        <v>26014395</v>
      </c>
      <c r="I151" t="s">
        <v>653</v>
      </c>
      <c r="J151" t="s">
        <v>668</v>
      </c>
      <c r="K151" t="s">
        <v>664</v>
      </c>
      <c r="L151" t="s">
        <v>682</v>
      </c>
      <c r="M151" t="s">
        <v>683</v>
      </c>
      <c r="N151" t="s">
        <v>692</v>
      </c>
      <c r="O151" t="s">
        <v>694</v>
      </c>
      <c r="P151" s="4">
        <v>8552734</v>
      </c>
      <c r="Q151">
        <v>6</v>
      </c>
      <c r="R151" s="7">
        <v>0.91</v>
      </c>
      <c r="S151" s="8">
        <f>Table1[[#This Row],[Discount_%]]/100</f>
        <v>9.1000000000000004E-3</v>
      </c>
      <c r="T151" s="6" t="s">
        <v>813</v>
      </c>
      <c r="U151" t="s">
        <v>981</v>
      </c>
      <c r="V151">
        <v>2024</v>
      </c>
      <c r="W151" t="s">
        <v>995</v>
      </c>
      <c r="X151" t="s">
        <v>999</v>
      </c>
      <c r="Y151" t="s">
        <v>1000</v>
      </c>
      <c r="Z151">
        <v>3</v>
      </c>
      <c r="AA151">
        <v>8</v>
      </c>
      <c r="AB151" s="4">
        <f>Table1[[#This Row],[Total_Price]]*(1-Table1[[#This Row],[Discount 2]])</f>
        <v>25777664.0055</v>
      </c>
      <c r="AC151" s="4" t="str" cm="1">
        <f t="array" ref="AC151">_xlfn.IFS(Table1[[#This Row],[Revenue]]&gt;=30000000,"High Value",Table1[[#This Row],[Revenue]]&gt;=10000000,"Moderate Value",TRUE,"Low Value")</f>
        <v>Moderate Value</v>
      </c>
      <c r="AD151" t="str">
        <f>IF(Table1[[#This Row],[Discount 2]]&gt;=5%, "YES", "NO")</f>
        <v>NO</v>
      </c>
      <c r="AE151" t="str" cm="1">
        <f t="array" ref="AE151">_xlfn.IFS(Table1[[#This Row],[Revenue]]&gt;=30000000,"High Spender",Table1[[#This Row],[Revenue]]&gt;=10000000,"Moderate Spender",TRUE,"Low Spender")</f>
        <v>Moderate Spender</v>
      </c>
      <c r="AF151" s="4" t="str" cm="1">
        <f t="array" ref="AF151">_xlfn.IFS(Table1[[#This Row],[Land_Size_SQM]]&gt;=730,"LARGE",Table1[[#This Row],[Land_Size_SQM]]&gt;=465,"MEDIUM",TRUE,"SMALL")</f>
        <v>MEDIUM</v>
      </c>
    </row>
    <row r="152" spans="1:32" x14ac:dyDescent="0.3">
      <c r="A152" t="s">
        <v>176</v>
      </c>
      <c r="B152" t="s">
        <v>571</v>
      </c>
      <c r="C152" t="s">
        <v>626</v>
      </c>
      <c r="D152">
        <v>39</v>
      </c>
      <c r="E152" t="s">
        <v>628</v>
      </c>
      <c r="F152">
        <v>689</v>
      </c>
      <c r="G152" s="4">
        <v>6641</v>
      </c>
      <c r="H152" s="4">
        <v>4575649</v>
      </c>
      <c r="I152" t="s">
        <v>634</v>
      </c>
      <c r="J152" t="s">
        <v>670</v>
      </c>
      <c r="K152" t="s">
        <v>638</v>
      </c>
      <c r="L152" t="s">
        <v>681</v>
      </c>
      <c r="M152" t="s">
        <v>683</v>
      </c>
      <c r="N152" t="s">
        <v>688</v>
      </c>
      <c r="O152" t="s">
        <v>693</v>
      </c>
      <c r="P152" s="4">
        <v>4575649</v>
      </c>
      <c r="Q152">
        <v>0</v>
      </c>
      <c r="R152" s="7">
        <v>3.83</v>
      </c>
      <c r="S152" s="8">
        <f>Table1[[#This Row],[Discount_%]]/100</f>
        <v>3.8300000000000001E-2</v>
      </c>
      <c r="T152" s="6" t="s">
        <v>695</v>
      </c>
      <c r="U152" t="s">
        <v>981</v>
      </c>
      <c r="V152">
        <v>2024</v>
      </c>
      <c r="W152" t="s">
        <v>993</v>
      </c>
      <c r="X152" t="s">
        <v>997</v>
      </c>
      <c r="Y152" t="s">
        <v>1001</v>
      </c>
      <c r="Z152">
        <v>1</v>
      </c>
      <c r="AA152">
        <v>40</v>
      </c>
      <c r="AB152" s="4">
        <f>Table1[[#This Row],[Total_Price]]*(1-Table1[[#This Row],[Discount 2]])</f>
        <v>4400401.6432999996</v>
      </c>
      <c r="AC152" s="4" t="str" cm="1">
        <f t="array" ref="AC152">_xlfn.IFS(Table1[[#This Row],[Revenue]]&gt;=30000000,"High Value",Table1[[#This Row],[Revenue]]&gt;=10000000,"Moderate Value",TRUE,"Low Value")</f>
        <v>Low Value</v>
      </c>
      <c r="AD152" t="str">
        <f>IF(Table1[[#This Row],[Discount 2]]&gt;=5%, "YES", "NO")</f>
        <v>NO</v>
      </c>
      <c r="AE152" t="str" cm="1">
        <f t="array" ref="AE152">_xlfn.IFS(Table1[[#This Row],[Revenue]]&gt;=30000000,"High Spender",Table1[[#This Row],[Revenue]]&gt;=10000000,"Moderate Spender",TRUE,"Low Spender")</f>
        <v>Low Spender</v>
      </c>
      <c r="AF152" s="4" t="str" cm="1">
        <f t="array" ref="AF152">_xlfn.IFS(Table1[[#This Row],[Land_Size_SQM]]&gt;=730,"LARGE",Table1[[#This Row],[Land_Size_SQM]]&gt;=465,"MEDIUM",TRUE,"SMALL")</f>
        <v>MEDIUM</v>
      </c>
    </row>
    <row r="153" spans="1:32" x14ac:dyDescent="0.3">
      <c r="A153" t="s">
        <v>177</v>
      </c>
      <c r="B153" t="s">
        <v>577</v>
      </c>
      <c r="C153" t="s">
        <v>626</v>
      </c>
      <c r="D153">
        <v>33</v>
      </c>
      <c r="E153" t="s">
        <v>628</v>
      </c>
      <c r="F153">
        <v>559</v>
      </c>
      <c r="G153" s="4">
        <v>49345</v>
      </c>
      <c r="H153" s="4">
        <v>27583855</v>
      </c>
      <c r="I153" t="s">
        <v>653</v>
      </c>
      <c r="J153" t="s">
        <v>668</v>
      </c>
      <c r="K153" t="s">
        <v>678</v>
      </c>
      <c r="L153" t="s">
        <v>680</v>
      </c>
      <c r="M153" t="s">
        <v>683</v>
      </c>
      <c r="N153" t="s">
        <v>689</v>
      </c>
      <c r="O153" t="s">
        <v>693</v>
      </c>
      <c r="P153" s="4">
        <v>27583855</v>
      </c>
      <c r="Q153">
        <v>0</v>
      </c>
      <c r="R153" s="7">
        <v>6.28</v>
      </c>
      <c r="S153" s="8">
        <f>Table1[[#This Row],[Discount_%]]/100</f>
        <v>6.2800000000000009E-2</v>
      </c>
      <c r="T153" s="6" t="s">
        <v>814</v>
      </c>
      <c r="U153" t="s">
        <v>987</v>
      </c>
      <c r="V153">
        <v>2024</v>
      </c>
      <c r="W153" t="s">
        <v>995</v>
      </c>
      <c r="X153" t="s">
        <v>998</v>
      </c>
      <c r="Y153" t="s">
        <v>1002</v>
      </c>
      <c r="Z153">
        <v>3</v>
      </c>
      <c r="AA153">
        <v>9</v>
      </c>
      <c r="AB153" s="4">
        <f>Table1[[#This Row],[Total_Price]]*(1-Table1[[#This Row],[Discount 2]])</f>
        <v>25851588.905999999</v>
      </c>
      <c r="AC153" s="4" t="str" cm="1">
        <f t="array" ref="AC153">_xlfn.IFS(Table1[[#This Row],[Revenue]]&gt;=30000000,"High Value",Table1[[#This Row],[Revenue]]&gt;=10000000,"Moderate Value",TRUE,"Low Value")</f>
        <v>Moderate Value</v>
      </c>
      <c r="AD153" t="str">
        <f>IF(Table1[[#This Row],[Discount 2]]&gt;=5%, "YES", "NO")</f>
        <v>YES</v>
      </c>
      <c r="AE153" t="str" cm="1">
        <f t="array" ref="AE153">_xlfn.IFS(Table1[[#This Row],[Revenue]]&gt;=30000000,"High Spender",Table1[[#This Row],[Revenue]]&gt;=10000000,"Moderate Spender",TRUE,"Low Spender")</f>
        <v>Moderate Spender</v>
      </c>
      <c r="AF153" s="4" t="str" cm="1">
        <f t="array" ref="AF153">_xlfn.IFS(Table1[[#This Row],[Land_Size_SQM]]&gt;=730,"LARGE",Table1[[#This Row],[Land_Size_SQM]]&gt;=465,"MEDIUM",TRUE,"SMALL")</f>
        <v>MEDIUM</v>
      </c>
    </row>
    <row r="154" spans="1:32" x14ac:dyDescent="0.3">
      <c r="A154" t="s">
        <v>178</v>
      </c>
      <c r="B154" t="s">
        <v>583</v>
      </c>
      <c r="C154" t="s">
        <v>627</v>
      </c>
      <c r="D154">
        <v>45</v>
      </c>
      <c r="E154" t="s">
        <v>630</v>
      </c>
      <c r="F154">
        <v>454</v>
      </c>
      <c r="G154" s="4">
        <v>38267</v>
      </c>
      <c r="H154" s="4">
        <v>17373218</v>
      </c>
      <c r="I154" t="s">
        <v>651</v>
      </c>
      <c r="J154" t="s">
        <v>669</v>
      </c>
      <c r="K154" t="s">
        <v>676</v>
      </c>
      <c r="L154" t="s">
        <v>682</v>
      </c>
      <c r="M154" t="s">
        <v>685</v>
      </c>
      <c r="N154" t="s">
        <v>688</v>
      </c>
      <c r="O154" t="s">
        <v>694</v>
      </c>
      <c r="P154" s="4">
        <v>7893828</v>
      </c>
      <c r="Q154">
        <v>3</v>
      </c>
      <c r="R154" s="7">
        <v>6.58</v>
      </c>
      <c r="S154" s="8">
        <f>Table1[[#This Row],[Discount_%]]/100</f>
        <v>6.5799999999999997E-2</v>
      </c>
      <c r="T154" s="6" t="s">
        <v>815</v>
      </c>
      <c r="U154" t="s">
        <v>982</v>
      </c>
      <c r="V154">
        <v>2024</v>
      </c>
      <c r="W154" t="s">
        <v>995</v>
      </c>
      <c r="X154" t="s">
        <v>998</v>
      </c>
      <c r="Y154" t="s">
        <v>1000</v>
      </c>
      <c r="Z154">
        <v>2</v>
      </c>
      <c r="AA154">
        <v>32</v>
      </c>
      <c r="AB154" s="4">
        <f>Table1[[#This Row],[Total_Price]]*(1-Table1[[#This Row],[Discount 2]])</f>
        <v>16230060.2556</v>
      </c>
      <c r="AC154" s="4" t="str" cm="1">
        <f t="array" ref="AC154">_xlfn.IFS(Table1[[#This Row],[Revenue]]&gt;=30000000,"High Value",Table1[[#This Row],[Revenue]]&gt;=10000000,"Moderate Value",TRUE,"Low Value")</f>
        <v>Moderate Value</v>
      </c>
      <c r="AD154" t="str">
        <f>IF(Table1[[#This Row],[Discount 2]]&gt;=5%, "YES", "NO")</f>
        <v>YES</v>
      </c>
      <c r="AE154" t="str" cm="1">
        <f t="array" ref="AE154">_xlfn.IFS(Table1[[#This Row],[Revenue]]&gt;=30000000,"High Spender",Table1[[#This Row],[Revenue]]&gt;=10000000,"Moderate Spender",TRUE,"Low Spender")</f>
        <v>Moderate Spender</v>
      </c>
      <c r="AF154" s="4" t="str" cm="1">
        <f t="array" ref="AF154">_xlfn.IFS(Table1[[#This Row],[Land_Size_SQM]]&gt;=730,"LARGE",Table1[[#This Row],[Land_Size_SQM]]&gt;=465,"MEDIUM",TRUE,"SMALL")</f>
        <v>SMALL</v>
      </c>
    </row>
    <row r="155" spans="1:32" x14ac:dyDescent="0.3">
      <c r="A155" t="s">
        <v>179</v>
      </c>
      <c r="B155" t="s">
        <v>600</v>
      </c>
      <c r="C155" t="s">
        <v>627</v>
      </c>
      <c r="D155">
        <v>50</v>
      </c>
      <c r="E155" t="s">
        <v>628</v>
      </c>
      <c r="F155">
        <v>740</v>
      </c>
      <c r="G155" s="4">
        <v>2790</v>
      </c>
      <c r="H155" s="4">
        <v>2064600</v>
      </c>
      <c r="I155" t="s">
        <v>644</v>
      </c>
      <c r="J155" t="s">
        <v>668</v>
      </c>
      <c r="K155" t="s">
        <v>676</v>
      </c>
      <c r="L155" t="s">
        <v>680</v>
      </c>
      <c r="M155" t="s">
        <v>686</v>
      </c>
      <c r="N155" t="s">
        <v>689</v>
      </c>
      <c r="O155" t="s">
        <v>694</v>
      </c>
      <c r="P155" s="4">
        <v>494668</v>
      </c>
      <c r="Q155">
        <v>12</v>
      </c>
      <c r="R155" s="7">
        <v>8.61</v>
      </c>
      <c r="S155" s="8">
        <f>Table1[[#This Row],[Discount_%]]/100</f>
        <v>8.6099999999999996E-2</v>
      </c>
      <c r="T155" s="6" t="s">
        <v>816</v>
      </c>
      <c r="U155" t="s">
        <v>985</v>
      </c>
      <c r="V155">
        <v>2024</v>
      </c>
      <c r="W155" t="s">
        <v>993</v>
      </c>
      <c r="X155" t="s">
        <v>998</v>
      </c>
      <c r="Y155" t="s">
        <v>1000</v>
      </c>
      <c r="Z155">
        <v>1</v>
      </c>
      <c r="AA155">
        <v>4</v>
      </c>
      <c r="AB155" s="4">
        <f>Table1[[#This Row],[Total_Price]]*(1-Table1[[#This Row],[Discount 2]])</f>
        <v>1886837.9400000002</v>
      </c>
      <c r="AC155" s="4" t="str" cm="1">
        <f t="array" ref="AC155">_xlfn.IFS(Table1[[#This Row],[Revenue]]&gt;=30000000,"High Value",Table1[[#This Row],[Revenue]]&gt;=10000000,"Moderate Value",TRUE,"Low Value")</f>
        <v>Low Value</v>
      </c>
      <c r="AD155" t="str">
        <f>IF(Table1[[#This Row],[Discount 2]]&gt;=5%, "YES", "NO")</f>
        <v>YES</v>
      </c>
      <c r="AE155" t="str" cm="1">
        <f t="array" ref="AE155">_xlfn.IFS(Table1[[#This Row],[Revenue]]&gt;=30000000,"High Spender",Table1[[#This Row],[Revenue]]&gt;=10000000,"Moderate Spender",TRUE,"Low Spender")</f>
        <v>Low Spender</v>
      </c>
      <c r="AF155" s="4" t="str" cm="1">
        <f t="array" ref="AF155">_xlfn.IFS(Table1[[#This Row],[Land_Size_SQM]]&gt;=730,"LARGE",Table1[[#This Row],[Land_Size_SQM]]&gt;=465,"MEDIUM",TRUE,"SMALL")</f>
        <v>LARGE</v>
      </c>
    </row>
    <row r="156" spans="1:32" x14ac:dyDescent="0.3">
      <c r="A156" t="s">
        <v>180</v>
      </c>
      <c r="B156" t="s">
        <v>568</v>
      </c>
      <c r="C156" t="s">
        <v>627</v>
      </c>
      <c r="D156">
        <v>37</v>
      </c>
      <c r="E156" t="s">
        <v>628</v>
      </c>
      <c r="F156">
        <v>843</v>
      </c>
      <c r="G156" s="4">
        <v>48702</v>
      </c>
      <c r="H156" s="4">
        <v>41055786</v>
      </c>
      <c r="I156" t="s">
        <v>647</v>
      </c>
      <c r="J156" t="s">
        <v>670</v>
      </c>
      <c r="K156" t="s">
        <v>677</v>
      </c>
      <c r="L156" t="s">
        <v>681</v>
      </c>
      <c r="M156" t="s">
        <v>685</v>
      </c>
      <c r="N156" t="s">
        <v>692</v>
      </c>
      <c r="O156" t="s">
        <v>694</v>
      </c>
      <c r="P156" s="4">
        <v>16855173</v>
      </c>
      <c r="Q156">
        <v>24</v>
      </c>
      <c r="R156" s="7">
        <v>0.82</v>
      </c>
      <c r="S156" s="8">
        <f>Table1[[#This Row],[Discount_%]]/100</f>
        <v>8.199999999999999E-3</v>
      </c>
      <c r="T156" s="6" t="s">
        <v>701</v>
      </c>
      <c r="U156" t="s">
        <v>985</v>
      </c>
      <c r="V156">
        <v>2024</v>
      </c>
      <c r="W156" t="s">
        <v>996</v>
      </c>
      <c r="X156" t="s">
        <v>999</v>
      </c>
      <c r="Y156" t="s">
        <v>1001</v>
      </c>
      <c r="Z156">
        <v>3</v>
      </c>
      <c r="AA156">
        <v>26</v>
      </c>
      <c r="AB156" s="4">
        <f>Table1[[#This Row],[Total_Price]]*(1-Table1[[#This Row],[Discount 2]])</f>
        <v>40719128.554800004</v>
      </c>
      <c r="AC156" s="4" t="str" cm="1">
        <f t="array" ref="AC156">_xlfn.IFS(Table1[[#This Row],[Revenue]]&gt;=30000000,"High Value",Table1[[#This Row],[Revenue]]&gt;=10000000,"Moderate Value",TRUE,"Low Value")</f>
        <v>High Value</v>
      </c>
      <c r="AD156" t="str">
        <f>IF(Table1[[#This Row],[Discount 2]]&gt;=5%, "YES", "NO")</f>
        <v>NO</v>
      </c>
      <c r="AE156" t="str" cm="1">
        <f t="array" ref="AE156">_xlfn.IFS(Table1[[#This Row],[Revenue]]&gt;=30000000,"High Spender",Table1[[#This Row],[Revenue]]&gt;=10000000,"Moderate Spender",TRUE,"Low Spender")</f>
        <v>High Spender</v>
      </c>
      <c r="AF156" s="4" t="str" cm="1">
        <f t="array" ref="AF156">_xlfn.IFS(Table1[[#This Row],[Land_Size_SQM]]&gt;=730,"LARGE",Table1[[#This Row],[Land_Size_SQM]]&gt;=465,"MEDIUM",TRUE,"SMALL")</f>
        <v>LARGE</v>
      </c>
    </row>
    <row r="157" spans="1:32" x14ac:dyDescent="0.3">
      <c r="A157" t="s">
        <v>181</v>
      </c>
      <c r="B157" t="s">
        <v>589</v>
      </c>
      <c r="C157" t="s">
        <v>627</v>
      </c>
      <c r="D157">
        <v>39</v>
      </c>
      <c r="E157" t="s">
        <v>629</v>
      </c>
      <c r="F157">
        <v>517</v>
      </c>
      <c r="G157" s="4">
        <v>47788</v>
      </c>
      <c r="H157" s="4">
        <v>24706396</v>
      </c>
      <c r="I157" t="s">
        <v>655</v>
      </c>
      <c r="J157" t="s">
        <v>672</v>
      </c>
      <c r="K157" t="s">
        <v>676</v>
      </c>
      <c r="L157" t="s">
        <v>682</v>
      </c>
      <c r="M157" t="s">
        <v>683</v>
      </c>
      <c r="N157" t="s">
        <v>689</v>
      </c>
      <c r="O157" t="s">
        <v>694</v>
      </c>
      <c r="P157" s="4">
        <v>5370473</v>
      </c>
      <c r="Q157">
        <v>6</v>
      </c>
      <c r="R157" s="7">
        <v>0.86</v>
      </c>
      <c r="S157" s="8">
        <f>Table1[[#This Row],[Discount_%]]/100</f>
        <v>8.6E-3</v>
      </c>
      <c r="T157" s="6" t="s">
        <v>817</v>
      </c>
      <c r="U157" t="s">
        <v>989</v>
      </c>
      <c r="V157">
        <v>2024</v>
      </c>
      <c r="W157" t="s">
        <v>993</v>
      </c>
      <c r="X157" t="s">
        <v>997</v>
      </c>
      <c r="Y157" t="s">
        <v>1000</v>
      </c>
      <c r="Z157">
        <v>1</v>
      </c>
      <c r="AA157">
        <v>11</v>
      </c>
      <c r="AB157" s="4">
        <f>Table1[[#This Row],[Total_Price]]*(1-Table1[[#This Row],[Discount 2]])</f>
        <v>24493920.994399998</v>
      </c>
      <c r="AC157" s="4" t="str" cm="1">
        <f t="array" ref="AC157">_xlfn.IFS(Table1[[#This Row],[Revenue]]&gt;=30000000,"High Value",Table1[[#This Row],[Revenue]]&gt;=10000000,"Moderate Value",TRUE,"Low Value")</f>
        <v>Moderate Value</v>
      </c>
      <c r="AD157" t="str">
        <f>IF(Table1[[#This Row],[Discount 2]]&gt;=5%, "YES", "NO")</f>
        <v>NO</v>
      </c>
      <c r="AE157" t="str" cm="1">
        <f t="array" ref="AE157">_xlfn.IFS(Table1[[#This Row],[Revenue]]&gt;=30000000,"High Spender",Table1[[#This Row],[Revenue]]&gt;=10000000,"Moderate Spender",TRUE,"Low Spender")</f>
        <v>Moderate Spender</v>
      </c>
      <c r="AF157" s="4" t="str" cm="1">
        <f t="array" ref="AF157">_xlfn.IFS(Table1[[#This Row],[Land_Size_SQM]]&gt;=730,"LARGE",Table1[[#This Row],[Land_Size_SQM]]&gt;=465,"MEDIUM",TRUE,"SMALL")</f>
        <v>MEDIUM</v>
      </c>
    </row>
    <row r="158" spans="1:32" x14ac:dyDescent="0.3">
      <c r="A158" t="s">
        <v>182</v>
      </c>
      <c r="B158" t="s">
        <v>601</v>
      </c>
      <c r="C158" t="s">
        <v>626</v>
      </c>
      <c r="D158">
        <v>47</v>
      </c>
      <c r="E158" t="s">
        <v>630</v>
      </c>
      <c r="F158">
        <v>729</v>
      </c>
      <c r="G158" s="4">
        <v>49236</v>
      </c>
      <c r="H158" s="4">
        <v>35893044</v>
      </c>
      <c r="I158" t="s">
        <v>645</v>
      </c>
      <c r="J158" t="s">
        <v>670</v>
      </c>
      <c r="K158" t="s">
        <v>675</v>
      </c>
      <c r="L158" t="s">
        <v>682</v>
      </c>
      <c r="M158" t="s">
        <v>685</v>
      </c>
      <c r="N158" t="s">
        <v>690</v>
      </c>
      <c r="O158" t="s">
        <v>694</v>
      </c>
      <c r="P158" s="4">
        <v>11182867</v>
      </c>
      <c r="Q158">
        <v>6</v>
      </c>
      <c r="R158" s="7">
        <v>7.5</v>
      </c>
      <c r="S158" s="8">
        <f>Table1[[#This Row],[Discount_%]]/100</f>
        <v>7.4999999999999997E-2</v>
      </c>
      <c r="T158" s="6" t="s">
        <v>809</v>
      </c>
      <c r="U158" t="s">
        <v>992</v>
      </c>
      <c r="V158">
        <v>2024</v>
      </c>
      <c r="W158" t="s">
        <v>993</v>
      </c>
      <c r="X158" t="s">
        <v>998</v>
      </c>
      <c r="Y158" t="s">
        <v>1002</v>
      </c>
      <c r="Z158">
        <v>5</v>
      </c>
      <c r="AA158">
        <v>24</v>
      </c>
      <c r="AB158" s="4">
        <f>Table1[[#This Row],[Total_Price]]*(1-Table1[[#This Row],[Discount 2]])</f>
        <v>33201065.700000003</v>
      </c>
      <c r="AC158" s="4" t="str" cm="1">
        <f t="array" ref="AC158">_xlfn.IFS(Table1[[#This Row],[Revenue]]&gt;=30000000,"High Value",Table1[[#This Row],[Revenue]]&gt;=10000000,"Moderate Value",TRUE,"Low Value")</f>
        <v>High Value</v>
      </c>
      <c r="AD158" t="str">
        <f>IF(Table1[[#This Row],[Discount 2]]&gt;=5%, "YES", "NO")</f>
        <v>YES</v>
      </c>
      <c r="AE158" t="str" cm="1">
        <f t="array" ref="AE158">_xlfn.IFS(Table1[[#This Row],[Revenue]]&gt;=30000000,"High Spender",Table1[[#This Row],[Revenue]]&gt;=10000000,"Moderate Spender",TRUE,"Low Spender")</f>
        <v>High Spender</v>
      </c>
      <c r="AF158" s="4" t="str" cm="1">
        <f t="array" ref="AF158">_xlfn.IFS(Table1[[#This Row],[Land_Size_SQM]]&gt;=730,"LARGE",Table1[[#This Row],[Land_Size_SQM]]&gt;=465,"MEDIUM",TRUE,"SMALL")</f>
        <v>MEDIUM</v>
      </c>
    </row>
    <row r="159" spans="1:32" x14ac:dyDescent="0.3">
      <c r="A159" t="s">
        <v>183</v>
      </c>
      <c r="B159" t="s">
        <v>586</v>
      </c>
      <c r="C159" t="s">
        <v>627</v>
      </c>
      <c r="D159">
        <v>52</v>
      </c>
      <c r="E159" t="s">
        <v>628</v>
      </c>
      <c r="F159">
        <v>370</v>
      </c>
      <c r="G159" s="4">
        <v>26096</v>
      </c>
      <c r="H159" s="4">
        <v>9655520</v>
      </c>
      <c r="I159" t="s">
        <v>661</v>
      </c>
      <c r="J159" t="s">
        <v>673</v>
      </c>
      <c r="K159" t="s">
        <v>674</v>
      </c>
      <c r="L159" t="s">
        <v>680</v>
      </c>
      <c r="M159" t="s">
        <v>685</v>
      </c>
      <c r="N159" t="s">
        <v>688</v>
      </c>
      <c r="O159" t="s">
        <v>693</v>
      </c>
      <c r="P159" s="4">
        <v>9655520</v>
      </c>
      <c r="Q159">
        <v>0</v>
      </c>
      <c r="R159" s="7">
        <v>2.5499999999999998</v>
      </c>
      <c r="S159" s="8">
        <f>Table1[[#This Row],[Discount_%]]/100</f>
        <v>2.5499999999999998E-2</v>
      </c>
      <c r="T159" s="6" t="s">
        <v>695</v>
      </c>
      <c r="U159" t="s">
        <v>981</v>
      </c>
      <c r="V159">
        <v>2024</v>
      </c>
      <c r="W159" t="s">
        <v>993</v>
      </c>
      <c r="X159" t="s">
        <v>998</v>
      </c>
      <c r="Y159" t="s">
        <v>1002</v>
      </c>
      <c r="Z159">
        <v>4</v>
      </c>
      <c r="AA159">
        <v>10</v>
      </c>
      <c r="AB159" s="4">
        <f>Table1[[#This Row],[Total_Price]]*(1-Table1[[#This Row],[Discount 2]])</f>
        <v>9409304.2400000002</v>
      </c>
      <c r="AC159" s="4" t="str" cm="1">
        <f t="array" ref="AC159">_xlfn.IFS(Table1[[#This Row],[Revenue]]&gt;=30000000,"High Value",Table1[[#This Row],[Revenue]]&gt;=10000000,"Moderate Value",TRUE,"Low Value")</f>
        <v>Low Value</v>
      </c>
      <c r="AD159" t="str">
        <f>IF(Table1[[#This Row],[Discount 2]]&gt;=5%, "YES", "NO")</f>
        <v>NO</v>
      </c>
      <c r="AE159" t="str" cm="1">
        <f t="array" ref="AE159">_xlfn.IFS(Table1[[#This Row],[Revenue]]&gt;=30000000,"High Spender",Table1[[#This Row],[Revenue]]&gt;=10000000,"Moderate Spender",TRUE,"Low Spender")</f>
        <v>Low Spender</v>
      </c>
      <c r="AF159" s="4" t="str" cm="1">
        <f t="array" ref="AF159">_xlfn.IFS(Table1[[#This Row],[Land_Size_SQM]]&gt;=730,"LARGE",Table1[[#This Row],[Land_Size_SQM]]&gt;=465,"MEDIUM",TRUE,"SMALL")</f>
        <v>SMALL</v>
      </c>
    </row>
    <row r="160" spans="1:32" x14ac:dyDescent="0.3">
      <c r="A160" t="s">
        <v>184</v>
      </c>
      <c r="B160" t="s">
        <v>602</v>
      </c>
      <c r="C160" t="s">
        <v>626</v>
      </c>
      <c r="D160">
        <v>27</v>
      </c>
      <c r="E160" t="s">
        <v>629</v>
      </c>
      <c r="F160">
        <v>931</v>
      </c>
      <c r="G160" s="4">
        <v>44972</v>
      </c>
      <c r="H160" s="4">
        <v>41868932</v>
      </c>
      <c r="I160" t="s">
        <v>649</v>
      </c>
      <c r="J160" t="s">
        <v>669</v>
      </c>
      <c r="K160" t="s">
        <v>675</v>
      </c>
      <c r="L160" t="s">
        <v>682</v>
      </c>
      <c r="M160" t="s">
        <v>685</v>
      </c>
      <c r="N160" t="s">
        <v>688</v>
      </c>
      <c r="O160" t="s">
        <v>694</v>
      </c>
      <c r="P160" s="4">
        <v>12415838</v>
      </c>
      <c r="Q160">
        <v>6</v>
      </c>
      <c r="R160" s="7">
        <v>4.16</v>
      </c>
      <c r="S160" s="8">
        <f>Table1[[#This Row],[Discount_%]]/100</f>
        <v>4.1599999999999998E-2</v>
      </c>
      <c r="T160" s="6" t="s">
        <v>818</v>
      </c>
      <c r="U160" t="s">
        <v>982</v>
      </c>
      <c r="V160">
        <v>2024</v>
      </c>
      <c r="W160" t="s">
        <v>996</v>
      </c>
      <c r="X160" t="s">
        <v>997</v>
      </c>
      <c r="Y160" t="s">
        <v>1000</v>
      </c>
      <c r="Z160">
        <v>4</v>
      </c>
      <c r="AA160">
        <v>5</v>
      </c>
      <c r="AB160" s="4">
        <f>Table1[[#This Row],[Total_Price]]*(1-Table1[[#This Row],[Discount 2]])</f>
        <v>40127184.428800002</v>
      </c>
      <c r="AC160" s="4" t="str" cm="1">
        <f t="array" ref="AC160">_xlfn.IFS(Table1[[#This Row],[Revenue]]&gt;=30000000,"High Value",Table1[[#This Row],[Revenue]]&gt;=10000000,"Moderate Value",TRUE,"Low Value")</f>
        <v>High Value</v>
      </c>
      <c r="AD160" t="str">
        <f>IF(Table1[[#This Row],[Discount 2]]&gt;=5%, "YES", "NO")</f>
        <v>NO</v>
      </c>
      <c r="AE160" t="str" cm="1">
        <f t="array" ref="AE160">_xlfn.IFS(Table1[[#This Row],[Revenue]]&gt;=30000000,"High Spender",Table1[[#This Row],[Revenue]]&gt;=10000000,"Moderate Spender",TRUE,"Low Spender")</f>
        <v>High Spender</v>
      </c>
      <c r="AF160" s="4" t="str" cm="1">
        <f t="array" ref="AF160">_xlfn.IFS(Table1[[#This Row],[Land_Size_SQM]]&gt;=730,"LARGE",Table1[[#This Row],[Land_Size_SQM]]&gt;=465,"MEDIUM",TRUE,"SMALL")</f>
        <v>LARGE</v>
      </c>
    </row>
    <row r="161" spans="1:32" x14ac:dyDescent="0.3">
      <c r="A161" t="s">
        <v>185</v>
      </c>
      <c r="B161" t="s">
        <v>566</v>
      </c>
      <c r="C161" t="s">
        <v>626</v>
      </c>
      <c r="D161">
        <v>59</v>
      </c>
      <c r="E161" t="s">
        <v>628</v>
      </c>
      <c r="F161">
        <v>992</v>
      </c>
      <c r="G161" s="4">
        <v>22361</v>
      </c>
      <c r="H161" s="4">
        <v>22182112</v>
      </c>
      <c r="I161" t="s">
        <v>658</v>
      </c>
      <c r="J161" t="s">
        <v>670</v>
      </c>
      <c r="K161" t="s">
        <v>677</v>
      </c>
      <c r="L161" t="s">
        <v>681</v>
      </c>
      <c r="M161" t="s">
        <v>687</v>
      </c>
      <c r="N161" t="s">
        <v>692</v>
      </c>
      <c r="O161" t="s">
        <v>694</v>
      </c>
      <c r="P161" s="4">
        <v>8117043</v>
      </c>
      <c r="Q161">
        <v>3</v>
      </c>
      <c r="R161" s="7">
        <v>0.08</v>
      </c>
      <c r="S161" s="8">
        <f>Table1[[#This Row],[Discount_%]]/100</f>
        <v>8.0000000000000004E-4</v>
      </c>
      <c r="T161" s="6" t="s">
        <v>819</v>
      </c>
      <c r="U161" t="s">
        <v>990</v>
      </c>
      <c r="V161">
        <v>2024</v>
      </c>
      <c r="W161" t="s">
        <v>995</v>
      </c>
      <c r="X161" t="s">
        <v>999</v>
      </c>
      <c r="Y161" t="s">
        <v>1001</v>
      </c>
      <c r="Z161">
        <v>5</v>
      </c>
      <c r="AA161">
        <v>49</v>
      </c>
      <c r="AB161" s="4">
        <f>Table1[[#This Row],[Total_Price]]*(1-Table1[[#This Row],[Discount 2]])</f>
        <v>22164366.310399998</v>
      </c>
      <c r="AC161" s="4" t="str" cm="1">
        <f t="array" ref="AC161">_xlfn.IFS(Table1[[#This Row],[Revenue]]&gt;=30000000,"High Value",Table1[[#This Row],[Revenue]]&gt;=10000000,"Moderate Value",TRUE,"Low Value")</f>
        <v>Moderate Value</v>
      </c>
      <c r="AD161" t="str">
        <f>IF(Table1[[#This Row],[Discount 2]]&gt;=5%, "YES", "NO")</f>
        <v>NO</v>
      </c>
      <c r="AE161" t="str" cm="1">
        <f t="array" ref="AE161">_xlfn.IFS(Table1[[#This Row],[Revenue]]&gt;=30000000,"High Spender",Table1[[#This Row],[Revenue]]&gt;=10000000,"Moderate Spender",TRUE,"Low Spender")</f>
        <v>Moderate Spender</v>
      </c>
      <c r="AF161" s="4" t="str" cm="1">
        <f t="array" ref="AF161">_xlfn.IFS(Table1[[#This Row],[Land_Size_SQM]]&gt;=730,"LARGE",Table1[[#This Row],[Land_Size_SQM]]&gt;=465,"MEDIUM",TRUE,"SMALL")</f>
        <v>LARGE</v>
      </c>
    </row>
    <row r="162" spans="1:32" x14ac:dyDescent="0.3">
      <c r="A162" t="s">
        <v>186</v>
      </c>
      <c r="B162" t="s">
        <v>603</v>
      </c>
      <c r="C162" t="s">
        <v>627</v>
      </c>
      <c r="D162">
        <v>62</v>
      </c>
      <c r="E162" t="s">
        <v>630</v>
      </c>
      <c r="F162">
        <v>619</v>
      </c>
      <c r="G162" s="4">
        <v>3566</v>
      </c>
      <c r="H162" s="4">
        <v>2207354</v>
      </c>
      <c r="I162" t="s">
        <v>654</v>
      </c>
      <c r="J162" t="s">
        <v>669</v>
      </c>
      <c r="K162" t="s">
        <v>664</v>
      </c>
      <c r="L162" t="s">
        <v>682</v>
      </c>
      <c r="M162" t="s">
        <v>687</v>
      </c>
      <c r="N162" t="s">
        <v>689</v>
      </c>
      <c r="O162" t="s">
        <v>693</v>
      </c>
      <c r="P162" s="4">
        <v>2207354</v>
      </c>
      <c r="Q162">
        <v>0</v>
      </c>
      <c r="R162" s="7">
        <v>5.42</v>
      </c>
      <c r="S162" s="8">
        <f>Table1[[#This Row],[Discount_%]]/100</f>
        <v>5.4199999999999998E-2</v>
      </c>
      <c r="T162" s="6" t="s">
        <v>743</v>
      </c>
      <c r="U162" t="s">
        <v>983</v>
      </c>
      <c r="V162">
        <v>2024</v>
      </c>
      <c r="W162" t="s">
        <v>996</v>
      </c>
      <c r="X162" t="s">
        <v>997</v>
      </c>
      <c r="Y162" t="s">
        <v>1000</v>
      </c>
      <c r="Z162">
        <v>4</v>
      </c>
      <c r="AA162">
        <v>32</v>
      </c>
      <c r="AB162" s="4">
        <f>Table1[[#This Row],[Total_Price]]*(1-Table1[[#This Row],[Discount 2]])</f>
        <v>2087715.4131999998</v>
      </c>
      <c r="AC162" s="4" t="str" cm="1">
        <f t="array" ref="AC162">_xlfn.IFS(Table1[[#This Row],[Revenue]]&gt;=30000000,"High Value",Table1[[#This Row],[Revenue]]&gt;=10000000,"Moderate Value",TRUE,"Low Value")</f>
        <v>Low Value</v>
      </c>
      <c r="AD162" t="str">
        <f>IF(Table1[[#This Row],[Discount 2]]&gt;=5%, "YES", "NO")</f>
        <v>YES</v>
      </c>
      <c r="AE162" t="str" cm="1">
        <f t="array" ref="AE162">_xlfn.IFS(Table1[[#This Row],[Revenue]]&gt;=30000000,"High Spender",Table1[[#This Row],[Revenue]]&gt;=10000000,"Moderate Spender",TRUE,"Low Spender")</f>
        <v>Low Spender</v>
      </c>
      <c r="AF162" s="4" t="str" cm="1">
        <f t="array" ref="AF162">_xlfn.IFS(Table1[[#This Row],[Land_Size_SQM]]&gt;=730,"LARGE",Table1[[#This Row],[Land_Size_SQM]]&gt;=465,"MEDIUM",TRUE,"SMALL")</f>
        <v>MEDIUM</v>
      </c>
    </row>
    <row r="163" spans="1:32" x14ac:dyDescent="0.3">
      <c r="A163" t="s">
        <v>187</v>
      </c>
      <c r="B163" t="s">
        <v>600</v>
      </c>
      <c r="C163" t="s">
        <v>626</v>
      </c>
      <c r="D163">
        <v>25</v>
      </c>
      <c r="E163" t="s">
        <v>629</v>
      </c>
      <c r="F163">
        <v>295</v>
      </c>
      <c r="G163" s="4">
        <v>4877</v>
      </c>
      <c r="H163" s="4">
        <v>1438715</v>
      </c>
      <c r="I163" t="s">
        <v>641</v>
      </c>
      <c r="J163" t="s">
        <v>673</v>
      </c>
      <c r="K163" t="s">
        <v>677</v>
      </c>
      <c r="L163" t="s">
        <v>680</v>
      </c>
      <c r="M163" t="s">
        <v>686</v>
      </c>
      <c r="N163" t="s">
        <v>688</v>
      </c>
      <c r="O163" t="s">
        <v>693</v>
      </c>
      <c r="P163" s="4">
        <v>1438715</v>
      </c>
      <c r="Q163">
        <v>0</v>
      </c>
      <c r="R163" s="7">
        <v>8.9700000000000006</v>
      </c>
      <c r="S163" s="8">
        <f>Table1[[#This Row],[Discount_%]]/100</f>
        <v>8.9700000000000002E-2</v>
      </c>
      <c r="T163" s="6" t="s">
        <v>820</v>
      </c>
      <c r="U163" t="s">
        <v>986</v>
      </c>
      <c r="V163">
        <v>2024</v>
      </c>
      <c r="W163" t="s">
        <v>995</v>
      </c>
      <c r="X163" t="s">
        <v>999</v>
      </c>
      <c r="Y163" t="s">
        <v>1001</v>
      </c>
      <c r="Z163">
        <v>5</v>
      </c>
      <c r="AA163">
        <v>4</v>
      </c>
      <c r="AB163" s="4">
        <f>Table1[[#This Row],[Total_Price]]*(1-Table1[[#This Row],[Discount 2]])</f>
        <v>1309662.2645</v>
      </c>
      <c r="AC163" s="4" t="str" cm="1">
        <f t="array" ref="AC163">_xlfn.IFS(Table1[[#This Row],[Revenue]]&gt;=30000000,"High Value",Table1[[#This Row],[Revenue]]&gt;=10000000,"Moderate Value",TRUE,"Low Value")</f>
        <v>Low Value</v>
      </c>
      <c r="AD163" t="str">
        <f>IF(Table1[[#This Row],[Discount 2]]&gt;=5%, "YES", "NO")</f>
        <v>YES</v>
      </c>
      <c r="AE163" t="str" cm="1">
        <f t="array" ref="AE163">_xlfn.IFS(Table1[[#This Row],[Revenue]]&gt;=30000000,"High Spender",Table1[[#This Row],[Revenue]]&gt;=10000000,"Moderate Spender",TRUE,"Low Spender")</f>
        <v>Low Spender</v>
      </c>
      <c r="AF163" s="4" t="str" cm="1">
        <f t="array" ref="AF163">_xlfn.IFS(Table1[[#This Row],[Land_Size_SQM]]&gt;=730,"LARGE",Table1[[#This Row],[Land_Size_SQM]]&gt;=465,"MEDIUM",TRUE,"SMALL")</f>
        <v>SMALL</v>
      </c>
    </row>
    <row r="164" spans="1:32" x14ac:dyDescent="0.3">
      <c r="A164" t="s">
        <v>188</v>
      </c>
      <c r="B164" t="s">
        <v>604</v>
      </c>
      <c r="C164" t="s">
        <v>626</v>
      </c>
      <c r="D164">
        <v>34</v>
      </c>
      <c r="E164" t="s">
        <v>628</v>
      </c>
      <c r="F164">
        <v>442</v>
      </c>
      <c r="G164" s="4">
        <v>21115</v>
      </c>
      <c r="H164" s="4">
        <v>9332830</v>
      </c>
      <c r="I164" t="s">
        <v>634</v>
      </c>
      <c r="J164" t="s">
        <v>670</v>
      </c>
      <c r="K164" t="s">
        <v>638</v>
      </c>
      <c r="L164" t="s">
        <v>680</v>
      </c>
      <c r="M164" t="s">
        <v>683</v>
      </c>
      <c r="N164" t="s">
        <v>692</v>
      </c>
      <c r="O164" t="s">
        <v>694</v>
      </c>
      <c r="P164" s="4">
        <v>4459344</v>
      </c>
      <c r="Q164">
        <v>12</v>
      </c>
      <c r="R164" s="7">
        <v>3.93</v>
      </c>
      <c r="S164" s="8">
        <f>Table1[[#This Row],[Discount_%]]/100</f>
        <v>3.9300000000000002E-2</v>
      </c>
      <c r="T164" s="6" t="s">
        <v>821</v>
      </c>
      <c r="U164" t="s">
        <v>982</v>
      </c>
      <c r="V164">
        <v>2024</v>
      </c>
      <c r="W164" t="s">
        <v>993</v>
      </c>
      <c r="X164" t="s">
        <v>999</v>
      </c>
      <c r="Y164" t="s">
        <v>1000</v>
      </c>
      <c r="Z164">
        <v>2</v>
      </c>
      <c r="AA164">
        <v>29</v>
      </c>
      <c r="AB164" s="4">
        <f>Table1[[#This Row],[Total_Price]]*(1-Table1[[#This Row],[Discount 2]])</f>
        <v>8966049.7809999995</v>
      </c>
      <c r="AC164" s="4" t="str" cm="1">
        <f t="array" ref="AC164">_xlfn.IFS(Table1[[#This Row],[Revenue]]&gt;=30000000,"High Value",Table1[[#This Row],[Revenue]]&gt;=10000000,"Moderate Value",TRUE,"Low Value")</f>
        <v>Low Value</v>
      </c>
      <c r="AD164" t="str">
        <f>IF(Table1[[#This Row],[Discount 2]]&gt;=5%, "YES", "NO")</f>
        <v>NO</v>
      </c>
      <c r="AE164" t="str" cm="1">
        <f t="array" ref="AE164">_xlfn.IFS(Table1[[#This Row],[Revenue]]&gt;=30000000,"High Spender",Table1[[#This Row],[Revenue]]&gt;=10000000,"Moderate Spender",TRUE,"Low Spender")</f>
        <v>Low Spender</v>
      </c>
      <c r="AF164" s="4" t="str" cm="1">
        <f t="array" ref="AF164">_xlfn.IFS(Table1[[#This Row],[Land_Size_SQM]]&gt;=730,"LARGE",Table1[[#This Row],[Land_Size_SQM]]&gt;=465,"MEDIUM",TRUE,"SMALL")</f>
        <v>SMALL</v>
      </c>
    </row>
    <row r="165" spans="1:32" x14ac:dyDescent="0.3">
      <c r="A165" t="s">
        <v>189</v>
      </c>
      <c r="B165" t="s">
        <v>556</v>
      </c>
      <c r="C165" t="s">
        <v>626</v>
      </c>
      <c r="D165">
        <v>65</v>
      </c>
      <c r="E165" t="s">
        <v>629</v>
      </c>
      <c r="F165">
        <v>323</v>
      </c>
      <c r="G165" s="4">
        <v>37122</v>
      </c>
      <c r="H165" s="4">
        <v>11990406</v>
      </c>
      <c r="I165" t="s">
        <v>645</v>
      </c>
      <c r="J165" t="s">
        <v>670</v>
      </c>
      <c r="K165" t="s">
        <v>640</v>
      </c>
      <c r="L165" t="s">
        <v>682</v>
      </c>
      <c r="M165" t="s">
        <v>685</v>
      </c>
      <c r="N165" t="s">
        <v>688</v>
      </c>
      <c r="O165" t="s">
        <v>694</v>
      </c>
      <c r="P165" s="4">
        <v>4023682</v>
      </c>
      <c r="Q165">
        <v>6</v>
      </c>
      <c r="R165" s="7">
        <v>4.63</v>
      </c>
      <c r="S165" s="8">
        <f>Table1[[#This Row],[Discount_%]]/100</f>
        <v>4.6300000000000001E-2</v>
      </c>
      <c r="T165" s="6" t="s">
        <v>822</v>
      </c>
      <c r="U165" t="s">
        <v>987</v>
      </c>
      <c r="V165">
        <v>2024</v>
      </c>
      <c r="W165" t="s">
        <v>994</v>
      </c>
      <c r="X165" t="s">
        <v>999</v>
      </c>
      <c r="Y165" t="s">
        <v>1000</v>
      </c>
      <c r="Z165">
        <v>2</v>
      </c>
      <c r="AA165">
        <v>23</v>
      </c>
      <c r="AB165" s="4">
        <f>Table1[[#This Row],[Total_Price]]*(1-Table1[[#This Row],[Discount 2]])</f>
        <v>11435250.202199999</v>
      </c>
      <c r="AC165" s="4" t="str" cm="1">
        <f t="array" ref="AC165">_xlfn.IFS(Table1[[#This Row],[Revenue]]&gt;=30000000,"High Value",Table1[[#This Row],[Revenue]]&gt;=10000000,"Moderate Value",TRUE,"Low Value")</f>
        <v>Moderate Value</v>
      </c>
      <c r="AD165" t="str">
        <f>IF(Table1[[#This Row],[Discount 2]]&gt;=5%, "YES", "NO")</f>
        <v>NO</v>
      </c>
      <c r="AE165" t="str" cm="1">
        <f t="array" ref="AE165">_xlfn.IFS(Table1[[#This Row],[Revenue]]&gt;=30000000,"High Spender",Table1[[#This Row],[Revenue]]&gt;=10000000,"Moderate Spender",TRUE,"Low Spender")</f>
        <v>Moderate Spender</v>
      </c>
      <c r="AF165" s="4" t="str" cm="1">
        <f t="array" ref="AF165">_xlfn.IFS(Table1[[#This Row],[Land_Size_SQM]]&gt;=730,"LARGE",Table1[[#This Row],[Land_Size_SQM]]&gt;=465,"MEDIUM",TRUE,"SMALL")</f>
        <v>SMALL</v>
      </c>
    </row>
    <row r="166" spans="1:32" x14ac:dyDescent="0.3">
      <c r="A166" t="s">
        <v>190</v>
      </c>
      <c r="B166" t="s">
        <v>533</v>
      </c>
      <c r="C166" t="s">
        <v>627</v>
      </c>
      <c r="D166">
        <v>26</v>
      </c>
      <c r="E166" t="s">
        <v>630</v>
      </c>
      <c r="F166">
        <v>893</v>
      </c>
      <c r="G166" s="4">
        <v>21584</v>
      </c>
      <c r="H166" s="4">
        <v>19274512</v>
      </c>
      <c r="I166" t="s">
        <v>647</v>
      </c>
      <c r="J166" t="s">
        <v>670</v>
      </c>
      <c r="K166" t="s">
        <v>664</v>
      </c>
      <c r="L166" t="s">
        <v>680</v>
      </c>
      <c r="M166" t="s">
        <v>683</v>
      </c>
      <c r="N166" t="s">
        <v>689</v>
      </c>
      <c r="O166" t="s">
        <v>694</v>
      </c>
      <c r="P166" s="4">
        <v>4034630</v>
      </c>
      <c r="Q166">
        <v>6</v>
      </c>
      <c r="R166" s="7">
        <v>4.04</v>
      </c>
      <c r="S166" s="8">
        <f>Table1[[#This Row],[Discount_%]]/100</f>
        <v>4.0399999999999998E-2</v>
      </c>
      <c r="T166" s="6" t="s">
        <v>823</v>
      </c>
      <c r="U166" t="s">
        <v>989</v>
      </c>
      <c r="V166">
        <v>2024</v>
      </c>
      <c r="W166" t="s">
        <v>993</v>
      </c>
      <c r="X166" t="s">
        <v>999</v>
      </c>
      <c r="Y166" t="s">
        <v>1000</v>
      </c>
      <c r="Z166">
        <v>2</v>
      </c>
      <c r="AA166">
        <v>13</v>
      </c>
      <c r="AB166" s="4">
        <f>Table1[[#This Row],[Total_Price]]*(1-Table1[[#This Row],[Discount 2]])</f>
        <v>18495821.7152</v>
      </c>
      <c r="AC166" s="4" t="str" cm="1">
        <f t="array" ref="AC166">_xlfn.IFS(Table1[[#This Row],[Revenue]]&gt;=30000000,"High Value",Table1[[#This Row],[Revenue]]&gt;=10000000,"Moderate Value",TRUE,"Low Value")</f>
        <v>Moderate Value</v>
      </c>
      <c r="AD166" t="str">
        <f>IF(Table1[[#This Row],[Discount 2]]&gt;=5%, "YES", "NO")</f>
        <v>NO</v>
      </c>
      <c r="AE166" t="str" cm="1">
        <f t="array" ref="AE166">_xlfn.IFS(Table1[[#This Row],[Revenue]]&gt;=30000000,"High Spender",Table1[[#This Row],[Revenue]]&gt;=10000000,"Moderate Spender",TRUE,"Low Spender")</f>
        <v>Moderate Spender</v>
      </c>
      <c r="AF166" s="4" t="str" cm="1">
        <f t="array" ref="AF166">_xlfn.IFS(Table1[[#This Row],[Land_Size_SQM]]&gt;=730,"LARGE",Table1[[#This Row],[Land_Size_SQM]]&gt;=465,"MEDIUM",TRUE,"SMALL")</f>
        <v>LARGE</v>
      </c>
    </row>
    <row r="167" spans="1:32" x14ac:dyDescent="0.3">
      <c r="A167" t="s">
        <v>191</v>
      </c>
      <c r="B167" t="s">
        <v>587</v>
      </c>
      <c r="C167" t="s">
        <v>627</v>
      </c>
      <c r="D167">
        <v>41</v>
      </c>
      <c r="E167" t="s">
        <v>628</v>
      </c>
      <c r="F167">
        <v>796</v>
      </c>
      <c r="G167" s="4">
        <v>40411</v>
      </c>
      <c r="H167" s="4">
        <v>32167156</v>
      </c>
      <c r="I167" t="s">
        <v>645</v>
      </c>
      <c r="J167" t="s">
        <v>670</v>
      </c>
      <c r="K167" t="s">
        <v>676</v>
      </c>
      <c r="L167" t="s">
        <v>680</v>
      </c>
      <c r="M167" t="s">
        <v>684</v>
      </c>
      <c r="N167" t="s">
        <v>689</v>
      </c>
      <c r="O167" t="s">
        <v>694</v>
      </c>
      <c r="P167" s="4">
        <v>6643806</v>
      </c>
      <c r="Q167">
        <v>3</v>
      </c>
      <c r="R167" s="7">
        <v>0.64</v>
      </c>
      <c r="S167" s="8">
        <f>Table1[[#This Row],[Discount_%]]/100</f>
        <v>6.4000000000000003E-3</v>
      </c>
      <c r="T167" s="6" t="s">
        <v>824</v>
      </c>
      <c r="U167" t="s">
        <v>983</v>
      </c>
      <c r="V167">
        <v>2024</v>
      </c>
      <c r="W167" t="s">
        <v>996</v>
      </c>
      <c r="X167" t="s">
        <v>997</v>
      </c>
      <c r="Y167" t="s">
        <v>1002</v>
      </c>
      <c r="Z167">
        <v>4</v>
      </c>
      <c r="AA167">
        <v>32</v>
      </c>
      <c r="AB167" s="4">
        <f>Table1[[#This Row],[Total_Price]]*(1-Table1[[#This Row],[Discount 2]])</f>
        <v>31961286.2016</v>
      </c>
      <c r="AC167" s="4" t="str" cm="1">
        <f t="array" ref="AC167">_xlfn.IFS(Table1[[#This Row],[Revenue]]&gt;=30000000,"High Value",Table1[[#This Row],[Revenue]]&gt;=10000000,"Moderate Value",TRUE,"Low Value")</f>
        <v>High Value</v>
      </c>
      <c r="AD167" t="str">
        <f>IF(Table1[[#This Row],[Discount 2]]&gt;=5%, "YES", "NO")</f>
        <v>NO</v>
      </c>
      <c r="AE167" t="str" cm="1">
        <f t="array" ref="AE167">_xlfn.IFS(Table1[[#This Row],[Revenue]]&gt;=30000000,"High Spender",Table1[[#This Row],[Revenue]]&gt;=10000000,"Moderate Spender",TRUE,"Low Spender")</f>
        <v>High Spender</v>
      </c>
      <c r="AF167" s="4" t="str" cm="1">
        <f t="array" ref="AF167">_xlfn.IFS(Table1[[#This Row],[Land_Size_SQM]]&gt;=730,"LARGE",Table1[[#This Row],[Land_Size_SQM]]&gt;=465,"MEDIUM",TRUE,"SMALL")</f>
        <v>LARGE</v>
      </c>
    </row>
    <row r="168" spans="1:32" x14ac:dyDescent="0.3">
      <c r="A168" t="s">
        <v>192</v>
      </c>
      <c r="B168" t="s">
        <v>551</v>
      </c>
      <c r="C168" t="s">
        <v>627</v>
      </c>
      <c r="D168">
        <v>22</v>
      </c>
      <c r="E168" t="s">
        <v>629</v>
      </c>
      <c r="F168">
        <v>376</v>
      </c>
      <c r="G168" s="4">
        <v>25196</v>
      </c>
      <c r="H168" s="4">
        <v>9473696</v>
      </c>
      <c r="I168" t="s">
        <v>661</v>
      </c>
      <c r="J168" t="s">
        <v>673</v>
      </c>
      <c r="K168" t="s">
        <v>640</v>
      </c>
      <c r="L168" t="s">
        <v>682</v>
      </c>
      <c r="M168" t="s">
        <v>686</v>
      </c>
      <c r="N168" t="s">
        <v>688</v>
      </c>
      <c r="O168" t="s">
        <v>693</v>
      </c>
      <c r="P168" s="4">
        <v>9473696</v>
      </c>
      <c r="Q168">
        <v>0</v>
      </c>
      <c r="R168" s="7">
        <v>9.08</v>
      </c>
      <c r="S168" s="8">
        <f>Table1[[#This Row],[Discount_%]]/100</f>
        <v>9.0800000000000006E-2</v>
      </c>
      <c r="T168" s="6" t="s">
        <v>825</v>
      </c>
      <c r="U168" t="s">
        <v>992</v>
      </c>
      <c r="V168">
        <v>2024</v>
      </c>
      <c r="W168" t="s">
        <v>994</v>
      </c>
      <c r="X168" t="s">
        <v>998</v>
      </c>
      <c r="Y168" t="s">
        <v>1002</v>
      </c>
      <c r="Z168">
        <v>5</v>
      </c>
      <c r="AA168">
        <v>31</v>
      </c>
      <c r="AB168" s="4">
        <f>Table1[[#This Row],[Total_Price]]*(1-Table1[[#This Row],[Discount 2]])</f>
        <v>8613484.4032000005</v>
      </c>
      <c r="AC168" s="4" t="str" cm="1">
        <f t="array" ref="AC168">_xlfn.IFS(Table1[[#This Row],[Revenue]]&gt;=30000000,"High Value",Table1[[#This Row],[Revenue]]&gt;=10000000,"Moderate Value",TRUE,"Low Value")</f>
        <v>Low Value</v>
      </c>
      <c r="AD168" t="str">
        <f>IF(Table1[[#This Row],[Discount 2]]&gt;=5%, "YES", "NO")</f>
        <v>YES</v>
      </c>
      <c r="AE168" t="str" cm="1">
        <f t="array" ref="AE168">_xlfn.IFS(Table1[[#This Row],[Revenue]]&gt;=30000000,"High Spender",Table1[[#This Row],[Revenue]]&gt;=10000000,"Moderate Spender",TRUE,"Low Spender")</f>
        <v>Low Spender</v>
      </c>
      <c r="AF168" s="4" t="str" cm="1">
        <f t="array" ref="AF168">_xlfn.IFS(Table1[[#This Row],[Land_Size_SQM]]&gt;=730,"LARGE",Table1[[#This Row],[Land_Size_SQM]]&gt;=465,"MEDIUM",TRUE,"SMALL")</f>
        <v>SMALL</v>
      </c>
    </row>
    <row r="169" spans="1:32" x14ac:dyDescent="0.3">
      <c r="A169" t="s">
        <v>193</v>
      </c>
      <c r="B169" t="s">
        <v>563</v>
      </c>
      <c r="C169" t="s">
        <v>626</v>
      </c>
      <c r="D169">
        <v>65</v>
      </c>
      <c r="E169" t="s">
        <v>630</v>
      </c>
      <c r="F169">
        <v>592</v>
      </c>
      <c r="G169" s="4">
        <v>10993</v>
      </c>
      <c r="H169" s="4">
        <v>6507856</v>
      </c>
      <c r="I169" t="s">
        <v>664</v>
      </c>
      <c r="J169" t="s">
        <v>673</v>
      </c>
      <c r="K169" t="s">
        <v>677</v>
      </c>
      <c r="L169" t="s">
        <v>681</v>
      </c>
      <c r="M169" t="s">
        <v>686</v>
      </c>
      <c r="N169" t="s">
        <v>691</v>
      </c>
      <c r="O169" t="s">
        <v>694</v>
      </c>
      <c r="P169" s="4">
        <v>2556258</v>
      </c>
      <c r="Q169">
        <v>6</v>
      </c>
      <c r="R169" s="7">
        <v>7.97</v>
      </c>
      <c r="S169" s="8">
        <f>Table1[[#This Row],[Discount_%]]/100</f>
        <v>7.9699999999999993E-2</v>
      </c>
      <c r="T169" s="6" t="s">
        <v>803</v>
      </c>
      <c r="U169" t="s">
        <v>992</v>
      </c>
      <c r="V169">
        <v>2024</v>
      </c>
      <c r="W169" t="s">
        <v>994</v>
      </c>
      <c r="X169" t="s">
        <v>997</v>
      </c>
      <c r="Y169" t="s">
        <v>1001</v>
      </c>
      <c r="Z169">
        <v>3</v>
      </c>
      <c r="AA169">
        <v>25</v>
      </c>
      <c r="AB169" s="4">
        <f>Table1[[#This Row],[Total_Price]]*(1-Table1[[#This Row],[Discount 2]])</f>
        <v>5989179.8767999997</v>
      </c>
      <c r="AC169" s="4" t="str" cm="1">
        <f t="array" ref="AC169">_xlfn.IFS(Table1[[#This Row],[Revenue]]&gt;=30000000,"High Value",Table1[[#This Row],[Revenue]]&gt;=10000000,"Moderate Value",TRUE,"Low Value")</f>
        <v>Low Value</v>
      </c>
      <c r="AD169" t="str">
        <f>IF(Table1[[#This Row],[Discount 2]]&gt;=5%, "YES", "NO")</f>
        <v>YES</v>
      </c>
      <c r="AE169" t="str" cm="1">
        <f t="array" ref="AE169">_xlfn.IFS(Table1[[#This Row],[Revenue]]&gt;=30000000,"High Spender",Table1[[#This Row],[Revenue]]&gt;=10000000,"Moderate Spender",TRUE,"Low Spender")</f>
        <v>Low Spender</v>
      </c>
      <c r="AF169" s="4" t="str" cm="1">
        <f t="array" ref="AF169">_xlfn.IFS(Table1[[#This Row],[Land_Size_SQM]]&gt;=730,"LARGE",Table1[[#This Row],[Land_Size_SQM]]&gt;=465,"MEDIUM",TRUE,"SMALL")</f>
        <v>MEDIUM</v>
      </c>
    </row>
    <row r="170" spans="1:32" x14ac:dyDescent="0.3">
      <c r="A170" t="s">
        <v>194</v>
      </c>
      <c r="B170" t="s">
        <v>559</v>
      </c>
      <c r="C170" t="s">
        <v>626</v>
      </c>
      <c r="D170">
        <v>57</v>
      </c>
      <c r="E170" t="s">
        <v>628</v>
      </c>
      <c r="F170">
        <v>526</v>
      </c>
      <c r="G170" s="4">
        <v>41132</v>
      </c>
      <c r="H170" s="4">
        <v>21635432</v>
      </c>
      <c r="I170" t="s">
        <v>648</v>
      </c>
      <c r="J170" t="s">
        <v>671</v>
      </c>
      <c r="K170" t="s">
        <v>664</v>
      </c>
      <c r="L170" t="s">
        <v>680</v>
      </c>
      <c r="M170" t="s">
        <v>685</v>
      </c>
      <c r="N170" t="s">
        <v>688</v>
      </c>
      <c r="O170" t="s">
        <v>693</v>
      </c>
      <c r="P170" s="4">
        <v>21635432</v>
      </c>
      <c r="Q170">
        <v>0</v>
      </c>
      <c r="R170" s="7">
        <v>0.28999999999999998</v>
      </c>
      <c r="S170" s="8">
        <f>Table1[[#This Row],[Discount_%]]/100</f>
        <v>2.8999999999999998E-3</v>
      </c>
      <c r="T170" s="6" t="s">
        <v>798</v>
      </c>
      <c r="U170" t="s">
        <v>992</v>
      </c>
      <c r="V170">
        <v>2024</v>
      </c>
      <c r="W170" t="s">
        <v>996</v>
      </c>
      <c r="X170" t="s">
        <v>998</v>
      </c>
      <c r="Y170" t="s">
        <v>1001</v>
      </c>
      <c r="Z170">
        <v>1</v>
      </c>
      <c r="AA170">
        <v>49</v>
      </c>
      <c r="AB170" s="4">
        <f>Table1[[#This Row],[Total_Price]]*(1-Table1[[#This Row],[Discount 2]])</f>
        <v>21572689.247200001</v>
      </c>
      <c r="AC170" s="4" t="str" cm="1">
        <f t="array" ref="AC170">_xlfn.IFS(Table1[[#This Row],[Revenue]]&gt;=30000000,"High Value",Table1[[#This Row],[Revenue]]&gt;=10000000,"Moderate Value",TRUE,"Low Value")</f>
        <v>Moderate Value</v>
      </c>
      <c r="AD170" t="str">
        <f>IF(Table1[[#This Row],[Discount 2]]&gt;=5%, "YES", "NO")</f>
        <v>NO</v>
      </c>
      <c r="AE170" t="str" cm="1">
        <f t="array" ref="AE170">_xlfn.IFS(Table1[[#This Row],[Revenue]]&gt;=30000000,"High Spender",Table1[[#This Row],[Revenue]]&gt;=10000000,"Moderate Spender",TRUE,"Low Spender")</f>
        <v>Moderate Spender</v>
      </c>
      <c r="AF170" s="4" t="str" cm="1">
        <f t="array" ref="AF170">_xlfn.IFS(Table1[[#This Row],[Land_Size_SQM]]&gt;=730,"LARGE",Table1[[#This Row],[Land_Size_SQM]]&gt;=465,"MEDIUM",TRUE,"SMALL")</f>
        <v>MEDIUM</v>
      </c>
    </row>
    <row r="171" spans="1:32" x14ac:dyDescent="0.3">
      <c r="A171" t="s">
        <v>195</v>
      </c>
      <c r="B171" t="s">
        <v>598</v>
      </c>
      <c r="C171" t="s">
        <v>627</v>
      </c>
      <c r="D171">
        <v>65</v>
      </c>
      <c r="E171" t="s">
        <v>629</v>
      </c>
      <c r="F171">
        <v>563</v>
      </c>
      <c r="G171" s="4">
        <v>13384</v>
      </c>
      <c r="H171" s="4">
        <v>7535192</v>
      </c>
      <c r="I171" t="s">
        <v>656</v>
      </c>
      <c r="J171" t="s">
        <v>669</v>
      </c>
      <c r="K171" t="s">
        <v>640</v>
      </c>
      <c r="L171" t="s">
        <v>681</v>
      </c>
      <c r="M171" t="s">
        <v>686</v>
      </c>
      <c r="N171" t="s">
        <v>692</v>
      </c>
      <c r="O171" t="s">
        <v>693</v>
      </c>
      <c r="P171" s="4">
        <v>7535192</v>
      </c>
      <c r="Q171">
        <v>0</v>
      </c>
      <c r="R171" s="7">
        <v>2.37</v>
      </c>
      <c r="S171" s="8">
        <f>Table1[[#This Row],[Discount_%]]/100</f>
        <v>2.3700000000000002E-2</v>
      </c>
      <c r="T171" s="6" t="s">
        <v>826</v>
      </c>
      <c r="U171" t="s">
        <v>982</v>
      </c>
      <c r="V171">
        <v>2024</v>
      </c>
      <c r="W171" t="s">
        <v>996</v>
      </c>
      <c r="X171" t="s">
        <v>997</v>
      </c>
      <c r="Y171" t="s">
        <v>1000</v>
      </c>
      <c r="Z171">
        <v>4</v>
      </c>
      <c r="AA171">
        <v>35</v>
      </c>
      <c r="AB171" s="4">
        <f>Table1[[#This Row],[Total_Price]]*(1-Table1[[#This Row],[Discount 2]])</f>
        <v>7356607.9495999999</v>
      </c>
      <c r="AC171" s="4" t="str" cm="1">
        <f t="array" ref="AC171">_xlfn.IFS(Table1[[#This Row],[Revenue]]&gt;=30000000,"High Value",Table1[[#This Row],[Revenue]]&gt;=10000000,"Moderate Value",TRUE,"Low Value")</f>
        <v>Low Value</v>
      </c>
      <c r="AD171" t="str">
        <f>IF(Table1[[#This Row],[Discount 2]]&gt;=5%, "YES", "NO")</f>
        <v>NO</v>
      </c>
      <c r="AE171" t="str" cm="1">
        <f t="array" ref="AE171">_xlfn.IFS(Table1[[#This Row],[Revenue]]&gt;=30000000,"High Spender",Table1[[#This Row],[Revenue]]&gt;=10000000,"Moderate Spender",TRUE,"Low Spender")</f>
        <v>Low Spender</v>
      </c>
      <c r="AF171" s="4" t="str" cm="1">
        <f t="array" ref="AF171">_xlfn.IFS(Table1[[#This Row],[Land_Size_SQM]]&gt;=730,"LARGE",Table1[[#This Row],[Land_Size_SQM]]&gt;=465,"MEDIUM",TRUE,"SMALL")</f>
        <v>MEDIUM</v>
      </c>
    </row>
    <row r="172" spans="1:32" x14ac:dyDescent="0.3">
      <c r="A172" t="s">
        <v>196</v>
      </c>
      <c r="B172" t="s">
        <v>588</v>
      </c>
      <c r="C172" t="s">
        <v>626</v>
      </c>
      <c r="D172">
        <v>20</v>
      </c>
      <c r="E172" t="s">
        <v>630</v>
      </c>
      <c r="F172">
        <v>238</v>
      </c>
      <c r="G172" s="4">
        <v>7915</v>
      </c>
      <c r="H172" s="4">
        <v>1883770</v>
      </c>
      <c r="I172" t="s">
        <v>648</v>
      </c>
      <c r="J172" t="s">
        <v>671</v>
      </c>
      <c r="K172" t="s">
        <v>678</v>
      </c>
      <c r="L172" t="s">
        <v>682</v>
      </c>
      <c r="M172" t="s">
        <v>683</v>
      </c>
      <c r="N172" t="s">
        <v>688</v>
      </c>
      <c r="O172" t="s">
        <v>693</v>
      </c>
      <c r="P172" s="4">
        <v>1883770</v>
      </c>
      <c r="Q172">
        <v>0</v>
      </c>
      <c r="R172" s="7">
        <v>2.33</v>
      </c>
      <c r="S172" s="8">
        <f>Table1[[#This Row],[Discount_%]]/100</f>
        <v>2.3300000000000001E-2</v>
      </c>
      <c r="T172" s="6" t="s">
        <v>827</v>
      </c>
      <c r="U172" t="s">
        <v>990</v>
      </c>
      <c r="V172">
        <v>2024</v>
      </c>
      <c r="W172" t="s">
        <v>994</v>
      </c>
      <c r="X172" t="s">
        <v>997</v>
      </c>
      <c r="Y172" t="s">
        <v>1000</v>
      </c>
      <c r="Z172">
        <v>3</v>
      </c>
      <c r="AA172">
        <v>4</v>
      </c>
      <c r="AB172" s="4">
        <f>Table1[[#This Row],[Total_Price]]*(1-Table1[[#This Row],[Discount 2]])</f>
        <v>1839878.159</v>
      </c>
      <c r="AC172" s="4" t="str" cm="1">
        <f t="array" ref="AC172">_xlfn.IFS(Table1[[#This Row],[Revenue]]&gt;=30000000,"High Value",Table1[[#This Row],[Revenue]]&gt;=10000000,"Moderate Value",TRUE,"Low Value")</f>
        <v>Low Value</v>
      </c>
      <c r="AD172" t="str">
        <f>IF(Table1[[#This Row],[Discount 2]]&gt;=5%, "YES", "NO")</f>
        <v>NO</v>
      </c>
      <c r="AE172" t="str" cm="1">
        <f t="array" ref="AE172">_xlfn.IFS(Table1[[#This Row],[Revenue]]&gt;=30000000,"High Spender",Table1[[#This Row],[Revenue]]&gt;=10000000,"Moderate Spender",TRUE,"Low Spender")</f>
        <v>Low Spender</v>
      </c>
      <c r="AF172" s="4" t="str" cm="1">
        <f t="array" ref="AF172">_xlfn.IFS(Table1[[#This Row],[Land_Size_SQM]]&gt;=730,"LARGE",Table1[[#This Row],[Land_Size_SQM]]&gt;=465,"MEDIUM",TRUE,"SMALL")</f>
        <v>SMALL</v>
      </c>
    </row>
    <row r="173" spans="1:32" x14ac:dyDescent="0.3">
      <c r="A173" t="s">
        <v>197</v>
      </c>
      <c r="B173" t="s">
        <v>571</v>
      </c>
      <c r="C173" t="s">
        <v>626</v>
      </c>
      <c r="D173">
        <v>57</v>
      </c>
      <c r="E173" t="s">
        <v>628</v>
      </c>
      <c r="F173">
        <v>921</v>
      </c>
      <c r="G173" s="4">
        <v>11283</v>
      </c>
      <c r="H173" s="4">
        <v>10391643</v>
      </c>
      <c r="I173" t="s">
        <v>641</v>
      </c>
      <c r="J173" t="s">
        <v>673</v>
      </c>
      <c r="K173" t="s">
        <v>674</v>
      </c>
      <c r="L173" t="s">
        <v>681</v>
      </c>
      <c r="M173" t="s">
        <v>687</v>
      </c>
      <c r="N173" t="s">
        <v>690</v>
      </c>
      <c r="O173" t="s">
        <v>693</v>
      </c>
      <c r="P173" s="4">
        <v>10391643</v>
      </c>
      <c r="Q173">
        <v>0</v>
      </c>
      <c r="R173" s="7">
        <v>8.4600000000000009</v>
      </c>
      <c r="S173" s="8">
        <f>Table1[[#This Row],[Discount_%]]/100</f>
        <v>8.4600000000000009E-2</v>
      </c>
      <c r="T173" s="6" t="s">
        <v>802</v>
      </c>
      <c r="U173" t="s">
        <v>991</v>
      </c>
      <c r="V173">
        <v>2024</v>
      </c>
      <c r="W173" t="s">
        <v>996</v>
      </c>
      <c r="X173" t="s">
        <v>999</v>
      </c>
      <c r="Y173" t="s">
        <v>1001</v>
      </c>
      <c r="Z173">
        <v>4</v>
      </c>
      <c r="AA173">
        <v>41</v>
      </c>
      <c r="AB173" s="4">
        <f>Table1[[#This Row],[Total_Price]]*(1-Table1[[#This Row],[Discount 2]])</f>
        <v>9512510.0022</v>
      </c>
      <c r="AC173" s="4" t="str" cm="1">
        <f t="array" ref="AC173">_xlfn.IFS(Table1[[#This Row],[Revenue]]&gt;=30000000,"High Value",Table1[[#This Row],[Revenue]]&gt;=10000000,"Moderate Value",TRUE,"Low Value")</f>
        <v>Low Value</v>
      </c>
      <c r="AD173" t="str">
        <f>IF(Table1[[#This Row],[Discount 2]]&gt;=5%, "YES", "NO")</f>
        <v>YES</v>
      </c>
      <c r="AE173" t="str" cm="1">
        <f t="array" ref="AE173">_xlfn.IFS(Table1[[#This Row],[Revenue]]&gt;=30000000,"High Spender",Table1[[#This Row],[Revenue]]&gt;=10000000,"Moderate Spender",TRUE,"Low Spender")</f>
        <v>Low Spender</v>
      </c>
      <c r="AF173" s="4" t="str" cm="1">
        <f t="array" ref="AF173">_xlfn.IFS(Table1[[#This Row],[Land_Size_SQM]]&gt;=730,"LARGE",Table1[[#This Row],[Land_Size_SQM]]&gt;=465,"MEDIUM",TRUE,"SMALL")</f>
        <v>LARGE</v>
      </c>
    </row>
    <row r="174" spans="1:32" x14ac:dyDescent="0.3">
      <c r="A174" t="s">
        <v>198</v>
      </c>
      <c r="B174" t="s">
        <v>575</v>
      </c>
      <c r="C174" t="s">
        <v>627</v>
      </c>
      <c r="D174">
        <v>31</v>
      </c>
      <c r="E174" t="s">
        <v>629</v>
      </c>
      <c r="F174">
        <v>378</v>
      </c>
      <c r="G174" s="4">
        <v>48345</v>
      </c>
      <c r="H174" s="4">
        <v>18274410</v>
      </c>
      <c r="I174" t="s">
        <v>634</v>
      </c>
      <c r="J174" t="s">
        <v>670</v>
      </c>
      <c r="K174" t="s">
        <v>651</v>
      </c>
      <c r="L174" t="s">
        <v>680</v>
      </c>
      <c r="M174" t="s">
        <v>686</v>
      </c>
      <c r="N174" t="s">
        <v>691</v>
      </c>
      <c r="O174" t="s">
        <v>694</v>
      </c>
      <c r="P174" s="4">
        <v>7303542</v>
      </c>
      <c r="Q174">
        <v>6</v>
      </c>
      <c r="R174" s="7">
        <v>8.14</v>
      </c>
      <c r="S174" s="8">
        <f>Table1[[#This Row],[Discount_%]]/100</f>
        <v>8.14E-2</v>
      </c>
      <c r="T174" s="6" t="s">
        <v>828</v>
      </c>
      <c r="U174" t="s">
        <v>991</v>
      </c>
      <c r="V174">
        <v>2024</v>
      </c>
      <c r="W174" t="s">
        <v>993</v>
      </c>
      <c r="X174" t="s">
        <v>999</v>
      </c>
      <c r="Y174" t="s">
        <v>1001</v>
      </c>
      <c r="Z174">
        <v>3</v>
      </c>
      <c r="AA174">
        <v>40</v>
      </c>
      <c r="AB174" s="4">
        <f>Table1[[#This Row],[Total_Price]]*(1-Table1[[#This Row],[Discount 2]])</f>
        <v>16786873.026000001</v>
      </c>
      <c r="AC174" s="4" t="str" cm="1">
        <f t="array" ref="AC174">_xlfn.IFS(Table1[[#This Row],[Revenue]]&gt;=30000000,"High Value",Table1[[#This Row],[Revenue]]&gt;=10000000,"Moderate Value",TRUE,"Low Value")</f>
        <v>Moderate Value</v>
      </c>
      <c r="AD174" t="str">
        <f>IF(Table1[[#This Row],[Discount 2]]&gt;=5%, "YES", "NO")</f>
        <v>YES</v>
      </c>
      <c r="AE174" t="str" cm="1">
        <f t="array" ref="AE174">_xlfn.IFS(Table1[[#This Row],[Revenue]]&gt;=30000000,"High Spender",Table1[[#This Row],[Revenue]]&gt;=10000000,"Moderate Spender",TRUE,"Low Spender")</f>
        <v>Moderate Spender</v>
      </c>
      <c r="AF174" s="4" t="str" cm="1">
        <f t="array" ref="AF174">_xlfn.IFS(Table1[[#This Row],[Land_Size_SQM]]&gt;=730,"LARGE",Table1[[#This Row],[Land_Size_SQM]]&gt;=465,"MEDIUM",TRUE,"SMALL")</f>
        <v>SMALL</v>
      </c>
    </row>
    <row r="175" spans="1:32" x14ac:dyDescent="0.3">
      <c r="A175" t="s">
        <v>199</v>
      </c>
      <c r="B175" t="s">
        <v>571</v>
      </c>
      <c r="C175" t="s">
        <v>626</v>
      </c>
      <c r="D175">
        <v>20</v>
      </c>
      <c r="E175" t="s">
        <v>630</v>
      </c>
      <c r="F175">
        <v>708</v>
      </c>
      <c r="G175" s="4">
        <v>11217</v>
      </c>
      <c r="H175" s="4">
        <v>7941636</v>
      </c>
      <c r="I175" t="s">
        <v>656</v>
      </c>
      <c r="J175" t="s">
        <v>669</v>
      </c>
      <c r="K175" t="s">
        <v>676</v>
      </c>
      <c r="L175" t="s">
        <v>680</v>
      </c>
      <c r="M175" t="s">
        <v>683</v>
      </c>
      <c r="N175" t="s">
        <v>689</v>
      </c>
      <c r="O175" t="s">
        <v>694</v>
      </c>
      <c r="P175" s="4">
        <v>2155350</v>
      </c>
      <c r="Q175">
        <v>3</v>
      </c>
      <c r="R175" s="7">
        <v>9.82</v>
      </c>
      <c r="S175" s="8">
        <f>Table1[[#This Row],[Discount_%]]/100</f>
        <v>9.820000000000001E-2</v>
      </c>
      <c r="T175" s="6" t="s">
        <v>829</v>
      </c>
      <c r="U175" t="s">
        <v>987</v>
      </c>
      <c r="V175">
        <v>2024</v>
      </c>
      <c r="W175" t="s">
        <v>994</v>
      </c>
      <c r="X175" t="s">
        <v>998</v>
      </c>
      <c r="Y175" t="s">
        <v>1000</v>
      </c>
      <c r="Z175">
        <v>1</v>
      </c>
      <c r="AA175">
        <v>4</v>
      </c>
      <c r="AB175" s="4">
        <f>Table1[[#This Row],[Total_Price]]*(1-Table1[[#This Row],[Discount 2]])</f>
        <v>7161767.3447999991</v>
      </c>
      <c r="AC175" s="4" t="str" cm="1">
        <f t="array" ref="AC175">_xlfn.IFS(Table1[[#This Row],[Revenue]]&gt;=30000000,"High Value",Table1[[#This Row],[Revenue]]&gt;=10000000,"Moderate Value",TRUE,"Low Value")</f>
        <v>Low Value</v>
      </c>
      <c r="AD175" t="str">
        <f>IF(Table1[[#This Row],[Discount 2]]&gt;=5%, "YES", "NO")</f>
        <v>YES</v>
      </c>
      <c r="AE175" t="str" cm="1">
        <f t="array" ref="AE175">_xlfn.IFS(Table1[[#This Row],[Revenue]]&gt;=30000000,"High Spender",Table1[[#This Row],[Revenue]]&gt;=10000000,"Moderate Spender",TRUE,"Low Spender")</f>
        <v>Low Spender</v>
      </c>
      <c r="AF175" s="4" t="str" cm="1">
        <f t="array" ref="AF175">_xlfn.IFS(Table1[[#This Row],[Land_Size_SQM]]&gt;=730,"LARGE",Table1[[#This Row],[Land_Size_SQM]]&gt;=465,"MEDIUM",TRUE,"SMALL")</f>
        <v>MEDIUM</v>
      </c>
    </row>
    <row r="176" spans="1:32" x14ac:dyDescent="0.3">
      <c r="A176" t="s">
        <v>200</v>
      </c>
      <c r="B176" t="s">
        <v>550</v>
      </c>
      <c r="C176" t="s">
        <v>627</v>
      </c>
      <c r="D176">
        <v>48</v>
      </c>
      <c r="E176" t="s">
        <v>628</v>
      </c>
      <c r="F176">
        <v>370</v>
      </c>
      <c r="G176" s="4">
        <v>29133</v>
      </c>
      <c r="H176" s="4">
        <v>10779210</v>
      </c>
      <c r="I176" t="s">
        <v>666</v>
      </c>
      <c r="J176" t="s">
        <v>670</v>
      </c>
      <c r="K176" t="s">
        <v>640</v>
      </c>
      <c r="L176" t="s">
        <v>680</v>
      </c>
      <c r="M176" t="s">
        <v>687</v>
      </c>
      <c r="N176" t="s">
        <v>689</v>
      </c>
      <c r="O176" t="s">
        <v>694</v>
      </c>
      <c r="P176" s="4">
        <v>3291640</v>
      </c>
      <c r="Q176">
        <v>24</v>
      </c>
      <c r="R176" s="7">
        <v>3.75</v>
      </c>
      <c r="S176" s="8">
        <f>Table1[[#This Row],[Discount_%]]/100</f>
        <v>3.7499999999999999E-2</v>
      </c>
      <c r="T176" s="6" t="s">
        <v>830</v>
      </c>
      <c r="U176" t="s">
        <v>986</v>
      </c>
      <c r="V176">
        <v>2024</v>
      </c>
      <c r="W176" t="s">
        <v>994</v>
      </c>
      <c r="X176" t="s">
        <v>998</v>
      </c>
      <c r="Y176" t="s">
        <v>1000</v>
      </c>
      <c r="Z176">
        <v>1</v>
      </c>
      <c r="AA176">
        <v>22</v>
      </c>
      <c r="AB176" s="4">
        <f>Table1[[#This Row],[Total_Price]]*(1-Table1[[#This Row],[Discount 2]])</f>
        <v>10374989.625</v>
      </c>
      <c r="AC176" s="4" t="str" cm="1">
        <f t="array" ref="AC176">_xlfn.IFS(Table1[[#This Row],[Revenue]]&gt;=30000000,"High Value",Table1[[#This Row],[Revenue]]&gt;=10000000,"Moderate Value",TRUE,"Low Value")</f>
        <v>Moderate Value</v>
      </c>
      <c r="AD176" t="str">
        <f>IF(Table1[[#This Row],[Discount 2]]&gt;=5%, "YES", "NO")</f>
        <v>NO</v>
      </c>
      <c r="AE176" t="str" cm="1">
        <f t="array" ref="AE176">_xlfn.IFS(Table1[[#This Row],[Revenue]]&gt;=30000000,"High Spender",Table1[[#This Row],[Revenue]]&gt;=10000000,"Moderate Spender",TRUE,"Low Spender")</f>
        <v>Moderate Spender</v>
      </c>
      <c r="AF176" s="4" t="str" cm="1">
        <f t="array" ref="AF176">_xlfn.IFS(Table1[[#This Row],[Land_Size_SQM]]&gt;=730,"LARGE",Table1[[#This Row],[Land_Size_SQM]]&gt;=465,"MEDIUM",TRUE,"SMALL")</f>
        <v>SMALL</v>
      </c>
    </row>
    <row r="177" spans="1:32" x14ac:dyDescent="0.3">
      <c r="A177" t="s">
        <v>201</v>
      </c>
      <c r="B177" t="s">
        <v>605</v>
      </c>
      <c r="C177" t="s">
        <v>626</v>
      </c>
      <c r="D177">
        <v>61</v>
      </c>
      <c r="E177" t="s">
        <v>628</v>
      </c>
      <c r="F177">
        <v>949</v>
      </c>
      <c r="G177" s="4">
        <v>6915</v>
      </c>
      <c r="H177" s="4">
        <v>6562335</v>
      </c>
      <c r="I177" t="s">
        <v>632</v>
      </c>
      <c r="J177" t="s">
        <v>669</v>
      </c>
      <c r="K177" t="s">
        <v>638</v>
      </c>
      <c r="L177" t="s">
        <v>682</v>
      </c>
      <c r="M177" t="s">
        <v>684</v>
      </c>
      <c r="N177" t="s">
        <v>688</v>
      </c>
      <c r="O177" t="s">
        <v>693</v>
      </c>
      <c r="P177" s="4">
        <v>6562335</v>
      </c>
      <c r="Q177">
        <v>0</v>
      </c>
      <c r="R177" s="7">
        <v>3.38</v>
      </c>
      <c r="S177" s="8">
        <f>Table1[[#This Row],[Discount_%]]/100</f>
        <v>3.3799999999999997E-2</v>
      </c>
      <c r="T177" s="6" t="s">
        <v>831</v>
      </c>
      <c r="U177" t="s">
        <v>983</v>
      </c>
      <c r="V177">
        <v>2024</v>
      </c>
      <c r="W177" t="s">
        <v>993</v>
      </c>
      <c r="X177" t="s">
        <v>999</v>
      </c>
      <c r="Y177" t="s">
        <v>1002</v>
      </c>
      <c r="Z177">
        <v>2</v>
      </c>
      <c r="AA177">
        <v>13</v>
      </c>
      <c r="AB177" s="4">
        <f>Table1[[#This Row],[Total_Price]]*(1-Table1[[#This Row],[Discount 2]])</f>
        <v>6340528.0769999996</v>
      </c>
      <c r="AC177" s="4" t="str" cm="1">
        <f t="array" ref="AC177">_xlfn.IFS(Table1[[#This Row],[Revenue]]&gt;=30000000,"High Value",Table1[[#This Row],[Revenue]]&gt;=10000000,"Moderate Value",TRUE,"Low Value")</f>
        <v>Low Value</v>
      </c>
      <c r="AD177" t="str">
        <f>IF(Table1[[#This Row],[Discount 2]]&gt;=5%, "YES", "NO")</f>
        <v>NO</v>
      </c>
      <c r="AE177" t="str" cm="1">
        <f t="array" ref="AE177">_xlfn.IFS(Table1[[#This Row],[Revenue]]&gt;=30000000,"High Spender",Table1[[#This Row],[Revenue]]&gt;=10000000,"Moderate Spender",TRUE,"Low Spender")</f>
        <v>Low Spender</v>
      </c>
      <c r="AF177" s="4" t="str" cm="1">
        <f t="array" ref="AF177">_xlfn.IFS(Table1[[#This Row],[Land_Size_SQM]]&gt;=730,"LARGE",Table1[[#This Row],[Land_Size_SQM]]&gt;=465,"MEDIUM",TRUE,"SMALL")</f>
        <v>LARGE</v>
      </c>
    </row>
    <row r="178" spans="1:32" x14ac:dyDescent="0.3">
      <c r="A178" t="s">
        <v>202</v>
      </c>
      <c r="B178" t="s">
        <v>535</v>
      </c>
      <c r="C178" t="s">
        <v>626</v>
      </c>
      <c r="D178">
        <v>29</v>
      </c>
      <c r="E178" t="s">
        <v>628</v>
      </c>
      <c r="F178">
        <v>939</v>
      </c>
      <c r="G178" s="4">
        <v>49839</v>
      </c>
      <c r="H178" s="4">
        <v>46798821</v>
      </c>
      <c r="I178" t="s">
        <v>634</v>
      </c>
      <c r="J178" t="s">
        <v>670</v>
      </c>
      <c r="K178" t="s">
        <v>675</v>
      </c>
      <c r="L178" t="s">
        <v>681</v>
      </c>
      <c r="M178" t="s">
        <v>685</v>
      </c>
      <c r="N178" t="s">
        <v>691</v>
      </c>
      <c r="O178" t="s">
        <v>694</v>
      </c>
      <c r="P178" s="4">
        <v>13535164</v>
      </c>
      <c r="Q178">
        <v>12</v>
      </c>
      <c r="R178" s="7">
        <v>0.96</v>
      </c>
      <c r="S178" s="8">
        <f>Table1[[#This Row],[Discount_%]]/100</f>
        <v>9.5999999999999992E-3</v>
      </c>
      <c r="T178" s="6" t="s">
        <v>832</v>
      </c>
      <c r="U178" t="s">
        <v>991</v>
      </c>
      <c r="V178">
        <v>2024</v>
      </c>
      <c r="W178" t="s">
        <v>993</v>
      </c>
      <c r="X178" t="s">
        <v>998</v>
      </c>
      <c r="Y178" t="s">
        <v>1001</v>
      </c>
      <c r="Z178">
        <v>5</v>
      </c>
      <c r="AA178">
        <v>31</v>
      </c>
      <c r="AB178" s="4">
        <f>Table1[[#This Row],[Total_Price]]*(1-Table1[[#This Row],[Discount 2]])</f>
        <v>46349552.318399996</v>
      </c>
      <c r="AC178" s="4" t="str" cm="1">
        <f t="array" ref="AC178">_xlfn.IFS(Table1[[#This Row],[Revenue]]&gt;=30000000,"High Value",Table1[[#This Row],[Revenue]]&gt;=10000000,"Moderate Value",TRUE,"Low Value")</f>
        <v>High Value</v>
      </c>
      <c r="AD178" t="str">
        <f>IF(Table1[[#This Row],[Discount 2]]&gt;=5%, "YES", "NO")</f>
        <v>NO</v>
      </c>
      <c r="AE178" t="str" cm="1">
        <f t="array" ref="AE178">_xlfn.IFS(Table1[[#This Row],[Revenue]]&gt;=30000000,"High Spender",Table1[[#This Row],[Revenue]]&gt;=10000000,"Moderate Spender",TRUE,"Low Spender")</f>
        <v>High Spender</v>
      </c>
      <c r="AF178" s="4" t="str" cm="1">
        <f t="array" ref="AF178">_xlfn.IFS(Table1[[#This Row],[Land_Size_SQM]]&gt;=730,"LARGE",Table1[[#This Row],[Land_Size_SQM]]&gt;=465,"MEDIUM",TRUE,"SMALL")</f>
        <v>LARGE</v>
      </c>
    </row>
    <row r="179" spans="1:32" x14ac:dyDescent="0.3">
      <c r="A179" t="s">
        <v>203</v>
      </c>
      <c r="B179" t="s">
        <v>555</v>
      </c>
      <c r="C179" t="s">
        <v>626</v>
      </c>
      <c r="D179">
        <v>25</v>
      </c>
      <c r="E179" t="s">
        <v>629</v>
      </c>
      <c r="F179">
        <v>411</v>
      </c>
      <c r="G179" s="4">
        <v>13195</v>
      </c>
      <c r="H179" s="4">
        <v>5423145</v>
      </c>
      <c r="I179" t="s">
        <v>649</v>
      </c>
      <c r="J179" t="s">
        <v>669</v>
      </c>
      <c r="K179" t="s">
        <v>664</v>
      </c>
      <c r="L179" t="s">
        <v>682</v>
      </c>
      <c r="M179" t="s">
        <v>684</v>
      </c>
      <c r="N179" t="s">
        <v>688</v>
      </c>
      <c r="O179" t="s">
        <v>694</v>
      </c>
      <c r="P179" s="4">
        <v>1855102</v>
      </c>
      <c r="Q179">
        <v>3</v>
      </c>
      <c r="R179" s="7">
        <v>1.1599999999999999</v>
      </c>
      <c r="S179" s="8">
        <f>Table1[[#This Row],[Discount_%]]/100</f>
        <v>1.1599999999999999E-2</v>
      </c>
      <c r="T179" s="6" t="s">
        <v>774</v>
      </c>
      <c r="U179" t="s">
        <v>991</v>
      </c>
      <c r="V179">
        <v>2024</v>
      </c>
      <c r="W179" t="s">
        <v>994</v>
      </c>
      <c r="X179" t="s">
        <v>998</v>
      </c>
      <c r="Y179" t="s">
        <v>1002</v>
      </c>
      <c r="Z179">
        <v>2</v>
      </c>
      <c r="AA179">
        <v>29</v>
      </c>
      <c r="AB179" s="4">
        <f>Table1[[#This Row],[Total_Price]]*(1-Table1[[#This Row],[Discount 2]])</f>
        <v>5360236.5180000002</v>
      </c>
      <c r="AC179" s="4" t="str" cm="1">
        <f t="array" ref="AC179">_xlfn.IFS(Table1[[#This Row],[Revenue]]&gt;=30000000,"High Value",Table1[[#This Row],[Revenue]]&gt;=10000000,"Moderate Value",TRUE,"Low Value")</f>
        <v>Low Value</v>
      </c>
      <c r="AD179" t="str">
        <f>IF(Table1[[#This Row],[Discount 2]]&gt;=5%, "YES", "NO")</f>
        <v>NO</v>
      </c>
      <c r="AE179" t="str" cm="1">
        <f t="array" ref="AE179">_xlfn.IFS(Table1[[#This Row],[Revenue]]&gt;=30000000,"High Spender",Table1[[#This Row],[Revenue]]&gt;=10000000,"Moderate Spender",TRUE,"Low Spender")</f>
        <v>Low Spender</v>
      </c>
      <c r="AF179" s="4" t="str" cm="1">
        <f t="array" ref="AF179">_xlfn.IFS(Table1[[#This Row],[Land_Size_SQM]]&gt;=730,"LARGE",Table1[[#This Row],[Land_Size_SQM]]&gt;=465,"MEDIUM",TRUE,"SMALL")</f>
        <v>SMALL</v>
      </c>
    </row>
    <row r="180" spans="1:32" x14ac:dyDescent="0.3">
      <c r="A180" t="s">
        <v>204</v>
      </c>
      <c r="B180" t="s">
        <v>606</v>
      </c>
      <c r="C180" t="s">
        <v>627</v>
      </c>
      <c r="D180">
        <v>25</v>
      </c>
      <c r="E180" t="s">
        <v>629</v>
      </c>
      <c r="F180">
        <v>676</v>
      </c>
      <c r="G180" s="4">
        <v>19262</v>
      </c>
      <c r="H180" s="4">
        <v>13021112</v>
      </c>
      <c r="I180" t="s">
        <v>646</v>
      </c>
      <c r="J180" t="s">
        <v>673</v>
      </c>
      <c r="K180" t="s">
        <v>678</v>
      </c>
      <c r="L180" t="s">
        <v>681</v>
      </c>
      <c r="M180" t="s">
        <v>686</v>
      </c>
      <c r="N180" t="s">
        <v>691</v>
      </c>
      <c r="O180" t="s">
        <v>693</v>
      </c>
      <c r="P180" s="4">
        <v>13021112</v>
      </c>
      <c r="Q180">
        <v>0</v>
      </c>
      <c r="R180" s="7">
        <v>8.3699999999999992</v>
      </c>
      <c r="S180" s="8">
        <f>Table1[[#This Row],[Discount_%]]/100</f>
        <v>8.3699999999999997E-2</v>
      </c>
      <c r="T180" s="6" t="s">
        <v>833</v>
      </c>
      <c r="U180" t="s">
        <v>985</v>
      </c>
      <c r="V180">
        <v>2024</v>
      </c>
      <c r="W180" t="s">
        <v>996</v>
      </c>
      <c r="X180" t="s">
        <v>997</v>
      </c>
      <c r="Y180" t="s">
        <v>1000</v>
      </c>
      <c r="Z180">
        <v>4</v>
      </c>
      <c r="AA180">
        <v>34</v>
      </c>
      <c r="AB180" s="4">
        <f>Table1[[#This Row],[Total_Price]]*(1-Table1[[#This Row],[Discount 2]])</f>
        <v>11931244.9256</v>
      </c>
      <c r="AC180" s="4" t="str" cm="1">
        <f t="array" ref="AC180">_xlfn.IFS(Table1[[#This Row],[Revenue]]&gt;=30000000,"High Value",Table1[[#This Row],[Revenue]]&gt;=10000000,"Moderate Value",TRUE,"Low Value")</f>
        <v>Moderate Value</v>
      </c>
      <c r="AD180" t="str">
        <f>IF(Table1[[#This Row],[Discount 2]]&gt;=5%, "YES", "NO")</f>
        <v>YES</v>
      </c>
      <c r="AE180" t="str" cm="1">
        <f t="array" ref="AE180">_xlfn.IFS(Table1[[#This Row],[Revenue]]&gt;=30000000,"High Spender",Table1[[#This Row],[Revenue]]&gt;=10000000,"Moderate Spender",TRUE,"Low Spender")</f>
        <v>Moderate Spender</v>
      </c>
      <c r="AF180" s="4" t="str" cm="1">
        <f t="array" ref="AF180">_xlfn.IFS(Table1[[#This Row],[Land_Size_SQM]]&gt;=730,"LARGE",Table1[[#This Row],[Land_Size_SQM]]&gt;=465,"MEDIUM",TRUE,"SMALL")</f>
        <v>MEDIUM</v>
      </c>
    </row>
    <row r="181" spans="1:32" x14ac:dyDescent="0.3">
      <c r="A181" t="s">
        <v>205</v>
      </c>
      <c r="B181" t="s">
        <v>588</v>
      </c>
      <c r="C181" t="s">
        <v>627</v>
      </c>
      <c r="D181">
        <v>27</v>
      </c>
      <c r="E181" t="s">
        <v>630</v>
      </c>
      <c r="F181">
        <v>786</v>
      </c>
      <c r="G181" s="4">
        <v>17443</v>
      </c>
      <c r="H181" s="4">
        <v>13710198</v>
      </c>
      <c r="I181" t="s">
        <v>647</v>
      </c>
      <c r="J181" t="s">
        <v>670</v>
      </c>
      <c r="K181" t="s">
        <v>678</v>
      </c>
      <c r="L181" t="s">
        <v>680</v>
      </c>
      <c r="M181" t="s">
        <v>683</v>
      </c>
      <c r="N181" t="s">
        <v>688</v>
      </c>
      <c r="O181" t="s">
        <v>694</v>
      </c>
      <c r="P181" s="4">
        <v>3066786</v>
      </c>
      <c r="Q181">
        <v>12</v>
      </c>
      <c r="R181" s="7">
        <v>9.0299999999999994</v>
      </c>
      <c r="S181" s="8">
        <f>Table1[[#This Row],[Discount_%]]/100</f>
        <v>9.0299999999999991E-2</v>
      </c>
      <c r="T181" s="6" t="s">
        <v>834</v>
      </c>
      <c r="U181" t="s">
        <v>984</v>
      </c>
      <c r="V181">
        <v>2024</v>
      </c>
      <c r="W181" t="s">
        <v>996</v>
      </c>
      <c r="X181" t="s">
        <v>999</v>
      </c>
      <c r="Y181" t="s">
        <v>1000</v>
      </c>
      <c r="Z181">
        <v>4</v>
      </c>
      <c r="AA181">
        <v>6</v>
      </c>
      <c r="AB181" s="4">
        <f>Table1[[#This Row],[Total_Price]]*(1-Table1[[#This Row],[Discount 2]])</f>
        <v>12472167.1206</v>
      </c>
      <c r="AC181" s="4" t="str" cm="1">
        <f t="array" ref="AC181">_xlfn.IFS(Table1[[#This Row],[Revenue]]&gt;=30000000,"High Value",Table1[[#This Row],[Revenue]]&gt;=10000000,"Moderate Value",TRUE,"Low Value")</f>
        <v>Moderate Value</v>
      </c>
      <c r="AD181" t="str">
        <f>IF(Table1[[#This Row],[Discount 2]]&gt;=5%, "YES", "NO")</f>
        <v>YES</v>
      </c>
      <c r="AE181" t="str" cm="1">
        <f t="array" ref="AE181">_xlfn.IFS(Table1[[#This Row],[Revenue]]&gt;=30000000,"High Spender",Table1[[#This Row],[Revenue]]&gt;=10000000,"Moderate Spender",TRUE,"Low Spender")</f>
        <v>Moderate Spender</v>
      </c>
      <c r="AF181" s="4" t="str" cm="1">
        <f t="array" ref="AF181">_xlfn.IFS(Table1[[#This Row],[Land_Size_SQM]]&gt;=730,"LARGE",Table1[[#This Row],[Land_Size_SQM]]&gt;=465,"MEDIUM",TRUE,"SMALL")</f>
        <v>LARGE</v>
      </c>
    </row>
    <row r="182" spans="1:32" x14ac:dyDescent="0.3">
      <c r="A182" t="s">
        <v>206</v>
      </c>
      <c r="B182" t="s">
        <v>541</v>
      </c>
      <c r="C182" t="s">
        <v>626</v>
      </c>
      <c r="D182">
        <v>55</v>
      </c>
      <c r="E182" t="s">
        <v>630</v>
      </c>
      <c r="F182">
        <v>842</v>
      </c>
      <c r="G182" s="4">
        <v>11691</v>
      </c>
      <c r="H182" s="4">
        <v>9843822</v>
      </c>
      <c r="I182" t="s">
        <v>633</v>
      </c>
      <c r="J182" t="s">
        <v>668</v>
      </c>
      <c r="K182" t="s">
        <v>679</v>
      </c>
      <c r="L182" t="s">
        <v>681</v>
      </c>
      <c r="M182" t="s">
        <v>686</v>
      </c>
      <c r="N182" t="s">
        <v>691</v>
      </c>
      <c r="O182" t="s">
        <v>694</v>
      </c>
      <c r="P182" s="4">
        <v>4658504</v>
      </c>
      <c r="Q182">
        <v>12</v>
      </c>
      <c r="R182" s="7">
        <v>9.14</v>
      </c>
      <c r="S182" s="8">
        <f>Table1[[#This Row],[Discount_%]]/100</f>
        <v>9.1400000000000009E-2</v>
      </c>
      <c r="T182" s="6" t="s">
        <v>835</v>
      </c>
      <c r="U182" t="s">
        <v>981</v>
      </c>
      <c r="V182">
        <v>2024</v>
      </c>
      <c r="W182" t="s">
        <v>993</v>
      </c>
      <c r="X182" t="s">
        <v>997</v>
      </c>
      <c r="Y182" t="s">
        <v>1001</v>
      </c>
      <c r="Z182">
        <v>5</v>
      </c>
      <c r="AA182">
        <v>34</v>
      </c>
      <c r="AB182" s="4">
        <f>Table1[[#This Row],[Total_Price]]*(1-Table1[[#This Row],[Discount 2]])</f>
        <v>8944096.6691999994</v>
      </c>
      <c r="AC182" s="4" t="str" cm="1">
        <f t="array" ref="AC182">_xlfn.IFS(Table1[[#This Row],[Revenue]]&gt;=30000000,"High Value",Table1[[#This Row],[Revenue]]&gt;=10000000,"Moderate Value",TRUE,"Low Value")</f>
        <v>Low Value</v>
      </c>
      <c r="AD182" t="str">
        <f>IF(Table1[[#This Row],[Discount 2]]&gt;=5%, "YES", "NO")</f>
        <v>YES</v>
      </c>
      <c r="AE182" t="str" cm="1">
        <f t="array" ref="AE182">_xlfn.IFS(Table1[[#This Row],[Revenue]]&gt;=30000000,"High Spender",Table1[[#This Row],[Revenue]]&gt;=10000000,"Moderate Spender",TRUE,"Low Spender")</f>
        <v>Low Spender</v>
      </c>
      <c r="AF182" s="4" t="str" cm="1">
        <f t="array" ref="AF182">_xlfn.IFS(Table1[[#This Row],[Land_Size_SQM]]&gt;=730,"LARGE",Table1[[#This Row],[Land_Size_SQM]]&gt;=465,"MEDIUM",TRUE,"SMALL")</f>
        <v>LARGE</v>
      </c>
    </row>
    <row r="183" spans="1:32" x14ac:dyDescent="0.3">
      <c r="A183" t="s">
        <v>207</v>
      </c>
      <c r="B183" t="s">
        <v>544</v>
      </c>
      <c r="C183" t="s">
        <v>626</v>
      </c>
      <c r="D183">
        <v>46</v>
      </c>
      <c r="E183" t="s">
        <v>630</v>
      </c>
      <c r="F183">
        <v>353</v>
      </c>
      <c r="G183" s="4">
        <v>11712</v>
      </c>
      <c r="H183" s="4">
        <v>4134336</v>
      </c>
      <c r="I183" t="s">
        <v>663</v>
      </c>
      <c r="J183" t="s">
        <v>670</v>
      </c>
      <c r="K183" t="s">
        <v>640</v>
      </c>
      <c r="L183" t="s">
        <v>681</v>
      </c>
      <c r="M183" t="s">
        <v>684</v>
      </c>
      <c r="N183" t="s">
        <v>692</v>
      </c>
      <c r="O183" t="s">
        <v>693</v>
      </c>
      <c r="P183" s="4">
        <v>4134336</v>
      </c>
      <c r="Q183">
        <v>0</v>
      </c>
      <c r="R183" s="7">
        <v>9.25</v>
      </c>
      <c r="S183" s="8">
        <f>Table1[[#This Row],[Discount_%]]/100</f>
        <v>9.2499999999999999E-2</v>
      </c>
      <c r="T183" s="6" t="s">
        <v>833</v>
      </c>
      <c r="U183" t="s">
        <v>985</v>
      </c>
      <c r="V183">
        <v>2024</v>
      </c>
      <c r="W183" t="s">
        <v>995</v>
      </c>
      <c r="X183" t="s">
        <v>999</v>
      </c>
      <c r="Y183" t="s">
        <v>1000</v>
      </c>
      <c r="Z183">
        <v>3</v>
      </c>
      <c r="AA183">
        <v>26</v>
      </c>
      <c r="AB183" s="4">
        <f>Table1[[#This Row],[Total_Price]]*(1-Table1[[#This Row],[Discount 2]])</f>
        <v>3751909.92</v>
      </c>
      <c r="AC183" s="4" t="str" cm="1">
        <f t="array" ref="AC183">_xlfn.IFS(Table1[[#This Row],[Revenue]]&gt;=30000000,"High Value",Table1[[#This Row],[Revenue]]&gt;=10000000,"Moderate Value",TRUE,"Low Value")</f>
        <v>Low Value</v>
      </c>
      <c r="AD183" t="str">
        <f>IF(Table1[[#This Row],[Discount 2]]&gt;=5%, "YES", "NO")</f>
        <v>YES</v>
      </c>
      <c r="AE183" t="str" cm="1">
        <f t="array" ref="AE183">_xlfn.IFS(Table1[[#This Row],[Revenue]]&gt;=30000000,"High Spender",Table1[[#This Row],[Revenue]]&gt;=10000000,"Moderate Spender",TRUE,"Low Spender")</f>
        <v>Low Spender</v>
      </c>
      <c r="AF183" s="4" t="str" cm="1">
        <f t="array" ref="AF183">_xlfn.IFS(Table1[[#This Row],[Land_Size_SQM]]&gt;=730,"LARGE",Table1[[#This Row],[Land_Size_SQM]]&gt;=465,"MEDIUM",TRUE,"SMALL")</f>
        <v>SMALL</v>
      </c>
    </row>
    <row r="184" spans="1:32" x14ac:dyDescent="0.3">
      <c r="A184" t="s">
        <v>208</v>
      </c>
      <c r="B184" t="s">
        <v>607</v>
      </c>
      <c r="C184" t="s">
        <v>626</v>
      </c>
      <c r="D184">
        <v>37</v>
      </c>
      <c r="E184" t="s">
        <v>630</v>
      </c>
      <c r="F184">
        <v>897</v>
      </c>
      <c r="G184" s="4">
        <v>47459</v>
      </c>
      <c r="H184" s="4">
        <v>42570723</v>
      </c>
      <c r="I184" t="s">
        <v>656</v>
      </c>
      <c r="J184" t="s">
        <v>669</v>
      </c>
      <c r="K184" t="s">
        <v>674</v>
      </c>
      <c r="L184" t="s">
        <v>680</v>
      </c>
      <c r="M184" t="s">
        <v>687</v>
      </c>
      <c r="N184" t="s">
        <v>690</v>
      </c>
      <c r="O184" t="s">
        <v>694</v>
      </c>
      <c r="P184" s="4">
        <v>13568900</v>
      </c>
      <c r="Q184">
        <v>3</v>
      </c>
      <c r="R184" s="7">
        <v>8.7899999999999991</v>
      </c>
      <c r="S184" s="8">
        <f>Table1[[#This Row],[Discount_%]]/100</f>
        <v>8.7899999999999992E-2</v>
      </c>
      <c r="T184" s="6" t="s">
        <v>836</v>
      </c>
      <c r="U184" t="s">
        <v>984</v>
      </c>
      <c r="V184">
        <v>2024</v>
      </c>
      <c r="W184" t="s">
        <v>994</v>
      </c>
      <c r="X184" t="s">
        <v>998</v>
      </c>
      <c r="Y184" t="s">
        <v>1002</v>
      </c>
      <c r="Z184">
        <v>1</v>
      </c>
      <c r="AA184">
        <v>15</v>
      </c>
      <c r="AB184" s="4">
        <f>Table1[[#This Row],[Total_Price]]*(1-Table1[[#This Row],[Discount 2]])</f>
        <v>38828756.448300004</v>
      </c>
      <c r="AC184" s="4" t="str" cm="1">
        <f t="array" ref="AC184">_xlfn.IFS(Table1[[#This Row],[Revenue]]&gt;=30000000,"High Value",Table1[[#This Row],[Revenue]]&gt;=10000000,"Moderate Value",TRUE,"Low Value")</f>
        <v>High Value</v>
      </c>
      <c r="AD184" t="str">
        <f>IF(Table1[[#This Row],[Discount 2]]&gt;=5%, "YES", "NO")</f>
        <v>YES</v>
      </c>
      <c r="AE184" t="str" cm="1">
        <f t="array" ref="AE184">_xlfn.IFS(Table1[[#This Row],[Revenue]]&gt;=30000000,"High Spender",Table1[[#This Row],[Revenue]]&gt;=10000000,"Moderate Spender",TRUE,"Low Spender")</f>
        <v>High Spender</v>
      </c>
      <c r="AF184" s="4" t="str" cm="1">
        <f t="array" ref="AF184">_xlfn.IFS(Table1[[#This Row],[Land_Size_SQM]]&gt;=730,"LARGE",Table1[[#This Row],[Land_Size_SQM]]&gt;=465,"MEDIUM",TRUE,"SMALL")</f>
        <v>LARGE</v>
      </c>
    </row>
    <row r="185" spans="1:32" x14ac:dyDescent="0.3">
      <c r="A185" t="s">
        <v>209</v>
      </c>
      <c r="B185" t="s">
        <v>608</v>
      </c>
      <c r="C185" t="s">
        <v>626</v>
      </c>
      <c r="D185">
        <v>53</v>
      </c>
      <c r="E185" t="s">
        <v>630</v>
      </c>
      <c r="F185">
        <v>992</v>
      </c>
      <c r="G185" s="4">
        <v>23028</v>
      </c>
      <c r="H185" s="4">
        <v>22843776</v>
      </c>
      <c r="I185" t="s">
        <v>651</v>
      </c>
      <c r="J185" t="s">
        <v>669</v>
      </c>
      <c r="K185" t="s">
        <v>678</v>
      </c>
      <c r="L185" t="s">
        <v>680</v>
      </c>
      <c r="M185" t="s">
        <v>686</v>
      </c>
      <c r="N185" t="s">
        <v>688</v>
      </c>
      <c r="O185" t="s">
        <v>694</v>
      </c>
      <c r="P185" s="4">
        <v>8714758</v>
      </c>
      <c r="Q185">
        <v>24</v>
      </c>
      <c r="R185" s="7">
        <v>0.89</v>
      </c>
      <c r="S185" s="8">
        <f>Table1[[#This Row],[Discount_%]]/100</f>
        <v>8.8999999999999999E-3</v>
      </c>
      <c r="T185" s="6" t="s">
        <v>837</v>
      </c>
      <c r="U185" t="s">
        <v>989</v>
      </c>
      <c r="V185">
        <v>2024</v>
      </c>
      <c r="W185" t="s">
        <v>993</v>
      </c>
      <c r="X185" t="s">
        <v>998</v>
      </c>
      <c r="Y185" t="s">
        <v>1001</v>
      </c>
      <c r="Z185">
        <v>5</v>
      </c>
      <c r="AA185">
        <v>26</v>
      </c>
      <c r="AB185" s="4">
        <f>Table1[[#This Row],[Total_Price]]*(1-Table1[[#This Row],[Discount 2]])</f>
        <v>22640466.393599998</v>
      </c>
      <c r="AC185" s="4" t="str" cm="1">
        <f t="array" ref="AC185">_xlfn.IFS(Table1[[#This Row],[Revenue]]&gt;=30000000,"High Value",Table1[[#This Row],[Revenue]]&gt;=10000000,"Moderate Value",TRUE,"Low Value")</f>
        <v>Moderate Value</v>
      </c>
      <c r="AD185" t="str">
        <f>IF(Table1[[#This Row],[Discount 2]]&gt;=5%, "YES", "NO")</f>
        <v>NO</v>
      </c>
      <c r="AE185" t="str" cm="1">
        <f t="array" ref="AE185">_xlfn.IFS(Table1[[#This Row],[Revenue]]&gt;=30000000,"High Spender",Table1[[#This Row],[Revenue]]&gt;=10000000,"Moderate Spender",TRUE,"Low Spender")</f>
        <v>Moderate Spender</v>
      </c>
      <c r="AF185" s="4" t="str" cm="1">
        <f t="array" ref="AF185">_xlfn.IFS(Table1[[#This Row],[Land_Size_SQM]]&gt;=730,"LARGE",Table1[[#This Row],[Land_Size_SQM]]&gt;=465,"MEDIUM",TRUE,"SMALL")</f>
        <v>LARGE</v>
      </c>
    </row>
    <row r="186" spans="1:32" x14ac:dyDescent="0.3">
      <c r="A186" t="s">
        <v>210</v>
      </c>
      <c r="B186" t="s">
        <v>574</v>
      </c>
      <c r="C186" t="s">
        <v>627</v>
      </c>
      <c r="D186">
        <v>49</v>
      </c>
      <c r="E186" t="s">
        <v>628</v>
      </c>
      <c r="F186">
        <v>229</v>
      </c>
      <c r="G186" s="4">
        <v>13386</v>
      </c>
      <c r="H186" s="4">
        <v>3065394</v>
      </c>
      <c r="I186" t="s">
        <v>656</v>
      </c>
      <c r="J186" t="s">
        <v>669</v>
      </c>
      <c r="K186" t="s">
        <v>674</v>
      </c>
      <c r="L186" t="s">
        <v>681</v>
      </c>
      <c r="M186" t="s">
        <v>683</v>
      </c>
      <c r="N186" t="s">
        <v>690</v>
      </c>
      <c r="O186" t="s">
        <v>693</v>
      </c>
      <c r="P186" s="4">
        <v>3065394</v>
      </c>
      <c r="Q186">
        <v>0</v>
      </c>
      <c r="R186" s="7">
        <v>8.75</v>
      </c>
      <c r="S186" s="8">
        <f>Table1[[#This Row],[Discount_%]]/100</f>
        <v>8.7499999999999994E-2</v>
      </c>
      <c r="T186" s="6" t="s">
        <v>819</v>
      </c>
      <c r="U186" t="s">
        <v>990</v>
      </c>
      <c r="V186">
        <v>2024</v>
      </c>
      <c r="W186" t="s">
        <v>994</v>
      </c>
      <c r="X186" t="s">
        <v>998</v>
      </c>
      <c r="Y186" t="s">
        <v>1001</v>
      </c>
      <c r="Z186">
        <v>4</v>
      </c>
      <c r="AA186">
        <v>41</v>
      </c>
      <c r="AB186" s="4">
        <f>Table1[[#This Row],[Total_Price]]*(1-Table1[[#This Row],[Discount 2]])</f>
        <v>2797172.0249999999</v>
      </c>
      <c r="AC186" s="4" t="str" cm="1">
        <f t="array" ref="AC186">_xlfn.IFS(Table1[[#This Row],[Revenue]]&gt;=30000000,"High Value",Table1[[#This Row],[Revenue]]&gt;=10000000,"Moderate Value",TRUE,"Low Value")</f>
        <v>Low Value</v>
      </c>
      <c r="AD186" t="str">
        <f>IF(Table1[[#This Row],[Discount 2]]&gt;=5%, "YES", "NO")</f>
        <v>YES</v>
      </c>
      <c r="AE186" t="str" cm="1">
        <f t="array" ref="AE186">_xlfn.IFS(Table1[[#This Row],[Revenue]]&gt;=30000000,"High Spender",Table1[[#This Row],[Revenue]]&gt;=10000000,"Moderate Spender",TRUE,"Low Spender")</f>
        <v>Low Spender</v>
      </c>
      <c r="AF186" s="4" t="str" cm="1">
        <f t="array" ref="AF186">_xlfn.IFS(Table1[[#This Row],[Land_Size_SQM]]&gt;=730,"LARGE",Table1[[#This Row],[Land_Size_SQM]]&gt;=465,"MEDIUM",TRUE,"SMALL")</f>
        <v>SMALL</v>
      </c>
    </row>
    <row r="187" spans="1:32" x14ac:dyDescent="0.3">
      <c r="A187" t="s">
        <v>211</v>
      </c>
      <c r="B187" t="s">
        <v>597</v>
      </c>
      <c r="C187" t="s">
        <v>626</v>
      </c>
      <c r="D187">
        <v>30</v>
      </c>
      <c r="E187" t="s">
        <v>630</v>
      </c>
      <c r="F187">
        <v>447</v>
      </c>
      <c r="G187" s="4">
        <v>26409</v>
      </c>
      <c r="H187" s="4">
        <v>11804823</v>
      </c>
      <c r="I187" t="s">
        <v>662</v>
      </c>
      <c r="J187" t="s">
        <v>673</v>
      </c>
      <c r="K187" t="s">
        <v>664</v>
      </c>
      <c r="L187" t="s">
        <v>682</v>
      </c>
      <c r="M187" t="s">
        <v>685</v>
      </c>
      <c r="N187" t="s">
        <v>690</v>
      </c>
      <c r="O187" t="s">
        <v>694</v>
      </c>
      <c r="P187" s="4">
        <v>2989868</v>
      </c>
      <c r="Q187">
        <v>24</v>
      </c>
      <c r="R187" s="7">
        <v>8.6999999999999993</v>
      </c>
      <c r="S187" s="8">
        <f>Table1[[#This Row],[Discount_%]]/100</f>
        <v>8.6999999999999994E-2</v>
      </c>
      <c r="T187" s="6" t="s">
        <v>838</v>
      </c>
      <c r="U187" t="s">
        <v>985</v>
      </c>
      <c r="V187">
        <v>2024</v>
      </c>
      <c r="W187" t="s">
        <v>993</v>
      </c>
      <c r="X187" t="s">
        <v>998</v>
      </c>
      <c r="Y187" t="s">
        <v>1000</v>
      </c>
      <c r="Z187">
        <v>2</v>
      </c>
      <c r="AA187">
        <v>37</v>
      </c>
      <c r="AB187" s="4">
        <f>Table1[[#This Row],[Total_Price]]*(1-Table1[[#This Row],[Discount 2]])</f>
        <v>10777803.399</v>
      </c>
      <c r="AC187" s="4" t="str" cm="1">
        <f t="array" ref="AC187">_xlfn.IFS(Table1[[#This Row],[Revenue]]&gt;=30000000,"High Value",Table1[[#This Row],[Revenue]]&gt;=10000000,"Moderate Value",TRUE,"Low Value")</f>
        <v>Moderate Value</v>
      </c>
      <c r="AD187" t="str">
        <f>IF(Table1[[#This Row],[Discount 2]]&gt;=5%, "YES", "NO")</f>
        <v>YES</v>
      </c>
      <c r="AE187" t="str" cm="1">
        <f t="array" ref="AE187">_xlfn.IFS(Table1[[#This Row],[Revenue]]&gt;=30000000,"High Spender",Table1[[#This Row],[Revenue]]&gt;=10000000,"Moderate Spender",TRUE,"Low Spender")</f>
        <v>Moderate Spender</v>
      </c>
      <c r="AF187" s="4" t="str" cm="1">
        <f t="array" ref="AF187">_xlfn.IFS(Table1[[#This Row],[Land_Size_SQM]]&gt;=730,"LARGE",Table1[[#This Row],[Land_Size_SQM]]&gt;=465,"MEDIUM",TRUE,"SMALL")</f>
        <v>SMALL</v>
      </c>
    </row>
    <row r="188" spans="1:32" x14ac:dyDescent="0.3">
      <c r="A188" t="s">
        <v>212</v>
      </c>
      <c r="B188" t="s">
        <v>559</v>
      </c>
      <c r="C188" t="s">
        <v>627</v>
      </c>
      <c r="D188">
        <v>61</v>
      </c>
      <c r="E188" t="s">
        <v>628</v>
      </c>
      <c r="F188">
        <v>893</v>
      </c>
      <c r="G188" s="4">
        <v>15548</v>
      </c>
      <c r="H188" s="4">
        <v>13884364</v>
      </c>
      <c r="I188" t="s">
        <v>654</v>
      </c>
      <c r="J188" t="s">
        <v>669</v>
      </c>
      <c r="K188" t="s">
        <v>679</v>
      </c>
      <c r="L188" t="s">
        <v>682</v>
      </c>
      <c r="M188" t="s">
        <v>685</v>
      </c>
      <c r="N188" t="s">
        <v>688</v>
      </c>
      <c r="O188" t="s">
        <v>694</v>
      </c>
      <c r="P188" s="4">
        <v>4914848</v>
      </c>
      <c r="Q188">
        <v>24</v>
      </c>
      <c r="R188" s="7">
        <v>8.65</v>
      </c>
      <c r="S188" s="8">
        <f>Table1[[#This Row],[Discount_%]]/100</f>
        <v>8.6500000000000007E-2</v>
      </c>
      <c r="T188" s="6" t="s">
        <v>698</v>
      </c>
      <c r="U188" t="s">
        <v>984</v>
      </c>
      <c r="V188">
        <v>2024</v>
      </c>
      <c r="W188" t="s">
        <v>994</v>
      </c>
      <c r="X188" t="s">
        <v>997</v>
      </c>
      <c r="Y188" t="s">
        <v>1002</v>
      </c>
      <c r="Z188">
        <v>3</v>
      </c>
      <c r="AA188">
        <v>28</v>
      </c>
      <c r="AB188" s="4">
        <f>Table1[[#This Row],[Total_Price]]*(1-Table1[[#This Row],[Discount 2]])</f>
        <v>12683366.514</v>
      </c>
      <c r="AC188" s="4" t="str" cm="1">
        <f t="array" ref="AC188">_xlfn.IFS(Table1[[#This Row],[Revenue]]&gt;=30000000,"High Value",Table1[[#This Row],[Revenue]]&gt;=10000000,"Moderate Value",TRUE,"Low Value")</f>
        <v>Moderate Value</v>
      </c>
      <c r="AD188" t="str">
        <f>IF(Table1[[#This Row],[Discount 2]]&gt;=5%, "YES", "NO")</f>
        <v>YES</v>
      </c>
      <c r="AE188" t="str" cm="1">
        <f t="array" ref="AE188">_xlfn.IFS(Table1[[#This Row],[Revenue]]&gt;=30000000,"High Spender",Table1[[#This Row],[Revenue]]&gt;=10000000,"Moderate Spender",TRUE,"Low Spender")</f>
        <v>Moderate Spender</v>
      </c>
      <c r="AF188" s="4" t="str" cm="1">
        <f t="array" ref="AF188">_xlfn.IFS(Table1[[#This Row],[Land_Size_SQM]]&gt;=730,"LARGE",Table1[[#This Row],[Land_Size_SQM]]&gt;=465,"MEDIUM",TRUE,"SMALL")</f>
        <v>LARGE</v>
      </c>
    </row>
    <row r="189" spans="1:32" x14ac:dyDescent="0.3">
      <c r="A189" t="s">
        <v>213</v>
      </c>
      <c r="B189" t="s">
        <v>568</v>
      </c>
      <c r="C189" t="s">
        <v>626</v>
      </c>
      <c r="D189">
        <v>57</v>
      </c>
      <c r="E189" t="s">
        <v>628</v>
      </c>
      <c r="F189">
        <v>670</v>
      </c>
      <c r="G189" s="4">
        <v>18514</v>
      </c>
      <c r="H189" s="4">
        <v>12404380</v>
      </c>
      <c r="I189" t="s">
        <v>658</v>
      </c>
      <c r="J189" t="s">
        <v>670</v>
      </c>
      <c r="K189" t="s">
        <v>651</v>
      </c>
      <c r="L189" t="s">
        <v>680</v>
      </c>
      <c r="M189" t="s">
        <v>686</v>
      </c>
      <c r="N189" t="s">
        <v>690</v>
      </c>
      <c r="O189" t="s">
        <v>693</v>
      </c>
      <c r="P189" s="4">
        <v>12404380</v>
      </c>
      <c r="Q189">
        <v>0</v>
      </c>
      <c r="R189" s="7">
        <v>4.67</v>
      </c>
      <c r="S189" s="8">
        <f>Table1[[#This Row],[Discount_%]]/100</f>
        <v>4.6699999999999998E-2</v>
      </c>
      <c r="T189" s="6" t="s">
        <v>839</v>
      </c>
      <c r="U189" t="s">
        <v>984</v>
      </c>
      <c r="V189">
        <v>2024</v>
      </c>
      <c r="W189" t="s">
        <v>994</v>
      </c>
      <c r="X189" t="s">
        <v>998</v>
      </c>
      <c r="Y189" t="s">
        <v>1001</v>
      </c>
      <c r="Z189">
        <v>1</v>
      </c>
      <c r="AA189">
        <v>31</v>
      </c>
      <c r="AB189" s="4">
        <f>Table1[[#This Row],[Total_Price]]*(1-Table1[[#This Row],[Discount 2]])</f>
        <v>11825095.454</v>
      </c>
      <c r="AC189" s="4" t="str" cm="1">
        <f t="array" ref="AC189">_xlfn.IFS(Table1[[#This Row],[Revenue]]&gt;=30000000,"High Value",Table1[[#This Row],[Revenue]]&gt;=10000000,"Moderate Value",TRUE,"Low Value")</f>
        <v>Moderate Value</v>
      </c>
      <c r="AD189" t="str">
        <f>IF(Table1[[#This Row],[Discount 2]]&gt;=5%, "YES", "NO")</f>
        <v>NO</v>
      </c>
      <c r="AE189" t="str" cm="1">
        <f t="array" ref="AE189">_xlfn.IFS(Table1[[#This Row],[Revenue]]&gt;=30000000,"High Spender",Table1[[#This Row],[Revenue]]&gt;=10000000,"Moderate Spender",TRUE,"Low Spender")</f>
        <v>Moderate Spender</v>
      </c>
      <c r="AF189" s="4" t="str" cm="1">
        <f t="array" ref="AF189">_xlfn.IFS(Table1[[#This Row],[Land_Size_SQM]]&gt;=730,"LARGE",Table1[[#This Row],[Land_Size_SQM]]&gt;=465,"MEDIUM",TRUE,"SMALL")</f>
        <v>MEDIUM</v>
      </c>
    </row>
    <row r="190" spans="1:32" x14ac:dyDescent="0.3">
      <c r="A190" t="s">
        <v>214</v>
      </c>
      <c r="B190" t="s">
        <v>609</v>
      </c>
      <c r="C190" t="s">
        <v>627</v>
      </c>
      <c r="D190">
        <v>53</v>
      </c>
      <c r="E190" t="s">
        <v>628</v>
      </c>
      <c r="F190">
        <v>855</v>
      </c>
      <c r="G190" s="4">
        <v>23308</v>
      </c>
      <c r="H190" s="4">
        <v>19928340</v>
      </c>
      <c r="I190" t="s">
        <v>646</v>
      </c>
      <c r="J190" t="s">
        <v>673</v>
      </c>
      <c r="K190" t="s">
        <v>677</v>
      </c>
      <c r="L190" t="s">
        <v>680</v>
      </c>
      <c r="M190" t="s">
        <v>686</v>
      </c>
      <c r="N190" t="s">
        <v>691</v>
      </c>
      <c r="O190" t="s">
        <v>694</v>
      </c>
      <c r="P190" s="4">
        <v>7908280</v>
      </c>
      <c r="Q190">
        <v>12</v>
      </c>
      <c r="R190" s="7">
        <v>9.52</v>
      </c>
      <c r="S190" s="8">
        <f>Table1[[#This Row],[Discount_%]]/100</f>
        <v>9.5199999999999993E-2</v>
      </c>
      <c r="T190" s="6" t="s">
        <v>751</v>
      </c>
      <c r="U190" t="s">
        <v>983</v>
      </c>
      <c r="V190">
        <v>2024</v>
      </c>
      <c r="W190" t="s">
        <v>994</v>
      </c>
      <c r="X190" t="s">
        <v>997</v>
      </c>
      <c r="Y190" t="s">
        <v>1000</v>
      </c>
      <c r="Z190">
        <v>1</v>
      </c>
      <c r="AA190">
        <v>42</v>
      </c>
      <c r="AB190" s="4">
        <f>Table1[[#This Row],[Total_Price]]*(1-Table1[[#This Row],[Discount 2]])</f>
        <v>18031162.032000002</v>
      </c>
      <c r="AC190" s="4" t="str" cm="1">
        <f t="array" ref="AC190">_xlfn.IFS(Table1[[#This Row],[Revenue]]&gt;=30000000,"High Value",Table1[[#This Row],[Revenue]]&gt;=10000000,"Moderate Value",TRUE,"Low Value")</f>
        <v>Moderate Value</v>
      </c>
      <c r="AD190" t="str">
        <f>IF(Table1[[#This Row],[Discount 2]]&gt;=5%, "YES", "NO")</f>
        <v>YES</v>
      </c>
      <c r="AE190" t="str" cm="1">
        <f t="array" ref="AE190">_xlfn.IFS(Table1[[#This Row],[Revenue]]&gt;=30000000,"High Spender",Table1[[#This Row],[Revenue]]&gt;=10000000,"Moderate Spender",TRUE,"Low Spender")</f>
        <v>Moderate Spender</v>
      </c>
      <c r="AF190" s="4" t="str" cm="1">
        <f t="array" ref="AF190">_xlfn.IFS(Table1[[#This Row],[Land_Size_SQM]]&gt;=730,"LARGE",Table1[[#This Row],[Land_Size_SQM]]&gt;=465,"MEDIUM",TRUE,"SMALL")</f>
        <v>LARGE</v>
      </c>
    </row>
    <row r="191" spans="1:32" x14ac:dyDescent="0.3">
      <c r="A191" t="s">
        <v>215</v>
      </c>
      <c r="B191" t="s">
        <v>530</v>
      </c>
      <c r="C191" t="s">
        <v>626</v>
      </c>
      <c r="D191">
        <v>62</v>
      </c>
      <c r="E191" t="s">
        <v>630</v>
      </c>
      <c r="F191">
        <v>628</v>
      </c>
      <c r="G191" s="4">
        <v>28515</v>
      </c>
      <c r="H191" s="4">
        <v>17907420</v>
      </c>
      <c r="I191" t="s">
        <v>645</v>
      </c>
      <c r="J191" t="s">
        <v>670</v>
      </c>
      <c r="K191" t="s">
        <v>677</v>
      </c>
      <c r="L191" t="s">
        <v>682</v>
      </c>
      <c r="M191" t="s">
        <v>687</v>
      </c>
      <c r="N191" t="s">
        <v>688</v>
      </c>
      <c r="O191" t="s">
        <v>694</v>
      </c>
      <c r="P191" s="4">
        <v>6713619</v>
      </c>
      <c r="Q191">
        <v>3</v>
      </c>
      <c r="R191" s="7">
        <v>9.9499999999999993</v>
      </c>
      <c r="S191" s="8">
        <f>Table1[[#This Row],[Discount_%]]/100</f>
        <v>9.9499999999999991E-2</v>
      </c>
      <c r="T191" s="6" t="s">
        <v>794</v>
      </c>
      <c r="U191" t="s">
        <v>990</v>
      </c>
      <c r="V191">
        <v>2024</v>
      </c>
      <c r="W191" t="s">
        <v>996</v>
      </c>
      <c r="X191" t="s">
        <v>998</v>
      </c>
      <c r="Y191" t="s">
        <v>1000</v>
      </c>
      <c r="Z191">
        <v>4</v>
      </c>
      <c r="AA191">
        <v>9</v>
      </c>
      <c r="AB191" s="4">
        <f>Table1[[#This Row],[Total_Price]]*(1-Table1[[#This Row],[Discount 2]])</f>
        <v>16125631.709999999</v>
      </c>
      <c r="AC191" s="4" t="str" cm="1">
        <f t="array" ref="AC191">_xlfn.IFS(Table1[[#This Row],[Revenue]]&gt;=30000000,"High Value",Table1[[#This Row],[Revenue]]&gt;=10000000,"Moderate Value",TRUE,"Low Value")</f>
        <v>Moderate Value</v>
      </c>
      <c r="AD191" t="str">
        <f>IF(Table1[[#This Row],[Discount 2]]&gt;=5%, "YES", "NO")</f>
        <v>YES</v>
      </c>
      <c r="AE191" t="str" cm="1">
        <f t="array" ref="AE191">_xlfn.IFS(Table1[[#This Row],[Revenue]]&gt;=30000000,"High Spender",Table1[[#This Row],[Revenue]]&gt;=10000000,"Moderate Spender",TRUE,"Low Spender")</f>
        <v>Moderate Spender</v>
      </c>
      <c r="AF191" s="4" t="str" cm="1">
        <f t="array" ref="AF191">_xlfn.IFS(Table1[[#This Row],[Land_Size_SQM]]&gt;=730,"LARGE",Table1[[#This Row],[Land_Size_SQM]]&gt;=465,"MEDIUM",TRUE,"SMALL")</f>
        <v>MEDIUM</v>
      </c>
    </row>
    <row r="192" spans="1:32" x14ac:dyDescent="0.3">
      <c r="A192" t="s">
        <v>216</v>
      </c>
      <c r="B192" t="s">
        <v>600</v>
      </c>
      <c r="C192" t="s">
        <v>626</v>
      </c>
      <c r="D192">
        <v>36</v>
      </c>
      <c r="E192" t="s">
        <v>629</v>
      </c>
      <c r="F192">
        <v>981</v>
      </c>
      <c r="G192" s="4">
        <v>13997</v>
      </c>
      <c r="H192" s="4">
        <v>13731057</v>
      </c>
      <c r="I192" t="s">
        <v>635</v>
      </c>
      <c r="J192" t="s">
        <v>668</v>
      </c>
      <c r="K192" t="s">
        <v>675</v>
      </c>
      <c r="L192" t="s">
        <v>681</v>
      </c>
      <c r="M192" t="s">
        <v>684</v>
      </c>
      <c r="N192" t="s">
        <v>689</v>
      </c>
      <c r="O192" t="s">
        <v>694</v>
      </c>
      <c r="P192" s="4">
        <v>3661744</v>
      </c>
      <c r="Q192">
        <v>3</v>
      </c>
      <c r="R192" s="7">
        <v>2.23</v>
      </c>
      <c r="S192" s="8">
        <f>Table1[[#This Row],[Discount_%]]/100</f>
        <v>2.23E-2</v>
      </c>
      <c r="T192" s="6" t="s">
        <v>800</v>
      </c>
      <c r="U192" t="s">
        <v>982</v>
      </c>
      <c r="V192">
        <v>2024</v>
      </c>
      <c r="W192" t="s">
        <v>995</v>
      </c>
      <c r="X192" t="s">
        <v>999</v>
      </c>
      <c r="Y192" t="s">
        <v>1001</v>
      </c>
      <c r="Z192">
        <v>5</v>
      </c>
      <c r="AA192">
        <v>38</v>
      </c>
      <c r="AB192" s="4">
        <f>Table1[[#This Row],[Total_Price]]*(1-Table1[[#This Row],[Discount 2]])</f>
        <v>13424854.4289</v>
      </c>
      <c r="AC192" s="4" t="str" cm="1">
        <f t="array" ref="AC192">_xlfn.IFS(Table1[[#This Row],[Revenue]]&gt;=30000000,"High Value",Table1[[#This Row],[Revenue]]&gt;=10000000,"Moderate Value",TRUE,"Low Value")</f>
        <v>Moderate Value</v>
      </c>
      <c r="AD192" t="str">
        <f>IF(Table1[[#This Row],[Discount 2]]&gt;=5%, "YES", "NO")</f>
        <v>NO</v>
      </c>
      <c r="AE192" t="str" cm="1">
        <f t="array" ref="AE192">_xlfn.IFS(Table1[[#This Row],[Revenue]]&gt;=30000000,"High Spender",Table1[[#This Row],[Revenue]]&gt;=10000000,"Moderate Spender",TRUE,"Low Spender")</f>
        <v>Moderate Spender</v>
      </c>
      <c r="AF192" s="4" t="str" cm="1">
        <f t="array" ref="AF192">_xlfn.IFS(Table1[[#This Row],[Land_Size_SQM]]&gt;=730,"LARGE",Table1[[#This Row],[Land_Size_SQM]]&gt;=465,"MEDIUM",TRUE,"SMALL")</f>
        <v>LARGE</v>
      </c>
    </row>
    <row r="193" spans="1:32" x14ac:dyDescent="0.3">
      <c r="A193" t="s">
        <v>217</v>
      </c>
      <c r="B193" t="s">
        <v>539</v>
      </c>
      <c r="C193" t="s">
        <v>626</v>
      </c>
      <c r="D193">
        <v>23</v>
      </c>
      <c r="E193" t="s">
        <v>628</v>
      </c>
      <c r="F193">
        <v>399</v>
      </c>
      <c r="G193" s="4">
        <v>34799</v>
      </c>
      <c r="H193" s="4">
        <v>13884801</v>
      </c>
      <c r="I193" t="s">
        <v>638</v>
      </c>
      <c r="J193" t="s">
        <v>672</v>
      </c>
      <c r="K193" t="s">
        <v>678</v>
      </c>
      <c r="L193" t="s">
        <v>680</v>
      </c>
      <c r="M193" t="s">
        <v>683</v>
      </c>
      <c r="N193" t="s">
        <v>690</v>
      </c>
      <c r="O193" t="s">
        <v>693</v>
      </c>
      <c r="P193" s="4">
        <v>13884801</v>
      </c>
      <c r="Q193">
        <v>0</v>
      </c>
      <c r="R193" s="7">
        <v>8.67</v>
      </c>
      <c r="S193" s="8">
        <f>Table1[[#This Row],[Discount_%]]/100</f>
        <v>8.6699999999999999E-2</v>
      </c>
      <c r="T193" s="6" t="s">
        <v>840</v>
      </c>
      <c r="U193" t="s">
        <v>991</v>
      </c>
      <c r="V193">
        <v>2024</v>
      </c>
      <c r="W193" t="s">
        <v>995</v>
      </c>
      <c r="X193" t="s">
        <v>997</v>
      </c>
      <c r="Y193" t="s">
        <v>1002</v>
      </c>
      <c r="Z193">
        <v>2</v>
      </c>
      <c r="AA193">
        <v>21</v>
      </c>
      <c r="AB193" s="4">
        <f>Table1[[#This Row],[Total_Price]]*(1-Table1[[#This Row],[Discount 2]])</f>
        <v>12680988.7533</v>
      </c>
      <c r="AC193" s="4" t="str" cm="1">
        <f t="array" ref="AC193">_xlfn.IFS(Table1[[#This Row],[Revenue]]&gt;=30000000,"High Value",Table1[[#This Row],[Revenue]]&gt;=10000000,"Moderate Value",TRUE,"Low Value")</f>
        <v>Moderate Value</v>
      </c>
      <c r="AD193" t="str">
        <f>IF(Table1[[#This Row],[Discount 2]]&gt;=5%, "YES", "NO")</f>
        <v>YES</v>
      </c>
      <c r="AE193" t="str" cm="1">
        <f t="array" ref="AE193">_xlfn.IFS(Table1[[#This Row],[Revenue]]&gt;=30000000,"High Spender",Table1[[#This Row],[Revenue]]&gt;=10000000,"Moderate Spender",TRUE,"Low Spender")</f>
        <v>Moderate Spender</v>
      </c>
      <c r="AF193" s="4" t="str" cm="1">
        <f t="array" ref="AF193">_xlfn.IFS(Table1[[#This Row],[Land_Size_SQM]]&gt;=730,"LARGE",Table1[[#This Row],[Land_Size_SQM]]&gt;=465,"MEDIUM",TRUE,"SMALL")</f>
        <v>SMALL</v>
      </c>
    </row>
    <row r="194" spans="1:32" x14ac:dyDescent="0.3">
      <c r="A194" t="s">
        <v>218</v>
      </c>
      <c r="B194" t="s">
        <v>559</v>
      </c>
      <c r="C194" t="s">
        <v>626</v>
      </c>
      <c r="D194">
        <v>33</v>
      </c>
      <c r="E194" t="s">
        <v>628</v>
      </c>
      <c r="F194">
        <v>699</v>
      </c>
      <c r="G194" s="4">
        <v>23799</v>
      </c>
      <c r="H194" s="4">
        <v>16635501</v>
      </c>
      <c r="I194" t="s">
        <v>653</v>
      </c>
      <c r="J194" t="s">
        <v>668</v>
      </c>
      <c r="K194" t="s">
        <v>676</v>
      </c>
      <c r="L194" t="s">
        <v>682</v>
      </c>
      <c r="M194" t="s">
        <v>683</v>
      </c>
      <c r="N194" t="s">
        <v>691</v>
      </c>
      <c r="O194" t="s">
        <v>693</v>
      </c>
      <c r="P194" s="4">
        <v>16635501</v>
      </c>
      <c r="Q194">
        <v>0</v>
      </c>
      <c r="R194" s="7">
        <v>3.13</v>
      </c>
      <c r="S194" s="8">
        <f>Table1[[#This Row],[Discount_%]]/100</f>
        <v>3.1300000000000001E-2</v>
      </c>
      <c r="T194" s="6" t="s">
        <v>841</v>
      </c>
      <c r="U194" t="s">
        <v>988</v>
      </c>
      <c r="V194">
        <v>2024</v>
      </c>
      <c r="W194" t="s">
        <v>993</v>
      </c>
      <c r="X194" t="s">
        <v>999</v>
      </c>
      <c r="Y194" t="s">
        <v>1001</v>
      </c>
      <c r="Z194">
        <v>4</v>
      </c>
      <c r="AA194">
        <v>41</v>
      </c>
      <c r="AB194" s="4">
        <f>Table1[[#This Row],[Total_Price]]*(1-Table1[[#This Row],[Discount 2]])</f>
        <v>16114809.818700001</v>
      </c>
      <c r="AC194" s="4" t="str" cm="1">
        <f t="array" ref="AC194">_xlfn.IFS(Table1[[#This Row],[Revenue]]&gt;=30000000,"High Value",Table1[[#This Row],[Revenue]]&gt;=10000000,"Moderate Value",TRUE,"Low Value")</f>
        <v>Moderate Value</v>
      </c>
      <c r="AD194" t="str">
        <f>IF(Table1[[#This Row],[Discount 2]]&gt;=5%, "YES", "NO")</f>
        <v>NO</v>
      </c>
      <c r="AE194" t="str" cm="1">
        <f t="array" ref="AE194">_xlfn.IFS(Table1[[#This Row],[Revenue]]&gt;=30000000,"High Spender",Table1[[#This Row],[Revenue]]&gt;=10000000,"Moderate Spender",TRUE,"Low Spender")</f>
        <v>Moderate Spender</v>
      </c>
      <c r="AF194" s="4" t="str" cm="1">
        <f t="array" ref="AF194">_xlfn.IFS(Table1[[#This Row],[Land_Size_SQM]]&gt;=730,"LARGE",Table1[[#This Row],[Land_Size_SQM]]&gt;=465,"MEDIUM",TRUE,"SMALL")</f>
        <v>MEDIUM</v>
      </c>
    </row>
    <row r="195" spans="1:32" x14ac:dyDescent="0.3">
      <c r="A195" t="s">
        <v>219</v>
      </c>
      <c r="B195" t="s">
        <v>542</v>
      </c>
      <c r="C195" t="s">
        <v>626</v>
      </c>
      <c r="D195">
        <v>53</v>
      </c>
      <c r="E195" t="s">
        <v>628</v>
      </c>
      <c r="F195">
        <v>688</v>
      </c>
      <c r="G195" s="4">
        <v>27121</v>
      </c>
      <c r="H195" s="4">
        <v>18659248</v>
      </c>
      <c r="I195" t="s">
        <v>666</v>
      </c>
      <c r="J195" t="s">
        <v>670</v>
      </c>
      <c r="K195" t="s">
        <v>640</v>
      </c>
      <c r="L195" t="s">
        <v>680</v>
      </c>
      <c r="M195" t="s">
        <v>685</v>
      </c>
      <c r="N195" t="s">
        <v>688</v>
      </c>
      <c r="O195" t="s">
        <v>693</v>
      </c>
      <c r="P195" s="4">
        <v>18659248</v>
      </c>
      <c r="Q195">
        <v>0</v>
      </c>
      <c r="R195" s="7">
        <v>0.38</v>
      </c>
      <c r="S195" s="8">
        <f>Table1[[#This Row],[Discount_%]]/100</f>
        <v>3.8E-3</v>
      </c>
      <c r="T195" s="6" t="s">
        <v>819</v>
      </c>
      <c r="U195" t="s">
        <v>990</v>
      </c>
      <c r="V195">
        <v>2024</v>
      </c>
      <c r="W195" t="s">
        <v>996</v>
      </c>
      <c r="X195" t="s">
        <v>997</v>
      </c>
      <c r="Y195" t="s">
        <v>1002</v>
      </c>
      <c r="Z195">
        <v>3</v>
      </c>
      <c r="AA195">
        <v>9</v>
      </c>
      <c r="AB195" s="4">
        <f>Table1[[#This Row],[Total_Price]]*(1-Table1[[#This Row],[Discount 2]])</f>
        <v>18588342.8576</v>
      </c>
      <c r="AC195" s="4" t="str" cm="1">
        <f t="array" ref="AC195">_xlfn.IFS(Table1[[#This Row],[Revenue]]&gt;=30000000,"High Value",Table1[[#This Row],[Revenue]]&gt;=10000000,"Moderate Value",TRUE,"Low Value")</f>
        <v>Moderate Value</v>
      </c>
      <c r="AD195" t="str">
        <f>IF(Table1[[#This Row],[Discount 2]]&gt;=5%, "YES", "NO")</f>
        <v>NO</v>
      </c>
      <c r="AE195" t="str" cm="1">
        <f t="array" ref="AE195">_xlfn.IFS(Table1[[#This Row],[Revenue]]&gt;=30000000,"High Spender",Table1[[#This Row],[Revenue]]&gt;=10000000,"Moderate Spender",TRUE,"Low Spender")</f>
        <v>Moderate Spender</v>
      </c>
      <c r="AF195" s="4" t="str" cm="1">
        <f t="array" ref="AF195">_xlfn.IFS(Table1[[#This Row],[Land_Size_SQM]]&gt;=730,"LARGE",Table1[[#This Row],[Land_Size_SQM]]&gt;=465,"MEDIUM",TRUE,"SMALL")</f>
        <v>MEDIUM</v>
      </c>
    </row>
    <row r="196" spans="1:32" x14ac:dyDescent="0.3">
      <c r="A196" t="s">
        <v>220</v>
      </c>
      <c r="B196" t="s">
        <v>575</v>
      </c>
      <c r="C196" t="s">
        <v>626</v>
      </c>
      <c r="D196">
        <v>53</v>
      </c>
      <c r="E196" t="s">
        <v>629</v>
      </c>
      <c r="F196">
        <v>802</v>
      </c>
      <c r="G196" s="4">
        <v>22061</v>
      </c>
      <c r="H196" s="4">
        <v>17692922</v>
      </c>
      <c r="I196" t="s">
        <v>661</v>
      </c>
      <c r="J196" t="s">
        <v>673</v>
      </c>
      <c r="K196" t="s">
        <v>675</v>
      </c>
      <c r="L196" t="s">
        <v>682</v>
      </c>
      <c r="M196" t="s">
        <v>687</v>
      </c>
      <c r="N196" t="s">
        <v>691</v>
      </c>
      <c r="O196" t="s">
        <v>693</v>
      </c>
      <c r="P196" s="4">
        <v>17692922</v>
      </c>
      <c r="Q196">
        <v>0</v>
      </c>
      <c r="R196" s="7">
        <v>0.65</v>
      </c>
      <c r="S196" s="8">
        <f>Table1[[#This Row],[Discount_%]]/100</f>
        <v>6.5000000000000006E-3</v>
      </c>
      <c r="T196" s="6" t="s">
        <v>842</v>
      </c>
      <c r="U196" t="s">
        <v>988</v>
      </c>
      <c r="V196">
        <v>2024</v>
      </c>
      <c r="W196" t="s">
        <v>996</v>
      </c>
      <c r="X196" t="s">
        <v>998</v>
      </c>
      <c r="Y196" t="s">
        <v>1002</v>
      </c>
      <c r="Z196">
        <v>3</v>
      </c>
      <c r="AA196">
        <v>49</v>
      </c>
      <c r="AB196" s="4">
        <f>Table1[[#This Row],[Total_Price]]*(1-Table1[[#This Row],[Discount 2]])</f>
        <v>17577918.006999999</v>
      </c>
      <c r="AC196" s="4" t="str" cm="1">
        <f t="array" ref="AC196">_xlfn.IFS(Table1[[#This Row],[Revenue]]&gt;=30000000,"High Value",Table1[[#This Row],[Revenue]]&gt;=10000000,"Moderate Value",TRUE,"Low Value")</f>
        <v>Moderate Value</v>
      </c>
      <c r="AD196" t="str">
        <f>IF(Table1[[#This Row],[Discount 2]]&gt;=5%, "YES", "NO")</f>
        <v>NO</v>
      </c>
      <c r="AE196" t="str" cm="1">
        <f t="array" ref="AE196">_xlfn.IFS(Table1[[#This Row],[Revenue]]&gt;=30000000,"High Spender",Table1[[#This Row],[Revenue]]&gt;=10000000,"Moderate Spender",TRUE,"Low Spender")</f>
        <v>Moderate Spender</v>
      </c>
      <c r="AF196" s="4" t="str" cm="1">
        <f t="array" ref="AF196">_xlfn.IFS(Table1[[#This Row],[Land_Size_SQM]]&gt;=730,"LARGE",Table1[[#This Row],[Land_Size_SQM]]&gt;=465,"MEDIUM",TRUE,"SMALL")</f>
        <v>LARGE</v>
      </c>
    </row>
    <row r="197" spans="1:32" x14ac:dyDescent="0.3">
      <c r="A197" t="s">
        <v>221</v>
      </c>
      <c r="B197" t="s">
        <v>607</v>
      </c>
      <c r="C197" t="s">
        <v>627</v>
      </c>
      <c r="D197">
        <v>27</v>
      </c>
      <c r="E197" t="s">
        <v>630</v>
      </c>
      <c r="F197">
        <v>219</v>
      </c>
      <c r="G197" s="4">
        <v>16969</v>
      </c>
      <c r="H197" s="4">
        <v>3716211</v>
      </c>
      <c r="I197" t="s">
        <v>654</v>
      </c>
      <c r="J197" t="s">
        <v>669</v>
      </c>
      <c r="K197" t="s">
        <v>640</v>
      </c>
      <c r="L197" t="s">
        <v>682</v>
      </c>
      <c r="M197" t="s">
        <v>685</v>
      </c>
      <c r="N197" t="s">
        <v>691</v>
      </c>
      <c r="O197" t="s">
        <v>693</v>
      </c>
      <c r="P197" s="4">
        <v>3716211</v>
      </c>
      <c r="Q197">
        <v>0</v>
      </c>
      <c r="R197" s="7">
        <v>7.27</v>
      </c>
      <c r="S197" s="8">
        <f>Table1[[#This Row],[Discount_%]]/100</f>
        <v>7.2700000000000001E-2</v>
      </c>
      <c r="T197" s="6" t="s">
        <v>843</v>
      </c>
      <c r="U197" t="s">
        <v>987</v>
      </c>
      <c r="V197">
        <v>2024</v>
      </c>
      <c r="W197" t="s">
        <v>994</v>
      </c>
      <c r="X197" t="s">
        <v>997</v>
      </c>
      <c r="Y197" t="s">
        <v>1001</v>
      </c>
      <c r="Z197">
        <v>1</v>
      </c>
      <c r="AA197">
        <v>39</v>
      </c>
      <c r="AB197" s="4">
        <f>Table1[[#This Row],[Total_Price]]*(1-Table1[[#This Row],[Discount 2]])</f>
        <v>3446042.4602999999</v>
      </c>
      <c r="AC197" s="4" t="str" cm="1">
        <f t="array" ref="AC197">_xlfn.IFS(Table1[[#This Row],[Revenue]]&gt;=30000000,"High Value",Table1[[#This Row],[Revenue]]&gt;=10000000,"Moderate Value",TRUE,"Low Value")</f>
        <v>Low Value</v>
      </c>
      <c r="AD197" t="str">
        <f>IF(Table1[[#This Row],[Discount 2]]&gt;=5%, "YES", "NO")</f>
        <v>YES</v>
      </c>
      <c r="AE197" t="str" cm="1">
        <f t="array" ref="AE197">_xlfn.IFS(Table1[[#This Row],[Revenue]]&gt;=30000000,"High Spender",Table1[[#This Row],[Revenue]]&gt;=10000000,"Moderate Spender",TRUE,"Low Spender")</f>
        <v>Low Spender</v>
      </c>
      <c r="AF197" s="4" t="str" cm="1">
        <f t="array" ref="AF197">_xlfn.IFS(Table1[[#This Row],[Land_Size_SQM]]&gt;=730,"LARGE",Table1[[#This Row],[Land_Size_SQM]]&gt;=465,"MEDIUM",TRUE,"SMALL")</f>
        <v>SMALL</v>
      </c>
    </row>
    <row r="198" spans="1:32" x14ac:dyDescent="0.3">
      <c r="A198" t="s">
        <v>222</v>
      </c>
      <c r="B198" t="s">
        <v>545</v>
      </c>
      <c r="C198" t="s">
        <v>627</v>
      </c>
      <c r="D198">
        <v>55</v>
      </c>
      <c r="E198" t="s">
        <v>630</v>
      </c>
      <c r="F198">
        <v>869</v>
      </c>
      <c r="G198" s="4">
        <v>3293</v>
      </c>
      <c r="H198" s="4">
        <v>2861617</v>
      </c>
      <c r="I198" t="s">
        <v>662</v>
      </c>
      <c r="J198" t="s">
        <v>673</v>
      </c>
      <c r="K198" t="s">
        <v>676</v>
      </c>
      <c r="L198" t="s">
        <v>681</v>
      </c>
      <c r="M198" t="s">
        <v>683</v>
      </c>
      <c r="N198" t="s">
        <v>688</v>
      </c>
      <c r="O198" t="s">
        <v>693</v>
      </c>
      <c r="P198" s="4">
        <v>2861617</v>
      </c>
      <c r="Q198">
        <v>0</v>
      </c>
      <c r="R198" s="7">
        <v>6.9</v>
      </c>
      <c r="S198" s="8">
        <f>Table1[[#This Row],[Discount_%]]/100</f>
        <v>6.9000000000000006E-2</v>
      </c>
      <c r="T198" s="6" t="s">
        <v>844</v>
      </c>
      <c r="U198" t="s">
        <v>989</v>
      </c>
      <c r="V198">
        <v>2024</v>
      </c>
      <c r="W198" t="s">
        <v>993</v>
      </c>
      <c r="X198" t="s">
        <v>998</v>
      </c>
      <c r="Y198" t="s">
        <v>1002</v>
      </c>
      <c r="Z198">
        <v>1</v>
      </c>
      <c r="AA198">
        <v>43</v>
      </c>
      <c r="AB198" s="4">
        <f>Table1[[#This Row],[Total_Price]]*(1-Table1[[#This Row],[Discount 2]])</f>
        <v>2664165.4270000001</v>
      </c>
      <c r="AC198" s="4" t="str" cm="1">
        <f t="array" ref="AC198">_xlfn.IFS(Table1[[#This Row],[Revenue]]&gt;=30000000,"High Value",Table1[[#This Row],[Revenue]]&gt;=10000000,"Moderate Value",TRUE,"Low Value")</f>
        <v>Low Value</v>
      </c>
      <c r="AD198" t="str">
        <f>IF(Table1[[#This Row],[Discount 2]]&gt;=5%, "YES", "NO")</f>
        <v>YES</v>
      </c>
      <c r="AE198" t="str" cm="1">
        <f t="array" ref="AE198">_xlfn.IFS(Table1[[#This Row],[Revenue]]&gt;=30000000,"High Spender",Table1[[#This Row],[Revenue]]&gt;=10000000,"Moderate Spender",TRUE,"Low Spender")</f>
        <v>Low Spender</v>
      </c>
      <c r="AF198" s="4" t="str" cm="1">
        <f t="array" ref="AF198">_xlfn.IFS(Table1[[#This Row],[Land_Size_SQM]]&gt;=730,"LARGE",Table1[[#This Row],[Land_Size_SQM]]&gt;=465,"MEDIUM",TRUE,"SMALL")</f>
        <v>LARGE</v>
      </c>
    </row>
    <row r="199" spans="1:32" x14ac:dyDescent="0.3">
      <c r="A199" t="s">
        <v>223</v>
      </c>
      <c r="B199" t="s">
        <v>568</v>
      </c>
      <c r="C199" t="s">
        <v>627</v>
      </c>
      <c r="D199">
        <v>38</v>
      </c>
      <c r="E199" t="s">
        <v>628</v>
      </c>
      <c r="F199">
        <v>820</v>
      </c>
      <c r="G199" s="4">
        <v>47922</v>
      </c>
      <c r="H199" s="4">
        <v>39296040</v>
      </c>
      <c r="I199" t="s">
        <v>637</v>
      </c>
      <c r="J199" t="s">
        <v>672</v>
      </c>
      <c r="K199" t="s">
        <v>674</v>
      </c>
      <c r="L199" t="s">
        <v>680</v>
      </c>
      <c r="M199" t="s">
        <v>684</v>
      </c>
      <c r="N199" t="s">
        <v>688</v>
      </c>
      <c r="O199" t="s">
        <v>693</v>
      </c>
      <c r="P199" s="4">
        <v>39296040</v>
      </c>
      <c r="Q199">
        <v>0</v>
      </c>
      <c r="R199" s="7">
        <v>4.1900000000000004</v>
      </c>
      <c r="S199" s="8">
        <f>Table1[[#This Row],[Discount_%]]/100</f>
        <v>4.1900000000000007E-2</v>
      </c>
      <c r="T199" s="6" t="s">
        <v>845</v>
      </c>
      <c r="U199" t="s">
        <v>981</v>
      </c>
      <c r="V199">
        <v>2024</v>
      </c>
      <c r="W199" t="s">
        <v>996</v>
      </c>
      <c r="X199" t="s">
        <v>998</v>
      </c>
      <c r="Y199" t="s">
        <v>1001</v>
      </c>
      <c r="Z199">
        <v>2</v>
      </c>
      <c r="AA199">
        <v>23</v>
      </c>
      <c r="AB199" s="4">
        <f>Table1[[#This Row],[Total_Price]]*(1-Table1[[#This Row],[Discount 2]])</f>
        <v>37649535.923999995</v>
      </c>
      <c r="AC199" s="4" t="str" cm="1">
        <f t="array" ref="AC199">_xlfn.IFS(Table1[[#This Row],[Revenue]]&gt;=30000000,"High Value",Table1[[#This Row],[Revenue]]&gt;=10000000,"Moderate Value",TRUE,"Low Value")</f>
        <v>High Value</v>
      </c>
      <c r="AD199" t="str">
        <f>IF(Table1[[#This Row],[Discount 2]]&gt;=5%, "YES", "NO")</f>
        <v>NO</v>
      </c>
      <c r="AE199" t="str" cm="1">
        <f t="array" ref="AE199">_xlfn.IFS(Table1[[#This Row],[Revenue]]&gt;=30000000,"High Spender",Table1[[#This Row],[Revenue]]&gt;=10000000,"Moderate Spender",TRUE,"Low Spender")</f>
        <v>High Spender</v>
      </c>
      <c r="AF199" s="4" t="str" cm="1">
        <f t="array" ref="AF199">_xlfn.IFS(Table1[[#This Row],[Land_Size_SQM]]&gt;=730,"LARGE",Table1[[#This Row],[Land_Size_SQM]]&gt;=465,"MEDIUM",TRUE,"SMALL")</f>
        <v>LARGE</v>
      </c>
    </row>
    <row r="200" spans="1:32" x14ac:dyDescent="0.3">
      <c r="A200" t="s">
        <v>224</v>
      </c>
      <c r="B200" t="s">
        <v>610</v>
      </c>
      <c r="C200" t="s">
        <v>627</v>
      </c>
      <c r="D200">
        <v>27</v>
      </c>
      <c r="E200" t="s">
        <v>629</v>
      </c>
      <c r="F200">
        <v>364</v>
      </c>
      <c r="G200" s="4">
        <v>4582</v>
      </c>
      <c r="H200" s="4">
        <v>1667848</v>
      </c>
      <c r="I200" t="s">
        <v>633</v>
      </c>
      <c r="J200" t="s">
        <v>668</v>
      </c>
      <c r="K200" t="s">
        <v>677</v>
      </c>
      <c r="L200" t="s">
        <v>682</v>
      </c>
      <c r="M200" t="s">
        <v>684</v>
      </c>
      <c r="N200" t="s">
        <v>688</v>
      </c>
      <c r="O200" t="s">
        <v>694</v>
      </c>
      <c r="P200" s="4">
        <v>677915</v>
      </c>
      <c r="Q200">
        <v>6</v>
      </c>
      <c r="R200" s="7">
        <v>4.8099999999999996</v>
      </c>
      <c r="S200" s="8">
        <f>Table1[[#This Row],[Discount_%]]/100</f>
        <v>4.8099999999999997E-2</v>
      </c>
      <c r="T200" s="6" t="s">
        <v>846</v>
      </c>
      <c r="U200" t="s">
        <v>990</v>
      </c>
      <c r="V200">
        <v>2024</v>
      </c>
      <c r="W200" t="s">
        <v>993</v>
      </c>
      <c r="X200" t="s">
        <v>997</v>
      </c>
      <c r="Y200" t="s">
        <v>1000</v>
      </c>
      <c r="Z200">
        <v>1</v>
      </c>
      <c r="AA200">
        <v>17</v>
      </c>
      <c r="AB200" s="4">
        <f>Table1[[#This Row],[Total_Price]]*(1-Table1[[#This Row],[Discount 2]])</f>
        <v>1587624.5111999998</v>
      </c>
      <c r="AC200" s="4" t="str" cm="1">
        <f t="array" ref="AC200">_xlfn.IFS(Table1[[#This Row],[Revenue]]&gt;=30000000,"High Value",Table1[[#This Row],[Revenue]]&gt;=10000000,"Moderate Value",TRUE,"Low Value")</f>
        <v>Low Value</v>
      </c>
      <c r="AD200" t="str">
        <f>IF(Table1[[#This Row],[Discount 2]]&gt;=5%, "YES", "NO")</f>
        <v>NO</v>
      </c>
      <c r="AE200" t="str" cm="1">
        <f t="array" ref="AE200">_xlfn.IFS(Table1[[#This Row],[Revenue]]&gt;=30000000,"High Spender",Table1[[#This Row],[Revenue]]&gt;=10000000,"Moderate Spender",TRUE,"Low Spender")</f>
        <v>Low Spender</v>
      </c>
      <c r="AF200" s="4" t="str" cm="1">
        <f t="array" ref="AF200">_xlfn.IFS(Table1[[#This Row],[Land_Size_SQM]]&gt;=730,"LARGE",Table1[[#This Row],[Land_Size_SQM]]&gt;=465,"MEDIUM",TRUE,"SMALL")</f>
        <v>SMALL</v>
      </c>
    </row>
    <row r="201" spans="1:32" x14ac:dyDescent="0.3">
      <c r="A201" t="s">
        <v>225</v>
      </c>
      <c r="B201" t="s">
        <v>532</v>
      </c>
      <c r="C201" t="s">
        <v>626</v>
      </c>
      <c r="D201">
        <v>47</v>
      </c>
      <c r="E201" t="s">
        <v>629</v>
      </c>
      <c r="F201">
        <v>503</v>
      </c>
      <c r="G201" s="4">
        <v>19309</v>
      </c>
      <c r="H201" s="4">
        <v>9712427</v>
      </c>
      <c r="I201" t="s">
        <v>653</v>
      </c>
      <c r="J201" t="s">
        <v>668</v>
      </c>
      <c r="K201" t="s">
        <v>678</v>
      </c>
      <c r="L201" t="s">
        <v>680</v>
      </c>
      <c r="M201" t="s">
        <v>685</v>
      </c>
      <c r="N201" t="s">
        <v>689</v>
      </c>
      <c r="O201" t="s">
        <v>694</v>
      </c>
      <c r="P201" s="4">
        <v>2233301</v>
      </c>
      <c r="Q201">
        <v>3</v>
      </c>
      <c r="R201" s="7">
        <v>1.75</v>
      </c>
      <c r="S201" s="8">
        <f>Table1[[#This Row],[Discount_%]]/100</f>
        <v>1.7500000000000002E-2</v>
      </c>
      <c r="T201" s="6" t="s">
        <v>713</v>
      </c>
      <c r="U201" t="s">
        <v>988</v>
      </c>
      <c r="V201">
        <v>2024</v>
      </c>
      <c r="W201" t="s">
        <v>993</v>
      </c>
      <c r="X201" t="s">
        <v>999</v>
      </c>
      <c r="Y201" t="s">
        <v>1001</v>
      </c>
      <c r="Z201">
        <v>2</v>
      </c>
      <c r="AA201">
        <v>22</v>
      </c>
      <c r="AB201" s="4">
        <f>Table1[[#This Row],[Total_Price]]*(1-Table1[[#This Row],[Discount 2]])</f>
        <v>9542459.5274999999</v>
      </c>
      <c r="AC201" s="4" t="str" cm="1">
        <f t="array" ref="AC201">_xlfn.IFS(Table1[[#This Row],[Revenue]]&gt;=30000000,"High Value",Table1[[#This Row],[Revenue]]&gt;=10000000,"Moderate Value",TRUE,"Low Value")</f>
        <v>Low Value</v>
      </c>
      <c r="AD201" t="str">
        <f>IF(Table1[[#This Row],[Discount 2]]&gt;=5%, "YES", "NO")</f>
        <v>NO</v>
      </c>
      <c r="AE201" t="str" cm="1">
        <f t="array" ref="AE201">_xlfn.IFS(Table1[[#This Row],[Revenue]]&gt;=30000000,"High Spender",Table1[[#This Row],[Revenue]]&gt;=10000000,"Moderate Spender",TRUE,"Low Spender")</f>
        <v>Low Spender</v>
      </c>
      <c r="AF201" s="4" t="str" cm="1">
        <f t="array" ref="AF201">_xlfn.IFS(Table1[[#This Row],[Land_Size_SQM]]&gt;=730,"LARGE",Table1[[#This Row],[Land_Size_SQM]]&gt;=465,"MEDIUM",TRUE,"SMALL")</f>
        <v>MEDIUM</v>
      </c>
    </row>
    <row r="202" spans="1:32" x14ac:dyDescent="0.3">
      <c r="A202" t="s">
        <v>226</v>
      </c>
      <c r="B202" t="s">
        <v>549</v>
      </c>
      <c r="C202" t="s">
        <v>626</v>
      </c>
      <c r="D202">
        <v>46</v>
      </c>
      <c r="E202" t="s">
        <v>629</v>
      </c>
      <c r="F202">
        <v>474</v>
      </c>
      <c r="G202" s="4">
        <v>8091</v>
      </c>
      <c r="H202" s="4">
        <v>3835134</v>
      </c>
      <c r="I202" t="s">
        <v>639</v>
      </c>
      <c r="J202" t="s">
        <v>671</v>
      </c>
      <c r="K202" t="s">
        <v>674</v>
      </c>
      <c r="L202" t="s">
        <v>680</v>
      </c>
      <c r="M202" t="s">
        <v>685</v>
      </c>
      <c r="N202" t="s">
        <v>688</v>
      </c>
      <c r="O202" t="s">
        <v>694</v>
      </c>
      <c r="P202" s="4">
        <v>977425</v>
      </c>
      <c r="Q202">
        <v>12</v>
      </c>
      <c r="R202" s="7">
        <v>4.01</v>
      </c>
      <c r="S202" s="8">
        <f>Table1[[#This Row],[Discount_%]]/100</f>
        <v>4.0099999999999997E-2</v>
      </c>
      <c r="T202" s="6" t="s">
        <v>847</v>
      </c>
      <c r="U202" t="s">
        <v>989</v>
      </c>
      <c r="V202">
        <v>2024</v>
      </c>
      <c r="W202" t="s">
        <v>993</v>
      </c>
      <c r="X202" t="s">
        <v>999</v>
      </c>
      <c r="Y202" t="s">
        <v>1000</v>
      </c>
      <c r="Z202">
        <v>4</v>
      </c>
      <c r="AA202">
        <v>38</v>
      </c>
      <c r="AB202" s="4">
        <f>Table1[[#This Row],[Total_Price]]*(1-Table1[[#This Row],[Discount 2]])</f>
        <v>3681345.1266000001</v>
      </c>
      <c r="AC202" s="4" t="str" cm="1">
        <f t="array" ref="AC202">_xlfn.IFS(Table1[[#This Row],[Revenue]]&gt;=30000000,"High Value",Table1[[#This Row],[Revenue]]&gt;=10000000,"Moderate Value",TRUE,"Low Value")</f>
        <v>Low Value</v>
      </c>
      <c r="AD202" t="str">
        <f>IF(Table1[[#This Row],[Discount 2]]&gt;=5%, "YES", "NO")</f>
        <v>NO</v>
      </c>
      <c r="AE202" t="str" cm="1">
        <f t="array" ref="AE202">_xlfn.IFS(Table1[[#This Row],[Revenue]]&gt;=30000000,"High Spender",Table1[[#This Row],[Revenue]]&gt;=10000000,"Moderate Spender",TRUE,"Low Spender")</f>
        <v>Low Spender</v>
      </c>
      <c r="AF202" s="4" t="str" cm="1">
        <f t="array" ref="AF202">_xlfn.IFS(Table1[[#This Row],[Land_Size_SQM]]&gt;=730,"LARGE",Table1[[#This Row],[Land_Size_SQM]]&gt;=465,"MEDIUM",TRUE,"SMALL")</f>
        <v>MEDIUM</v>
      </c>
    </row>
    <row r="203" spans="1:32" x14ac:dyDescent="0.3">
      <c r="A203" t="s">
        <v>227</v>
      </c>
      <c r="B203" t="s">
        <v>547</v>
      </c>
      <c r="C203" t="s">
        <v>627</v>
      </c>
      <c r="D203">
        <v>50</v>
      </c>
      <c r="E203" t="s">
        <v>630</v>
      </c>
      <c r="F203">
        <v>894</v>
      </c>
      <c r="G203" s="4">
        <v>30715</v>
      </c>
      <c r="H203" s="4">
        <v>27459210</v>
      </c>
      <c r="I203" t="s">
        <v>658</v>
      </c>
      <c r="J203" t="s">
        <v>670</v>
      </c>
      <c r="K203" t="s">
        <v>674</v>
      </c>
      <c r="L203" t="s">
        <v>680</v>
      </c>
      <c r="M203" t="s">
        <v>684</v>
      </c>
      <c r="N203" t="s">
        <v>691</v>
      </c>
      <c r="O203" t="s">
        <v>693</v>
      </c>
      <c r="P203" s="4">
        <v>27459210</v>
      </c>
      <c r="Q203">
        <v>0</v>
      </c>
      <c r="R203" s="7">
        <v>6.11</v>
      </c>
      <c r="S203" s="8">
        <f>Table1[[#This Row],[Discount_%]]/100</f>
        <v>6.1100000000000002E-2</v>
      </c>
      <c r="T203" s="6" t="s">
        <v>848</v>
      </c>
      <c r="U203" t="s">
        <v>991</v>
      </c>
      <c r="V203">
        <v>2024</v>
      </c>
      <c r="W203" t="s">
        <v>993</v>
      </c>
      <c r="X203" t="s">
        <v>999</v>
      </c>
      <c r="Y203" t="s">
        <v>1002</v>
      </c>
      <c r="Z203">
        <v>3</v>
      </c>
      <c r="AA203">
        <v>1</v>
      </c>
      <c r="AB203" s="4">
        <f>Table1[[#This Row],[Total_Price]]*(1-Table1[[#This Row],[Discount 2]])</f>
        <v>25781452.268999998</v>
      </c>
      <c r="AC203" s="4" t="str" cm="1">
        <f t="array" ref="AC203">_xlfn.IFS(Table1[[#This Row],[Revenue]]&gt;=30000000,"High Value",Table1[[#This Row],[Revenue]]&gt;=10000000,"Moderate Value",TRUE,"Low Value")</f>
        <v>Moderate Value</v>
      </c>
      <c r="AD203" t="str">
        <f>IF(Table1[[#This Row],[Discount 2]]&gt;=5%, "YES", "NO")</f>
        <v>YES</v>
      </c>
      <c r="AE203" t="str" cm="1">
        <f t="array" ref="AE203">_xlfn.IFS(Table1[[#This Row],[Revenue]]&gt;=30000000,"High Spender",Table1[[#This Row],[Revenue]]&gt;=10000000,"Moderate Spender",TRUE,"Low Spender")</f>
        <v>Moderate Spender</v>
      </c>
      <c r="AF203" s="4" t="str" cm="1">
        <f t="array" ref="AF203">_xlfn.IFS(Table1[[#This Row],[Land_Size_SQM]]&gt;=730,"LARGE",Table1[[#This Row],[Land_Size_SQM]]&gt;=465,"MEDIUM",TRUE,"SMALL")</f>
        <v>LARGE</v>
      </c>
    </row>
    <row r="204" spans="1:32" x14ac:dyDescent="0.3">
      <c r="A204" t="s">
        <v>228</v>
      </c>
      <c r="B204" t="s">
        <v>561</v>
      </c>
      <c r="C204" t="s">
        <v>627</v>
      </c>
      <c r="D204">
        <v>47</v>
      </c>
      <c r="E204" t="s">
        <v>629</v>
      </c>
      <c r="F204">
        <v>985</v>
      </c>
      <c r="G204" s="4">
        <v>39791</v>
      </c>
      <c r="H204" s="4">
        <v>39194135</v>
      </c>
      <c r="I204" t="s">
        <v>659</v>
      </c>
      <c r="J204" t="s">
        <v>668</v>
      </c>
      <c r="K204" t="s">
        <v>675</v>
      </c>
      <c r="L204" t="s">
        <v>682</v>
      </c>
      <c r="M204" t="s">
        <v>683</v>
      </c>
      <c r="N204" t="s">
        <v>691</v>
      </c>
      <c r="O204" t="s">
        <v>693</v>
      </c>
      <c r="P204" s="4">
        <v>39194135</v>
      </c>
      <c r="Q204">
        <v>0</v>
      </c>
      <c r="R204" s="7">
        <v>9.7799999999999994</v>
      </c>
      <c r="S204" s="8">
        <f>Table1[[#This Row],[Discount_%]]/100</f>
        <v>9.7799999999999998E-2</v>
      </c>
      <c r="T204" s="6" t="s">
        <v>782</v>
      </c>
      <c r="U204" t="s">
        <v>984</v>
      </c>
      <c r="V204">
        <v>2024</v>
      </c>
      <c r="W204" t="s">
        <v>994</v>
      </c>
      <c r="X204" t="s">
        <v>997</v>
      </c>
      <c r="Y204" t="s">
        <v>1001</v>
      </c>
      <c r="Z204">
        <v>4</v>
      </c>
      <c r="AA204">
        <v>10</v>
      </c>
      <c r="AB204" s="4">
        <f>Table1[[#This Row],[Total_Price]]*(1-Table1[[#This Row],[Discount 2]])</f>
        <v>35360948.597000003</v>
      </c>
      <c r="AC204" s="4" t="str" cm="1">
        <f t="array" ref="AC204">_xlfn.IFS(Table1[[#This Row],[Revenue]]&gt;=30000000,"High Value",Table1[[#This Row],[Revenue]]&gt;=10000000,"Moderate Value",TRUE,"Low Value")</f>
        <v>High Value</v>
      </c>
      <c r="AD204" t="str">
        <f>IF(Table1[[#This Row],[Discount 2]]&gt;=5%, "YES", "NO")</f>
        <v>YES</v>
      </c>
      <c r="AE204" t="str" cm="1">
        <f t="array" ref="AE204">_xlfn.IFS(Table1[[#This Row],[Revenue]]&gt;=30000000,"High Spender",Table1[[#This Row],[Revenue]]&gt;=10000000,"Moderate Spender",TRUE,"Low Spender")</f>
        <v>High Spender</v>
      </c>
      <c r="AF204" s="4" t="str" cm="1">
        <f t="array" ref="AF204">_xlfn.IFS(Table1[[#This Row],[Land_Size_SQM]]&gt;=730,"LARGE",Table1[[#This Row],[Land_Size_SQM]]&gt;=465,"MEDIUM",TRUE,"SMALL")</f>
        <v>LARGE</v>
      </c>
    </row>
    <row r="205" spans="1:32" x14ac:dyDescent="0.3">
      <c r="A205" t="s">
        <v>229</v>
      </c>
      <c r="B205" t="s">
        <v>587</v>
      </c>
      <c r="C205" t="s">
        <v>627</v>
      </c>
      <c r="D205">
        <v>51</v>
      </c>
      <c r="E205" t="s">
        <v>630</v>
      </c>
      <c r="F205">
        <v>211</v>
      </c>
      <c r="G205" s="4">
        <v>44165</v>
      </c>
      <c r="H205" s="4">
        <v>9318815</v>
      </c>
      <c r="I205" t="s">
        <v>665</v>
      </c>
      <c r="J205" t="s">
        <v>672</v>
      </c>
      <c r="K205" t="s">
        <v>664</v>
      </c>
      <c r="L205" t="s">
        <v>680</v>
      </c>
      <c r="M205" t="s">
        <v>687</v>
      </c>
      <c r="N205" t="s">
        <v>690</v>
      </c>
      <c r="O205" t="s">
        <v>693</v>
      </c>
      <c r="P205" s="4">
        <v>9318815</v>
      </c>
      <c r="Q205">
        <v>0</v>
      </c>
      <c r="R205" s="7">
        <v>5.0599999999999996</v>
      </c>
      <c r="S205" s="8">
        <f>Table1[[#This Row],[Discount_%]]/100</f>
        <v>5.0599999999999999E-2</v>
      </c>
      <c r="T205" s="6" t="s">
        <v>795</v>
      </c>
      <c r="U205" t="s">
        <v>989</v>
      </c>
      <c r="V205">
        <v>2024</v>
      </c>
      <c r="W205" t="s">
        <v>993</v>
      </c>
      <c r="X205" t="s">
        <v>997</v>
      </c>
      <c r="Y205" t="s">
        <v>1000</v>
      </c>
      <c r="Z205">
        <v>5</v>
      </c>
      <c r="AA205">
        <v>42</v>
      </c>
      <c r="AB205" s="4">
        <f>Table1[[#This Row],[Total_Price]]*(1-Table1[[#This Row],[Discount 2]])</f>
        <v>8847282.9610000011</v>
      </c>
      <c r="AC205" s="4" t="str" cm="1">
        <f t="array" ref="AC205">_xlfn.IFS(Table1[[#This Row],[Revenue]]&gt;=30000000,"High Value",Table1[[#This Row],[Revenue]]&gt;=10000000,"Moderate Value",TRUE,"Low Value")</f>
        <v>Low Value</v>
      </c>
      <c r="AD205" t="str">
        <f>IF(Table1[[#This Row],[Discount 2]]&gt;=5%, "YES", "NO")</f>
        <v>YES</v>
      </c>
      <c r="AE205" t="str" cm="1">
        <f t="array" ref="AE205">_xlfn.IFS(Table1[[#This Row],[Revenue]]&gt;=30000000,"High Spender",Table1[[#This Row],[Revenue]]&gt;=10000000,"Moderate Spender",TRUE,"Low Spender")</f>
        <v>Low Spender</v>
      </c>
      <c r="AF205" s="4" t="str" cm="1">
        <f t="array" ref="AF205">_xlfn.IFS(Table1[[#This Row],[Land_Size_SQM]]&gt;=730,"LARGE",Table1[[#This Row],[Land_Size_SQM]]&gt;=465,"MEDIUM",TRUE,"SMALL")</f>
        <v>SMALL</v>
      </c>
    </row>
    <row r="206" spans="1:32" x14ac:dyDescent="0.3">
      <c r="A206" t="s">
        <v>230</v>
      </c>
      <c r="B206" t="s">
        <v>589</v>
      </c>
      <c r="C206" t="s">
        <v>627</v>
      </c>
      <c r="D206">
        <v>26</v>
      </c>
      <c r="E206" t="s">
        <v>630</v>
      </c>
      <c r="F206">
        <v>280</v>
      </c>
      <c r="G206" s="4">
        <v>32087</v>
      </c>
      <c r="H206" s="4">
        <v>8984360</v>
      </c>
      <c r="I206" t="s">
        <v>666</v>
      </c>
      <c r="J206" t="s">
        <v>670</v>
      </c>
      <c r="K206" t="s">
        <v>679</v>
      </c>
      <c r="L206" t="s">
        <v>681</v>
      </c>
      <c r="M206" t="s">
        <v>685</v>
      </c>
      <c r="N206" t="s">
        <v>692</v>
      </c>
      <c r="O206" t="s">
        <v>694</v>
      </c>
      <c r="P206" s="4">
        <v>2034113</v>
      </c>
      <c r="Q206">
        <v>24</v>
      </c>
      <c r="R206" s="7">
        <v>4.9800000000000004</v>
      </c>
      <c r="S206" s="8">
        <f>Table1[[#This Row],[Discount_%]]/100</f>
        <v>4.9800000000000004E-2</v>
      </c>
      <c r="T206" s="6" t="s">
        <v>849</v>
      </c>
      <c r="U206" t="s">
        <v>982</v>
      </c>
      <c r="V206">
        <v>2024</v>
      </c>
      <c r="W206" t="s">
        <v>993</v>
      </c>
      <c r="X206" t="s">
        <v>999</v>
      </c>
      <c r="Y206" t="s">
        <v>1001</v>
      </c>
      <c r="Z206">
        <v>5</v>
      </c>
      <c r="AA206">
        <v>41</v>
      </c>
      <c r="AB206" s="4">
        <f>Table1[[#This Row],[Total_Price]]*(1-Table1[[#This Row],[Discount 2]])</f>
        <v>8536938.8719999995</v>
      </c>
      <c r="AC206" s="4" t="str" cm="1">
        <f t="array" ref="AC206">_xlfn.IFS(Table1[[#This Row],[Revenue]]&gt;=30000000,"High Value",Table1[[#This Row],[Revenue]]&gt;=10000000,"Moderate Value",TRUE,"Low Value")</f>
        <v>Low Value</v>
      </c>
      <c r="AD206" t="str">
        <f>IF(Table1[[#This Row],[Discount 2]]&gt;=5%, "YES", "NO")</f>
        <v>NO</v>
      </c>
      <c r="AE206" t="str" cm="1">
        <f t="array" ref="AE206">_xlfn.IFS(Table1[[#This Row],[Revenue]]&gt;=30000000,"High Spender",Table1[[#This Row],[Revenue]]&gt;=10000000,"Moderate Spender",TRUE,"Low Spender")</f>
        <v>Low Spender</v>
      </c>
      <c r="AF206" s="4" t="str" cm="1">
        <f t="array" ref="AF206">_xlfn.IFS(Table1[[#This Row],[Land_Size_SQM]]&gt;=730,"LARGE",Table1[[#This Row],[Land_Size_SQM]]&gt;=465,"MEDIUM",TRUE,"SMALL")</f>
        <v>SMALL</v>
      </c>
    </row>
    <row r="207" spans="1:32" x14ac:dyDescent="0.3">
      <c r="A207" t="s">
        <v>231</v>
      </c>
      <c r="B207" t="s">
        <v>594</v>
      </c>
      <c r="C207" t="s">
        <v>626</v>
      </c>
      <c r="D207">
        <v>65</v>
      </c>
      <c r="E207" t="s">
        <v>629</v>
      </c>
      <c r="F207">
        <v>411</v>
      </c>
      <c r="G207" s="4">
        <v>44899</v>
      </c>
      <c r="H207" s="4">
        <v>18453489</v>
      </c>
      <c r="I207" t="s">
        <v>667</v>
      </c>
      <c r="J207" t="s">
        <v>671</v>
      </c>
      <c r="K207" t="s">
        <v>675</v>
      </c>
      <c r="L207" t="s">
        <v>681</v>
      </c>
      <c r="M207" t="s">
        <v>684</v>
      </c>
      <c r="N207" t="s">
        <v>689</v>
      </c>
      <c r="O207" t="s">
        <v>694</v>
      </c>
      <c r="P207" s="4">
        <v>5702179</v>
      </c>
      <c r="Q207">
        <v>12</v>
      </c>
      <c r="R207" s="7">
        <v>0.54</v>
      </c>
      <c r="S207" s="8">
        <f>Table1[[#This Row],[Discount_%]]/100</f>
        <v>5.4000000000000003E-3</v>
      </c>
      <c r="T207" s="6" t="s">
        <v>850</v>
      </c>
      <c r="U207" t="s">
        <v>990</v>
      </c>
      <c r="V207">
        <v>2024</v>
      </c>
      <c r="W207" t="s">
        <v>993</v>
      </c>
      <c r="X207" t="s">
        <v>997</v>
      </c>
      <c r="Y207" t="s">
        <v>1000</v>
      </c>
      <c r="Z207">
        <v>1</v>
      </c>
      <c r="AA207">
        <v>22</v>
      </c>
      <c r="AB207" s="4">
        <f>Table1[[#This Row],[Total_Price]]*(1-Table1[[#This Row],[Discount 2]])</f>
        <v>18353840.159400001</v>
      </c>
      <c r="AC207" s="4" t="str" cm="1">
        <f t="array" ref="AC207">_xlfn.IFS(Table1[[#This Row],[Revenue]]&gt;=30000000,"High Value",Table1[[#This Row],[Revenue]]&gt;=10000000,"Moderate Value",TRUE,"Low Value")</f>
        <v>Moderate Value</v>
      </c>
      <c r="AD207" t="str">
        <f>IF(Table1[[#This Row],[Discount 2]]&gt;=5%, "YES", "NO")</f>
        <v>NO</v>
      </c>
      <c r="AE207" t="str" cm="1">
        <f t="array" ref="AE207">_xlfn.IFS(Table1[[#This Row],[Revenue]]&gt;=30000000,"High Spender",Table1[[#This Row],[Revenue]]&gt;=10000000,"Moderate Spender",TRUE,"Low Spender")</f>
        <v>Moderate Spender</v>
      </c>
      <c r="AF207" s="4" t="str" cm="1">
        <f t="array" ref="AF207">_xlfn.IFS(Table1[[#This Row],[Land_Size_SQM]]&gt;=730,"LARGE",Table1[[#This Row],[Land_Size_SQM]]&gt;=465,"MEDIUM",TRUE,"SMALL")</f>
        <v>SMALL</v>
      </c>
    </row>
    <row r="208" spans="1:32" x14ac:dyDescent="0.3">
      <c r="A208" t="s">
        <v>232</v>
      </c>
      <c r="B208" t="s">
        <v>611</v>
      </c>
      <c r="C208" t="s">
        <v>626</v>
      </c>
      <c r="D208">
        <v>59</v>
      </c>
      <c r="E208" t="s">
        <v>628</v>
      </c>
      <c r="F208">
        <v>760</v>
      </c>
      <c r="G208" s="4">
        <v>36208</v>
      </c>
      <c r="H208" s="4">
        <v>27518080</v>
      </c>
      <c r="I208" t="s">
        <v>636</v>
      </c>
      <c r="J208" t="s">
        <v>671</v>
      </c>
      <c r="K208" t="s">
        <v>677</v>
      </c>
      <c r="L208" t="s">
        <v>680</v>
      </c>
      <c r="M208" t="s">
        <v>685</v>
      </c>
      <c r="N208" t="s">
        <v>691</v>
      </c>
      <c r="O208" t="s">
        <v>694</v>
      </c>
      <c r="P208" s="4">
        <v>5881534</v>
      </c>
      <c r="Q208">
        <v>3</v>
      </c>
      <c r="R208" s="7">
        <v>1.64</v>
      </c>
      <c r="S208" s="8">
        <f>Table1[[#This Row],[Discount_%]]/100</f>
        <v>1.6399999999999998E-2</v>
      </c>
      <c r="T208" s="6" t="s">
        <v>851</v>
      </c>
      <c r="U208" t="s">
        <v>987</v>
      </c>
      <c r="V208">
        <v>2024</v>
      </c>
      <c r="W208" t="s">
        <v>996</v>
      </c>
      <c r="X208" t="s">
        <v>998</v>
      </c>
      <c r="Y208" t="s">
        <v>1000</v>
      </c>
      <c r="Z208">
        <v>3</v>
      </c>
      <c r="AA208">
        <v>7</v>
      </c>
      <c r="AB208" s="4">
        <f>Table1[[#This Row],[Total_Price]]*(1-Table1[[#This Row],[Discount 2]])</f>
        <v>27066783.488000002</v>
      </c>
      <c r="AC208" s="4" t="str" cm="1">
        <f t="array" ref="AC208">_xlfn.IFS(Table1[[#This Row],[Revenue]]&gt;=30000000,"High Value",Table1[[#This Row],[Revenue]]&gt;=10000000,"Moderate Value",TRUE,"Low Value")</f>
        <v>Moderate Value</v>
      </c>
      <c r="AD208" t="str">
        <f>IF(Table1[[#This Row],[Discount 2]]&gt;=5%, "YES", "NO")</f>
        <v>NO</v>
      </c>
      <c r="AE208" t="str" cm="1">
        <f t="array" ref="AE208">_xlfn.IFS(Table1[[#This Row],[Revenue]]&gt;=30000000,"High Spender",Table1[[#This Row],[Revenue]]&gt;=10000000,"Moderate Spender",TRUE,"Low Spender")</f>
        <v>Moderate Spender</v>
      </c>
      <c r="AF208" s="4" t="str" cm="1">
        <f t="array" ref="AF208">_xlfn.IFS(Table1[[#This Row],[Land_Size_SQM]]&gt;=730,"LARGE",Table1[[#This Row],[Land_Size_SQM]]&gt;=465,"MEDIUM",TRUE,"SMALL")</f>
        <v>LARGE</v>
      </c>
    </row>
    <row r="209" spans="1:32" x14ac:dyDescent="0.3">
      <c r="A209" t="s">
        <v>233</v>
      </c>
      <c r="B209" t="s">
        <v>612</v>
      </c>
      <c r="C209" t="s">
        <v>626</v>
      </c>
      <c r="D209">
        <v>52</v>
      </c>
      <c r="E209" t="s">
        <v>628</v>
      </c>
      <c r="F209">
        <v>326</v>
      </c>
      <c r="G209" s="4">
        <v>31524</v>
      </c>
      <c r="H209" s="4">
        <v>10276824</v>
      </c>
      <c r="I209" t="s">
        <v>663</v>
      </c>
      <c r="J209" t="s">
        <v>670</v>
      </c>
      <c r="K209" t="s">
        <v>674</v>
      </c>
      <c r="L209" t="s">
        <v>682</v>
      </c>
      <c r="M209" t="s">
        <v>686</v>
      </c>
      <c r="N209" t="s">
        <v>688</v>
      </c>
      <c r="O209" t="s">
        <v>694</v>
      </c>
      <c r="P209" s="4">
        <v>5026975</v>
      </c>
      <c r="Q209">
        <v>6</v>
      </c>
      <c r="R209" s="7">
        <v>0.04</v>
      </c>
      <c r="S209" s="8">
        <f>Table1[[#This Row],[Discount_%]]/100</f>
        <v>4.0000000000000002E-4</v>
      </c>
      <c r="T209" s="6" t="s">
        <v>852</v>
      </c>
      <c r="U209" t="s">
        <v>988</v>
      </c>
      <c r="V209">
        <v>2024</v>
      </c>
      <c r="W209" t="s">
        <v>996</v>
      </c>
      <c r="X209" t="s">
        <v>999</v>
      </c>
      <c r="Y209" t="s">
        <v>1002</v>
      </c>
      <c r="Z209">
        <v>5</v>
      </c>
      <c r="AA209">
        <v>39</v>
      </c>
      <c r="AB209" s="4">
        <f>Table1[[#This Row],[Total_Price]]*(1-Table1[[#This Row],[Discount 2]])</f>
        <v>10272713.270400001</v>
      </c>
      <c r="AC209" s="4" t="str" cm="1">
        <f t="array" ref="AC209">_xlfn.IFS(Table1[[#This Row],[Revenue]]&gt;=30000000,"High Value",Table1[[#This Row],[Revenue]]&gt;=10000000,"Moderate Value",TRUE,"Low Value")</f>
        <v>Moderate Value</v>
      </c>
      <c r="AD209" t="str">
        <f>IF(Table1[[#This Row],[Discount 2]]&gt;=5%, "YES", "NO")</f>
        <v>NO</v>
      </c>
      <c r="AE209" t="str" cm="1">
        <f t="array" ref="AE209">_xlfn.IFS(Table1[[#This Row],[Revenue]]&gt;=30000000,"High Spender",Table1[[#This Row],[Revenue]]&gt;=10000000,"Moderate Spender",TRUE,"Low Spender")</f>
        <v>Moderate Spender</v>
      </c>
      <c r="AF209" s="4" t="str" cm="1">
        <f t="array" ref="AF209">_xlfn.IFS(Table1[[#This Row],[Land_Size_SQM]]&gt;=730,"LARGE",Table1[[#This Row],[Land_Size_SQM]]&gt;=465,"MEDIUM",TRUE,"SMALL")</f>
        <v>SMALL</v>
      </c>
    </row>
    <row r="210" spans="1:32" x14ac:dyDescent="0.3">
      <c r="A210" t="s">
        <v>234</v>
      </c>
      <c r="B210" t="s">
        <v>551</v>
      </c>
      <c r="C210" t="s">
        <v>627</v>
      </c>
      <c r="D210">
        <v>28</v>
      </c>
      <c r="E210" t="s">
        <v>630</v>
      </c>
      <c r="F210">
        <v>628</v>
      </c>
      <c r="G210" s="4">
        <v>41911</v>
      </c>
      <c r="H210" s="4">
        <v>26320108</v>
      </c>
      <c r="I210" t="s">
        <v>667</v>
      </c>
      <c r="J210" t="s">
        <v>671</v>
      </c>
      <c r="K210" t="s">
        <v>640</v>
      </c>
      <c r="L210" t="s">
        <v>682</v>
      </c>
      <c r="M210" t="s">
        <v>686</v>
      </c>
      <c r="N210" t="s">
        <v>690</v>
      </c>
      <c r="O210" t="s">
        <v>693</v>
      </c>
      <c r="P210" s="4">
        <v>26320108</v>
      </c>
      <c r="Q210">
        <v>0</v>
      </c>
      <c r="R210" s="7">
        <v>2.74</v>
      </c>
      <c r="S210" s="8">
        <f>Table1[[#This Row],[Discount_%]]/100</f>
        <v>2.7400000000000001E-2</v>
      </c>
      <c r="T210" s="6" t="s">
        <v>853</v>
      </c>
      <c r="U210" t="s">
        <v>982</v>
      </c>
      <c r="V210">
        <v>2024</v>
      </c>
      <c r="W210" t="s">
        <v>994</v>
      </c>
      <c r="X210" t="s">
        <v>997</v>
      </c>
      <c r="Y210" t="s">
        <v>1001</v>
      </c>
      <c r="Z210">
        <v>5</v>
      </c>
      <c r="AA210">
        <v>41</v>
      </c>
      <c r="AB210" s="4">
        <f>Table1[[#This Row],[Total_Price]]*(1-Table1[[#This Row],[Discount 2]])</f>
        <v>25598937.040800001</v>
      </c>
      <c r="AC210" s="4" t="str" cm="1">
        <f t="array" ref="AC210">_xlfn.IFS(Table1[[#This Row],[Revenue]]&gt;=30000000,"High Value",Table1[[#This Row],[Revenue]]&gt;=10000000,"Moderate Value",TRUE,"Low Value")</f>
        <v>Moderate Value</v>
      </c>
      <c r="AD210" t="str">
        <f>IF(Table1[[#This Row],[Discount 2]]&gt;=5%, "YES", "NO")</f>
        <v>NO</v>
      </c>
      <c r="AE210" t="str" cm="1">
        <f t="array" ref="AE210">_xlfn.IFS(Table1[[#This Row],[Revenue]]&gt;=30000000,"High Spender",Table1[[#This Row],[Revenue]]&gt;=10000000,"Moderate Spender",TRUE,"Low Spender")</f>
        <v>Moderate Spender</v>
      </c>
      <c r="AF210" s="4" t="str" cm="1">
        <f t="array" ref="AF210">_xlfn.IFS(Table1[[#This Row],[Land_Size_SQM]]&gt;=730,"LARGE",Table1[[#This Row],[Land_Size_SQM]]&gt;=465,"MEDIUM",TRUE,"SMALL")</f>
        <v>MEDIUM</v>
      </c>
    </row>
    <row r="211" spans="1:32" x14ac:dyDescent="0.3">
      <c r="A211" t="s">
        <v>235</v>
      </c>
      <c r="B211" t="s">
        <v>567</v>
      </c>
      <c r="C211" t="s">
        <v>626</v>
      </c>
      <c r="D211">
        <v>65</v>
      </c>
      <c r="E211" t="s">
        <v>628</v>
      </c>
      <c r="F211">
        <v>839</v>
      </c>
      <c r="G211" s="4">
        <v>48817</v>
      </c>
      <c r="H211" s="4">
        <v>40957463</v>
      </c>
      <c r="I211" t="s">
        <v>654</v>
      </c>
      <c r="J211" t="s">
        <v>669</v>
      </c>
      <c r="K211" t="s">
        <v>679</v>
      </c>
      <c r="L211" t="s">
        <v>681</v>
      </c>
      <c r="M211" t="s">
        <v>686</v>
      </c>
      <c r="N211" t="s">
        <v>691</v>
      </c>
      <c r="O211" t="s">
        <v>694</v>
      </c>
      <c r="P211" s="4">
        <v>19510396</v>
      </c>
      <c r="Q211">
        <v>12</v>
      </c>
      <c r="R211" s="7">
        <v>1.33</v>
      </c>
      <c r="S211" s="8">
        <f>Table1[[#This Row],[Discount_%]]/100</f>
        <v>1.3300000000000001E-2</v>
      </c>
      <c r="T211" s="6" t="s">
        <v>808</v>
      </c>
      <c r="U211" t="s">
        <v>984</v>
      </c>
      <c r="V211">
        <v>2024</v>
      </c>
      <c r="W211" t="s">
        <v>995</v>
      </c>
      <c r="X211" t="s">
        <v>997</v>
      </c>
      <c r="Y211" t="s">
        <v>1001</v>
      </c>
      <c r="Z211">
        <v>5</v>
      </c>
      <c r="AA211">
        <v>19</v>
      </c>
      <c r="AB211" s="4">
        <f>Table1[[#This Row],[Total_Price]]*(1-Table1[[#This Row],[Discount 2]])</f>
        <v>40412728.7421</v>
      </c>
      <c r="AC211" s="4" t="str" cm="1">
        <f t="array" ref="AC211">_xlfn.IFS(Table1[[#This Row],[Revenue]]&gt;=30000000,"High Value",Table1[[#This Row],[Revenue]]&gt;=10000000,"Moderate Value",TRUE,"Low Value")</f>
        <v>High Value</v>
      </c>
      <c r="AD211" t="str">
        <f>IF(Table1[[#This Row],[Discount 2]]&gt;=5%, "YES", "NO")</f>
        <v>NO</v>
      </c>
      <c r="AE211" t="str" cm="1">
        <f t="array" ref="AE211">_xlfn.IFS(Table1[[#This Row],[Revenue]]&gt;=30000000,"High Spender",Table1[[#This Row],[Revenue]]&gt;=10000000,"Moderate Spender",TRUE,"Low Spender")</f>
        <v>High Spender</v>
      </c>
      <c r="AF211" s="4" t="str" cm="1">
        <f t="array" ref="AF211">_xlfn.IFS(Table1[[#This Row],[Land_Size_SQM]]&gt;=730,"LARGE",Table1[[#This Row],[Land_Size_SQM]]&gt;=465,"MEDIUM",TRUE,"SMALL")</f>
        <v>LARGE</v>
      </c>
    </row>
    <row r="212" spans="1:32" x14ac:dyDescent="0.3">
      <c r="A212" t="s">
        <v>236</v>
      </c>
      <c r="B212" t="s">
        <v>574</v>
      </c>
      <c r="C212" t="s">
        <v>626</v>
      </c>
      <c r="D212">
        <v>30</v>
      </c>
      <c r="E212" t="s">
        <v>630</v>
      </c>
      <c r="F212">
        <v>735</v>
      </c>
      <c r="G212" s="4">
        <v>8977</v>
      </c>
      <c r="H212" s="4">
        <v>6598095</v>
      </c>
      <c r="I212" t="s">
        <v>658</v>
      </c>
      <c r="J212" t="s">
        <v>670</v>
      </c>
      <c r="K212" t="s">
        <v>664</v>
      </c>
      <c r="L212" t="s">
        <v>682</v>
      </c>
      <c r="M212" t="s">
        <v>687</v>
      </c>
      <c r="N212" t="s">
        <v>688</v>
      </c>
      <c r="O212" t="s">
        <v>693</v>
      </c>
      <c r="P212" s="4">
        <v>6598095</v>
      </c>
      <c r="Q212">
        <v>0</v>
      </c>
      <c r="R212" s="7">
        <v>3.81</v>
      </c>
      <c r="S212" s="8">
        <f>Table1[[#This Row],[Discount_%]]/100</f>
        <v>3.8100000000000002E-2</v>
      </c>
      <c r="T212" s="6" t="s">
        <v>854</v>
      </c>
      <c r="U212" t="s">
        <v>988</v>
      </c>
      <c r="V212">
        <v>2024</v>
      </c>
      <c r="W212" t="s">
        <v>993</v>
      </c>
      <c r="X212" t="s">
        <v>997</v>
      </c>
      <c r="Y212" t="s">
        <v>1002</v>
      </c>
      <c r="Z212">
        <v>2</v>
      </c>
      <c r="AA212">
        <v>49</v>
      </c>
      <c r="AB212" s="4">
        <f>Table1[[#This Row],[Total_Price]]*(1-Table1[[#This Row],[Discount 2]])</f>
        <v>6346707.5805000002</v>
      </c>
      <c r="AC212" s="4" t="str" cm="1">
        <f t="array" ref="AC212">_xlfn.IFS(Table1[[#This Row],[Revenue]]&gt;=30000000,"High Value",Table1[[#This Row],[Revenue]]&gt;=10000000,"Moderate Value",TRUE,"Low Value")</f>
        <v>Low Value</v>
      </c>
      <c r="AD212" t="str">
        <f>IF(Table1[[#This Row],[Discount 2]]&gt;=5%, "YES", "NO")</f>
        <v>NO</v>
      </c>
      <c r="AE212" t="str" cm="1">
        <f t="array" ref="AE212">_xlfn.IFS(Table1[[#This Row],[Revenue]]&gt;=30000000,"High Spender",Table1[[#This Row],[Revenue]]&gt;=10000000,"Moderate Spender",TRUE,"Low Spender")</f>
        <v>Low Spender</v>
      </c>
      <c r="AF212" s="4" t="str" cm="1">
        <f t="array" ref="AF212">_xlfn.IFS(Table1[[#This Row],[Land_Size_SQM]]&gt;=730,"LARGE",Table1[[#This Row],[Land_Size_SQM]]&gt;=465,"MEDIUM",TRUE,"SMALL")</f>
        <v>LARGE</v>
      </c>
    </row>
    <row r="213" spans="1:32" x14ac:dyDescent="0.3">
      <c r="A213" t="s">
        <v>237</v>
      </c>
      <c r="B213" t="s">
        <v>599</v>
      </c>
      <c r="C213" t="s">
        <v>626</v>
      </c>
      <c r="D213">
        <v>64</v>
      </c>
      <c r="E213" t="s">
        <v>629</v>
      </c>
      <c r="F213">
        <v>663</v>
      </c>
      <c r="G213" s="4">
        <v>8716</v>
      </c>
      <c r="H213" s="4">
        <v>5778708</v>
      </c>
      <c r="I213" t="s">
        <v>638</v>
      </c>
      <c r="J213" t="s">
        <v>672</v>
      </c>
      <c r="K213" t="s">
        <v>651</v>
      </c>
      <c r="L213" t="s">
        <v>680</v>
      </c>
      <c r="M213" t="s">
        <v>684</v>
      </c>
      <c r="N213" t="s">
        <v>691</v>
      </c>
      <c r="O213" t="s">
        <v>693</v>
      </c>
      <c r="P213" s="4">
        <v>5778708</v>
      </c>
      <c r="Q213">
        <v>0</v>
      </c>
      <c r="R213" s="7">
        <v>7.42</v>
      </c>
      <c r="S213" s="8">
        <f>Table1[[#This Row],[Discount_%]]/100</f>
        <v>7.4200000000000002E-2</v>
      </c>
      <c r="T213" s="6" t="s">
        <v>776</v>
      </c>
      <c r="U213" t="s">
        <v>985</v>
      </c>
      <c r="V213">
        <v>2024</v>
      </c>
      <c r="W213" t="s">
        <v>995</v>
      </c>
      <c r="X213" t="s">
        <v>997</v>
      </c>
      <c r="Y213" t="s">
        <v>1002</v>
      </c>
      <c r="Z213">
        <v>5</v>
      </c>
      <c r="AA213">
        <v>4</v>
      </c>
      <c r="AB213" s="4">
        <f>Table1[[#This Row],[Total_Price]]*(1-Table1[[#This Row],[Discount 2]])</f>
        <v>5349927.8663999997</v>
      </c>
      <c r="AC213" s="4" t="str" cm="1">
        <f t="array" ref="AC213">_xlfn.IFS(Table1[[#This Row],[Revenue]]&gt;=30000000,"High Value",Table1[[#This Row],[Revenue]]&gt;=10000000,"Moderate Value",TRUE,"Low Value")</f>
        <v>Low Value</v>
      </c>
      <c r="AD213" t="str">
        <f>IF(Table1[[#This Row],[Discount 2]]&gt;=5%, "YES", "NO")</f>
        <v>YES</v>
      </c>
      <c r="AE213" t="str" cm="1">
        <f t="array" ref="AE213">_xlfn.IFS(Table1[[#This Row],[Revenue]]&gt;=30000000,"High Spender",Table1[[#This Row],[Revenue]]&gt;=10000000,"Moderate Spender",TRUE,"Low Spender")</f>
        <v>Low Spender</v>
      </c>
      <c r="AF213" s="4" t="str" cm="1">
        <f t="array" ref="AF213">_xlfn.IFS(Table1[[#This Row],[Land_Size_SQM]]&gt;=730,"LARGE",Table1[[#This Row],[Land_Size_SQM]]&gt;=465,"MEDIUM",TRUE,"SMALL")</f>
        <v>MEDIUM</v>
      </c>
    </row>
    <row r="214" spans="1:32" x14ac:dyDescent="0.3">
      <c r="A214" t="s">
        <v>238</v>
      </c>
      <c r="B214" t="s">
        <v>598</v>
      </c>
      <c r="C214" t="s">
        <v>627</v>
      </c>
      <c r="D214">
        <v>32</v>
      </c>
      <c r="E214" t="s">
        <v>630</v>
      </c>
      <c r="F214">
        <v>407</v>
      </c>
      <c r="G214" s="4">
        <v>42669</v>
      </c>
      <c r="H214" s="4">
        <v>17366283</v>
      </c>
      <c r="I214" t="s">
        <v>662</v>
      </c>
      <c r="J214" t="s">
        <v>673</v>
      </c>
      <c r="K214" t="s">
        <v>677</v>
      </c>
      <c r="L214" t="s">
        <v>681</v>
      </c>
      <c r="M214" t="s">
        <v>683</v>
      </c>
      <c r="N214" t="s">
        <v>689</v>
      </c>
      <c r="O214" t="s">
        <v>694</v>
      </c>
      <c r="P214" s="4">
        <v>8221996</v>
      </c>
      <c r="Q214">
        <v>6</v>
      </c>
      <c r="R214" s="7">
        <v>7.05</v>
      </c>
      <c r="S214" s="8">
        <f>Table1[[#This Row],[Discount_%]]/100</f>
        <v>7.0499999999999993E-2</v>
      </c>
      <c r="T214" s="6" t="s">
        <v>855</v>
      </c>
      <c r="U214" t="s">
        <v>983</v>
      </c>
      <c r="V214">
        <v>2024</v>
      </c>
      <c r="W214" t="s">
        <v>996</v>
      </c>
      <c r="X214" t="s">
        <v>999</v>
      </c>
      <c r="Y214" t="s">
        <v>1001</v>
      </c>
      <c r="Z214">
        <v>5</v>
      </c>
      <c r="AA214">
        <v>8</v>
      </c>
      <c r="AB214" s="4">
        <f>Table1[[#This Row],[Total_Price]]*(1-Table1[[#This Row],[Discount 2]])</f>
        <v>16141960.0485</v>
      </c>
      <c r="AC214" s="4" t="str" cm="1">
        <f t="array" ref="AC214">_xlfn.IFS(Table1[[#This Row],[Revenue]]&gt;=30000000,"High Value",Table1[[#This Row],[Revenue]]&gt;=10000000,"Moderate Value",TRUE,"Low Value")</f>
        <v>Moderate Value</v>
      </c>
      <c r="AD214" t="str">
        <f>IF(Table1[[#This Row],[Discount 2]]&gt;=5%, "YES", "NO")</f>
        <v>YES</v>
      </c>
      <c r="AE214" t="str" cm="1">
        <f t="array" ref="AE214">_xlfn.IFS(Table1[[#This Row],[Revenue]]&gt;=30000000,"High Spender",Table1[[#This Row],[Revenue]]&gt;=10000000,"Moderate Spender",TRUE,"Low Spender")</f>
        <v>Moderate Spender</v>
      </c>
      <c r="AF214" s="4" t="str" cm="1">
        <f t="array" ref="AF214">_xlfn.IFS(Table1[[#This Row],[Land_Size_SQM]]&gt;=730,"LARGE",Table1[[#This Row],[Land_Size_SQM]]&gt;=465,"MEDIUM",TRUE,"SMALL")</f>
        <v>SMALL</v>
      </c>
    </row>
    <row r="215" spans="1:32" x14ac:dyDescent="0.3">
      <c r="A215" t="s">
        <v>239</v>
      </c>
      <c r="B215" t="s">
        <v>604</v>
      </c>
      <c r="C215" t="s">
        <v>627</v>
      </c>
      <c r="D215">
        <v>22</v>
      </c>
      <c r="E215" t="s">
        <v>628</v>
      </c>
      <c r="F215">
        <v>485</v>
      </c>
      <c r="G215" s="4">
        <v>38477</v>
      </c>
      <c r="H215" s="4">
        <v>18661345</v>
      </c>
      <c r="I215" t="s">
        <v>663</v>
      </c>
      <c r="J215" t="s">
        <v>670</v>
      </c>
      <c r="K215" t="s">
        <v>640</v>
      </c>
      <c r="L215" t="s">
        <v>681</v>
      </c>
      <c r="M215" t="s">
        <v>686</v>
      </c>
      <c r="N215" t="s">
        <v>689</v>
      </c>
      <c r="O215" t="s">
        <v>694</v>
      </c>
      <c r="P215" s="4">
        <v>4633214</v>
      </c>
      <c r="Q215">
        <v>6</v>
      </c>
      <c r="R215" s="7">
        <v>8.4600000000000009</v>
      </c>
      <c r="S215" s="8">
        <f>Table1[[#This Row],[Discount_%]]/100</f>
        <v>8.4600000000000009E-2</v>
      </c>
      <c r="T215" s="6" t="s">
        <v>856</v>
      </c>
      <c r="U215" t="s">
        <v>988</v>
      </c>
      <c r="V215">
        <v>2024</v>
      </c>
      <c r="W215" t="s">
        <v>994</v>
      </c>
      <c r="X215" t="s">
        <v>998</v>
      </c>
      <c r="Y215" t="s">
        <v>1001</v>
      </c>
      <c r="Z215">
        <v>5</v>
      </c>
      <c r="AA215">
        <v>23</v>
      </c>
      <c r="AB215" s="4">
        <f>Table1[[#This Row],[Total_Price]]*(1-Table1[[#This Row],[Discount 2]])</f>
        <v>17082595.213</v>
      </c>
      <c r="AC215" s="4" t="str" cm="1">
        <f t="array" ref="AC215">_xlfn.IFS(Table1[[#This Row],[Revenue]]&gt;=30000000,"High Value",Table1[[#This Row],[Revenue]]&gt;=10000000,"Moderate Value",TRUE,"Low Value")</f>
        <v>Moderate Value</v>
      </c>
      <c r="AD215" t="str">
        <f>IF(Table1[[#This Row],[Discount 2]]&gt;=5%, "YES", "NO")</f>
        <v>YES</v>
      </c>
      <c r="AE215" t="str" cm="1">
        <f t="array" ref="AE215">_xlfn.IFS(Table1[[#This Row],[Revenue]]&gt;=30000000,"High Spender",Table1[[#This Row],[Revenue]]&gt;=10000000,"Moderate Spender",TRUE,"Low Spender")</f>
        <v>Moderate Spender</v>
      </c>
      <c r="AF215" s="4" t="str" cm="1">
        <f t="array" ref="AF215">_xlfn.IFS(Table1[[#This Row],[Land_Size_SQM]]&gt;=730,"LARGE",Table1[[#This Row],[Land_Size_SQM]]&gt;=465,"MEDIUM",TRUE,"SMALL")</f>
        <v>MEDIUM</v>
      </c>
    </row>
    <row r="216" spans="1:32" x14ac:dyDescent="0.3">
      <c r="A216" t="s">
        <v>240</v>
      </c>
      <c r="B216" t="s">
        <v>537</v>
      </c>
      <c r="C216" t="s">
        <v>626</v>
      </c>
      <c r="D216">
        <v>25</v>
      </c>
      <c r="E216" t="s">
        <v>630</v>
      </c>
      <c r="F216">
        <v>738</v>
      </c>
      <c r="G216" s="4">
        <v>16415</v>
      </c>
      <c r="H216" s="4">
        <v>12114270</v>
      </c>
      <c r="I216" t="s">
        <v>662</v>
      </c>
      <c r="J216" t="s">
        <v>673</v>
      </c>
      <c r="K216" t="s">
        <v>651</v>
      </c>
      <c r="L216" t="s">
        <v>680</v>
      </c>
      <c r="M216" t="s">
        <v>683</v>
      </c>
      <c r="N216" t="s">
        <v>690</v>
      </c>
      <c r="O216" t="s">
        <v>693</v>
      </c>
      <c r="P216" s="4">
        <v>12114270</v>
      </c>
      <c r="Q216">
        <v>0</v>
      </c>
      <c r="R216" s="7">
        <v>5.21</v>
      </c>
      <c r="S216" s="8">
        <f>Table1[[#This Row],[Discount_%]]/100</f>
        <v>5.21E-2</v>
      </c>
      <c r="T216" s="6" t="s">
        <v>857</v>
      </c>
      <c r="U216" t="s">
        <v>986</v>
      </c>
      <c r="V216">
        <v>2024</v>
      </c>
      <c r="W216" t="s">
        <v>994</v>
      </c>
      <c r="X216" t="s">
        <v>998</v>
      </c>
      <c r="Y216" t="s">
        <v>1002</v>
      </c>
      <c r="Z216">
        <v>2</v>
      </c>
      <c r="AA216">
        <v>49</v>
      </c>
      <c r="AB216" s="4">
        <f>Table1[[#This Row],[Total_Price]]*(1-Table1[[#This Row],[Discount 2]])</f>
        <v>11483116.533</v>
      </c>
      <c r="AC216" s="4" t="str" cm="1">
        <f t="array" ref="AC216">_xlfn.IFS(Table1[[#This Row],[Revenue]]&gt;=30000000,"High Value",Table1[[#This Row],[Revenue]]&gt;=10000000,"Moderate Value",TRUE,"Low Value")</f>
        <v>Moderate Value</v>
      </c>
      <c r="AD216" t="str">
        <f>IF(Table1[[#This Row],[Discount 2]]&gt;=5%, "YES", "NO")</f>
        <v>YES</v>
      </c>
      <c r="AE216" t="str" cm="1">
        <f t="array" ref="AE216">_xlfn.IFS(Table1[[#This Row],[Revenue]]&gt;=30000000,"High Spender",Table1[[#This Row],[Revenue]]&gt;=10000000,"Moderate Spender",TRUE,"Low Spender")</f>
        <v>Moderate Spender</v>
      </c>
      <c r="AF216" s="4" t="str" cm="1">
        <f t="array" ref="AF216">_xlfn.IFS(Table1[[#This Row],[Land_Size_SQM]]&gt;=730,"LARGE",Table1[[#This Row],[Land_Size_SQM]]&gt;=465,"MEDIUM",TRUE,"SMALL")</f>
        <v>LARGE</v>
      </c>
    </row>
    <row r="217" spans="1:32" x14ac:dyDescent="0.3">
      <c r="A217" t="s">
        <v>241</v>
      </c>
      <c r="B217" t="s">
        <v>572</v>
      </c>
      <c r="C217" t="s">
        <v>627</v>
      </c>
      <c r="D217">
        <v>22</v>
      </c>
      <c r="E217" t="s">
        <v>629</v>
      </c>
      <c r="F217">
        <v>774</v>
      </c>
      <c r="G217" s="4">
        <v>44552</v>
      </c>
      <c r="H217" s="4">
        <v>34483248</v>
      </c>
      <c r="I217" t="s">
        <v>665</v>
      </c>
      <c r="J217" t="s">
        <v>672</v>
      </c>
      <c r="K217" t="s">
        <v>678</v>
      </c>
      <c r="L217" t="s">
        <v>681</v>
      </c>
      <c r="M217" t="s">
        <v>684</v>
      </c>
      <c r="N217" t="s">
        <v>689</v>
      </c>
      <c r="O217" t="s">
        <v>693</v>
      </c>
      <c r="P217" s="4">
        <v>34483248</v>
      </c>
      <c r="Q217">
        <v>0</v>
      </c>
      <c r="R217" s="7">
        <v>1.1499999999999999</v>
      </c>
      <c r="S217" s="8">
        <f>Table1[[#This Row],[Discount_%]]/100</f>
        <v>1.15E-2</v>
      </c>
      <c r="T217" s="6" t="s">
        <v>858</v>
      </c>
      <c r="U217" t="s">
        <v>982</v>
      </c>
      <c r="V217">
        <v>2024</v>
      </c>
      <c r="W217" t="s">
        <v>995</v>
      </c>
      <c r="X217" t="s">
        <v>998</v>
      </c>
      <c r="Y217" t="s">
        <v>1001</v>
      </c>
      <c r="Z217">
        <v>3</v>
      </c>
      <c r="AA217">
        <v>2</v>
      </c>
      <c r="AB217" s="4">
        <f>Table1[[#This Row],[Total_Price]]*(1-Table1[[#This Row],[Discount 2]])</f>
        <v>34086690.648000002</v>
      </c>
      <c r="AC217" s="4" t="str" cm="1">
        <f t="array" ref="AC217">_xlfn.IFS(Table1[[#This Row],[Revenue]]&gt;=30000000,"High Value",Table1[[#This Row],[Revenue]]&gt;=10000000,"Moderate Value",TRUE,"Low Value")</f>
        <v>High Value</v>
      </c>
      <c r="AD217" t="str">
        <f>IF(Table1[[#This Row],[Discount 2]]&gt;=5%, "YES", "NO")</f>
        <v>NO</v>
      </c>
      <c r="AE217" t="str" cm="1">
        <f t="array" ref="AE217">_xlfn.IFS(Table1[[#This Row],[Revenue]]&gt;=30000000,"High Spender",Table1[[#This Row],[Revenue]]&gt;=10000000,"Moderate Spender",TRUE,"Low Spender")</f>
        <v>High Spender</v>
      </c>
      <c r="AF217" s="4" t="str" cm="1">
        <f t="array" ref="AF217">_xlfn.IFS(Table1[[#This Row],[Land_Size_SQM]]&gt;=730,"LARGE",Table1[[#This Row],[Land_Size_SQM]]&gt;=465,"MEDIUM",TRUE,"SMALL")</f>
        <v>LARGE</v>
      </c>
    </row>
    <row r="218" spans="1:32" x14ac:dyDescent="0.3">
      <c r="A218" t="s">
        <v>242</v>
      </c>
      <c r="B218" t="s">
        <v>561</v>
      </c>
      <c r="C218" t="s">
        <v>627</v>
      </c>
      <c r="D218">
        <v>26</v>
      </c>
      <c r="E218" t="s">
        <v>628</v>
      </c>
      <c r="F218">
        <v>726</v>
      </c>
      <c r="G218" s="4">
        <v>35340</v>
      </c>
      <c r="H218" s="4">
        <v>25656840</v>
      </c>
      <c r="I218" t="s">
        <v>652</v>
      </c>
      <c r="J218" t="s">
        <v>672</v>
      </c>
      <c r="K218" t="s">
        <v>651</v>
      </c>
      <c r="L218" t="s">
        <v>682</v>
      </c>
      <c r="M218" t="s">
        <v>686</v>
      </c>
      <c r="N218" t="s">
        <v>689</v>
      </c>
      <c r="O218" t="s">
        <v>694</v>
      </c>
      <c r="P218" s="4">
        <v>5468897</v>
      </c>
      <c r="Q218">
        <v>24</v>
      </c>
      <c r="R218" s="7">
        <v>8.98</v>
      </c>
      <c r="S218" s="8">
        <f>Table1[[#This Row],[Discount_%]]/100</f>
        <v>8.9800000000000005E-2</v>
      </c>
      <c r="T218" s="6" t="s">
        <v>859</v>
      </c>
      <c r="U218" t="s">
        <v>990</v>
      </c>
      <c r="V218">
        <v>2024</v>
      </c>
      <c r="W218" t="s">
        <v>993</v>
      </c>
      <c r="X218" t="s">
        <v>999</v>
      </c>
      <c r="Y218" t="s">
        <v>1001</v>
      </c>
      <c r="Z218">
        <v>2</v>
      </c>
      <c r="AA218">
        <v>44</v>
      </c>
      <c r="AB218" s="4">
        <f>Table1[[#This Row],[Total_Price]]*(1-Table1[[#This Row],[Discount 2]])</f>
        <v>23352855.767999999</v>
      </c>
      <c r="AC218" s="4" t="str" cm="1">
        <f t="array" ref="AC218">_xlfn.IFS(Table1[[#This Row],[Revenue]]&gt;=30000000,"High Value",Table1[[#This Row],[Revenue]]&gt;=10000000,"Moderate Value",TRUE,"Low Value")</f>
        <v>Moderate Value</v>
      </c>
      <c r="AD218" t="str">
        <f>IF(Table1[[#This Row],[Discount 2]]&gt;=5%, "YES", "NO")</f>
        <v>YES</v>
      </c>
      <c r="AE218" t="str" cm="1">
        <f t="array" ref="AE218">_xlfn.IFS(Table1[[#This Row],[Revenue]]&gt;=30000000,"High Spender",Table1[[#This Row],[Revenue]]&gt;=10000000,"Moderate Spender",TRUE,"Low Spender")</f>
        <v>Moderate Spender</v>
      </c>
      <c r="AF218" s="4" t="str" cm="1">
        <f t="array" ref="AF218">_xlfn.IFS(Table1[[#This Row],[Land_Size_SQM]]&gt;=730,"LARGE",Table1[[#This Row],[Land_Size_SQM]]&gt;=465,"MEDIUM",TRUE,"SMALL")</f>
        <v>MEDIUM</v>
      </c>
    </row>
    <row r="219" spans="1:32" x14ac:dyDescent="0.3">
      <c r="A219" t="s">
        <v>243</v>
      </c>
      <c r="B219" t="s">
        <v>542</v>
      </c>
      <c r="C219" t="s">
        <v>627</v>
      </c>
      <c r="D219">
        <v>24</v>
      </c>
      <c r="E219" t="s">
        <v>628</v>
      </c>
      <c r="F219">
        <v>410</v>
      </c>
      <c r="G219" s="4">
        <v>37242</v>
      </c>
      <c r="H219" s="4">
        <v>15269220</v>
      </c>
      <c r="I219" t="s">
        <v>658</v>
      </c>
      <c r="J219" t="s">
        <v>670</v>
      </c>
      <c r="K219" t="s">
        <v>676</v>
      </c>
      <c r="L219" t="s">
        <v>680</v>
      </c>
      <c r="M219" t="s">
        <v>687</v>
      </c>
      <c r="N219" t="s">
        <v>692</v>
      </c>
      <c r="O219" t="s">
        <v>694</v>
      </c>
      <c r="P219" s="4">
        <v>6475176</v>
      </c>
      <c r="Q219">
        <v>3</v>
      </c>
      <c r="R219" s="7">
        <v>1.54</v>
      </c>
      <c r="S219" s="8">
        <f>Table1[[#This Row],[Discount_%]]/100</f>
        <v>1.54E-2</v>
      </c>
      <c r="T219" s="6" t="s">
        <v>860</v>
      </c>
      <c r="U219" t="s">
        <v>989</v>
      </c>
      <c r="V219">
        <v>2024</v>
      </c>
      <c r="W219" t="s">
        <v>993</v>
      </c>
      <c r="X219" t="s">
        <v>997</v>
      </c>
      <c r="Y219" t="s">
        <v>1000</v>
      </c>
      <c r="Z219">
        <v>3</v>
      </c>
      <c r="AA219">
        <v>27</v>
      </c>
      <c r="AB219" s="4">
        <f>Table1[[#This Row],[Total_Price]]*(1-Table1[[#This Row],[Discount 2]])</f>
        <v>15034074.012</v>
      </c>
      <c r="AC219" s="4" t="str" cm="1">
        <f t="array" ref="AC219">_xlfn.IFS(Table1[[#This Row],[Revenue]]&gt;=30000000,"High Value",Table1[[#This Row],[Revenue]]&gt;=10000000,"Moderate Value",TRUE,"Low Value")</f>
        <v>Moderate Value</v>
      </c>
      <c r="AD219" t="str">
        <f>IF(Table1[[#This Row],[Discount 2]]&gt;=5%, "YES", "NO")</f>
        <v>NO</v>
      </c>
      <c r="AE219" t="str" cm="1">
        <f t="array" ref="AE219">_xlfn.IFS(Table1[[#This Row],[Revenue]]&gt;=30000000,"High Spender",Table1[[#This Row],[Revenue]]&gt;=10000000,"Moderate Spender",TRUE,"Low Spender")</f>
        <v>Moderate Spender</v>
      </c>
      <c r="AF219" s="4" t="str" cm="1">
        <f t="array" ref="AF219">_xlfn.IFS(Table1[[#This Row],[Land_Size_SQM]]&gt;=730,"LARGE",Table1[[#This Row],[Land_Size_SQM]]&gt;=465,"MEDIUM",TRUE,"SMALL")</f>
        <v>SMALL</v>
      </c>
    </row>
    <row r="220" spans="1:32" x14ac:dyDescent="0.3">
      <c r="A220" t="s">
        <v>244</v>
      </c>
      <c r="B220" t="s">
        <v>563</v>
      </c>
      <c r="C220" t="s">
        <v>627</v>
      </c>
      <c r="D220">
        <v>57</v>
      </c>
      <c r="E220" t="s">
        <v>628</v>
      </c>
      <c r="F220">
        <v>643</v>
      </c>
      <c r="G220" s="4">
        <v>22735</v>
      </c>
      <c r="H220" s="4">
        <v>14618605</v>
      </c>
      <c r="I220" t="s">
        <v>666</v>
      </c>
      <c r="J220" t="s">
        <v>670</v>
      </c>
      <c r="K220" t="s">
        <v>640</v>
      </c>
      <c r="L220" t="s">
        <v>682</v>
      </c>
      <c r="M220" t="s">
        <v>685</v>
      </c>
      <c r="N220" t="s">
        <v>690</v>
      </c>
      <c r="O220" t="s">
        <v>693</v>
      </c>
      <c r="P220" s="4">
        <v>14618605</v>
      </c>
      <c r="Q220">
        <v>0</v>
      </c>
      <c r="R220" s="7">
        <v>3.9</v>
      </c>
      <c r="S220" s="8">
        <f>Table1[[#This Row],[Discount_%]]/100</f>
        <v>3.9E-2</v>
      </c>
      <c r="T220" s="6" t="s">
        <v>735</v>
      </c>
      <c r="U220" t="s">
        <v>987</v>
      </c>
      <c r="V220">
        <v>2024</v>
      </c>
      <c r="W220" t="s">
        <v>993</v>
      </c>
      <c r="X220" t="s">
        <v>998</v>
      </c>
      <c r="Y220" t="s">
        <v>1001</v>
      </c>
      <c r="Z220">
        <v>3</v>
      </c>
      <c r="AA220">
        <v>39</v>
      </c>
      <c r="AB220" s="4">
        <f>Table1[[#This Row],[Total_Price]]*(1-Table1[[#This Row],[Discount 2]])</f>
        <v>14048479.404999999</v>
      </c>
      <c r="AC220" s="4" t="str" cm="1">
        <f t="array" ref="AC220">_xlfn.IFS(Table1[[#This Row],[Revenue]]&gt;=30000000,"High Value",Table1[[#This Row],[Revenue]]&gt;=10000000,"Moderate Value",TRUE,"Low Value")</f>
        <v>Moderate Value</v>
      </c>
      <c r="AD220" t="str">
        <f>IF(Table1[[#This Row],[Discount 2]]&gt;=5%, "YES", "NO")</f>
        <v>NO</v>
      </c>
      <c r="AE220" t="str" cm="1">
        <f t="array" ref="AE220">_xlfn.IFS(Table1[[#This Row],[Revenue]]&gt;=30000000,"High Spender",Table1[[#This Row],[Revenue]]&gt;=10000000,"Moderate Spender",TRUE,"Low Spender")</f>
        <v>Moderate Spender</v>
      </c>
      <c r="AF220" s="4" t="str" cm="1">
        <f t="array" ref="AF220">_xlfn.IFS(Table1[[#This Row],[Land_Size_SQM]]&gt;=730,"LARGE",Table1[[#This Row],[Land_Size_SQM]]&gt;=465,"MEDIUM",TRUE,"SMALL")</f>
        <v>MEDIUM</v>
      </c>
    </row>
    <row r="221" spans="1:32" x14ac:dyDescent="0.3">
      <c r="A221" t="s">
        <v>245</v>
      </c>
      <c r="B221" t="s">
        <v>613</v>
      </c>
      <c r="C221" t="s">
        <v>626</v>
      </c>
      <c r="D221">
        <v>54</v>
      </c>
      <c r="E221" t="s">
        <v>630</v>
      </c>
      <c r="F221">
        <v>590</v>
      </c>
      <c r="G221" s="4">
        <v>27894</v>
      </c>
      <c r="H221" s="4">
        <v>16457460</v>
      </c>
      <c r="I221" t="s">
        <v>646</v>
      </c>
      <c r="J221" t="s">
        <v>673</v>
      </c>
      <c r="K221" t="s">
        <v>678</v>
      </c>
      <c r="L221" t="s">
        <v>682</v>
      </c>
      <c r="M221" t="s">
        <v>683</v>
      </c>
      <c r="N221" t="s">
        <v>690</v>
      </c>
      <c r="O221" t="s">
        <v>693</v>
      </c>
      <c r="P221" s="4">
        <v>16457460</v>
      </c>
      <c r="Q221">
        <v>0</v>
      </c>
      <c r="R221" s="7">
        <v>4.74</v>
      </c>
      <c r="S221" s="8">
        <f>Table1[[#This Row],[Discount_%]]/100</f>
        <v>4.7400000000000005E-2</v>
      </c>
      <c r="T221" s="6" t="s">
        <v>861</v>
      </c>
      <c r="U221" t="s">
        <v>986</v>
      </c>
      <c r="V221">
        <v>2024</v>
      </c>
      <c r="W221" t="s">
        <v>994</v>
      </c>
      <c r="X221" t="s">
        <v>999</v>
      </c>
      <c r="Y221" t="s">
        <v>1001</v>
      </c>
      <c r="Z221">
        <v>5</v>
      </c>
      <c r="AA221">
        <v>10</v>
      </c>
      <c r="AB221" s="4">
        <f>Table1[[#This Row],[Total_Price]]*(1-Table1[[#This Row],[Discount 2]])</f>
        <v>15677376.396</v>
      </c>
      <c r="AC221" s="4" t="str" cm="1">
        <f t="array" ref="AC221">_xlfn.IFS(Table1[[#This Row],[Revenue]]&gt;=30000000,"High Value",Table1[[#This Row],[Revenue]]&gt;=10000000,"Moderate Value",TRUE,"Low Value")</f>
        <v>Moderate Value</v>
      </c>
      <c r="AD221" t="str">
        <f>IF(Table1[[#This Row],[Discount 2]]&gt;=5%, "YES", "NO")</f>
        <v>NO</v>
      </c>
      <c r="AE221" t="str" cm="1">
        <f t="array" ref="AE221">_xlfn.IFS(Table1[[#This Row],[Revenue]]&gt;=30000000,"High Spender",Table1[[#This Row],[Revenue]]&gt;=10000000,"Moderate Spender",TRUE,"Low Spender")</f>
        <v>Moderate Spender</v>
      </c>
      <c r="AF221" s="4" t="str" cm="1">
        <f t="array" ref="AF221">_xlfn.IFS(Table1[[#This Row],[Land_Size_SQM]]&gt;=730,"LARGE",Table1[[#This Row],[Land_Size_SQM]]&gt;=465,"MEDIUM",TRUE,"SMALL")</f>
        <v>MEDIUM</v>
      </c>
    </row>
    <row r="222" spans="1:32" x14ac:dyDescent="0.3">
      <c r="A222" t="s">
        <v>246</v>
      </c>
      <c r="B222" t="s">
        <v>608</v>
      </c>
      <c r="C222" t="s">
        <v>627</v>
      </c>
      <c r="D222">
        <v>30</v>
      </c>
      <c r="E222" t="s">
        <v>628</v>
      </c>
      <c r="F222">
        <v>786</v>
      </c>
      <c r="G222" s="4">
        <v>41102</v>
      </c>
      <c r="H222" s="4">
        <v>32306172</v>
      </c>
      <c r="I222" t="s">
        <v>664</v>
      </c>
      <c r="J222" t="s">
        <v>673</v>
      </c>
      <c r="K222" t="s">
        <v>664</v>
      </c>
      <c r="L222" t="s">
        <v>680</v>
      </c>
      <c r="M222" t="s">
        <v>686</v>
      </c>
      <c r="N222" t="s">
        <v>690</v>
      </c>
      <c r="O222" t="s">
        <v>694</v>
      </c>
      <c r="P222" s="4">
        <v>9414256</v>
      </c>
      <c r="Q222">
        <v>3</v>
      </c>
      <c r="R222" s="7">
        <v>7.48</v>
      </c>
      <c r="S222" s="8">
        <f>Table1[[#This Row],[Discount_%]]/100</f>
        <v>7.4800000000000005E-2</v>
      </c>
      <c r="T222" s="6" t="s">
        <v>862</v>
      </c>
      <c r="U222" t="s">
        <v>982</v>
      </c>
      <c r="V222">
        <v>2024</v>
      </c>
      <c r="W222" t="s">
        <v>996</v>
      </c>
      <c r="X222" t="s">
        <v>999</v>
      </c>
      <c r="Y222" t="s">
        <v>1000</v>
      </c>
      <c r="Z222">
        <v>5</v>
      </c>
      <c r="AA222">
        <v>4</v>
      </c>
      <c r="AB222" s="4">
        <f>Table1[[#This Row],[Total_Price]]*(1-Table1[[#This Row],[Discount 2]])</f>
        <v>29889670.334400002</v>
      </c>
      <c r="AC222" s="4" t="str" cm="1">
        <f t="array" ref="AC222">_xlfn.IFS(Table1[[#This Row],[Revenue]]&gt;=30000000,"High Value",Table1[[#This Row],[Revenue]]&gt;=10000000,"Moderate Value",TRUE,"Low Value")</f>
        <v>Moderate Value</v>
      </c>
      <c r="AD222" t="str">
        <f>IF(Table1[[#This Row],[Discount 2]]&gt;=5%, "YES", "NO")</f>
        <v>YES</v>
      </c>
      <c r="AE222" t="str" cm="1">
        <f t="array" ref="AE222">_xlfn.IFS(Table1[[#This Row],[Revenue]]&gt;=30000000,"High Spender",Table1[[#This Row],[Revenue]]&gt;=10000000,"Moderate Spender",TRUE,"Low Spender")</f>
        <v>Moderate Spender</v>
      </c>
      <c r="AF222" s="4" t="str" cm="1">
        <f t="array" ref="AF222">_xlfn.IFS(Table1[[#This Row],[Land_Size_SQM]]&gt;=730,"LARGE",Table1[[#This Row],[Land_Size_SQM]]&gt;=465,"MEDIUM",TRUE,"SMALL")</f>
        <v>LARGE</v>
      </c>
    </row>
    <row r="223" spans="1:32" x14ac:dyDescent="0.3">
      <c r="A223" t="s">
        <v>247</v>
      </c>
      <c r="B223" t="s">
        <v>536</v>
      </c>
      <c r="C223" t="s">
        <v>626</v>
      </c>
      <c r="D223">
        <v>42</v>
      </c>
      <c r="E223" t="s">
        <v>628</v>
      </c>
      <c r="F223">
        <v>274</v>
      </c>
      <c r="G223" s="4">
        <v>21048</v>
      </c>
      <c r="H223" s="4">
        <v>5767152</v>
      </c>
      <c r="I223" t="s">
        <v>660</v>
      </c>
      <c r="J223" t="s">
        <v>672</v>
      </c>
      <c r="K223" t="s">
        <v>675</v>
      </c>
      <c r="L223" t="s">
        <v>682</v>
      </c>
      <c r="M223" t="s">
        <v>683</v>
      </c>
      <c r="N223" t="s">
        <v>689</v>
      </c>
      <c r="O223" t="s">
        <v>693</v>
      </c>
      <c r="P223" s="4">
        <v>5767152</v>
      </c>
      <c r="Q223">
        <v>0</v>
      </c>
      <c r="R223" s="7">
        <v>2.5099999999999998</v>
      </c>
      <c r="S223" s="8">
        <f>Table1[[#This Row],[Discount_%]]/100</f>
        <v>2.5099999999999997E-2</v>
      </c>
      <c r="T223" s="6" t="s">
        <v>863</v>
      </c>
      <c r="U223" t="s">
        <v>990</v>
      </c>
      <c r="V223">
        <v>2024</v>
      </c>
      <c r="W223" t="s">
        <v>994</v>
      </c>
      <c r="X223" t="s">
        <v>997</v>
      </c>
      <c r="Y223" t="s">
        <v>1000</v>
      </c>
      <c r="Z223">
        <v>2</v>
      </c>
      <c r="AA223">
        <v>21</v>
      </c>
      <c r="AB223" s="4">
        <f>Table1[[#This Row],[Total_Price]]*(1-Table1[[#This Row],[Discount 2]])</f>
        <v>5622396.4847999997</v>
      </c>
      <c r="AC223" s="4" t="str" cm="1">
        <f t="array" ref="AC223">_xlfn.IFS(Table1[[#This Row],[Revenue]]&gt;=30000000,"High Value",Table1[[#This Row],[Revenue]]&gt;=10000000,"Moderate Value",TRUE,"Low Value")</f>
        <v>Low Value</v>
      </c>
      <c r="AD223" t="str">
        <f>IF(Table1[[#This Row],[Discount 2]]&gt;=5%, "YES", "NO")</f>
        <v>NO</v>
      </c>
      <c r="AE223" t="str" cm="1">
        <f t="array" ref="AE223">_xlfn.IFS(Table1[[#This Row],[Revenue]]&gt;=30000000,"High Spender",Table1[[#This Row],[Revenue]]&gt;=10000000,"Moderate Spender",TRUE,"Low Spender")</f>
        <v>Low Spender</v>
      </c>
      <c r="AF223" s="4" t="str" cm="1">
        <f t="array" ref="AF223">_xlfn.IFS(Table1[[#This Row],[Land_Size_SQM]]&gt;=730,"LARGE",Table1[[#This Row],[Land_Size_SQM]]&gt;=465,"MEDIUM",TRUE,"SMALL")</f>
        <v>SMALL</v>
      </c>
    </row>
    <row r="224" spans="1:32" x14ac:dyDescent="0.3">
      <c r="A224" t="s">
        <v>248</v>
      </c>
      <c r="B224" t="s">
        <v>564</v>
      </c>
      <c r="C224" t="s">
        <v>627</v>
      </c>
      <c r="D224">
        <v>40</v>
      </c>
      <c r="E224" t="s">
        <v>628</v>
      </c>
      <c r="F224">
        <v>831</v>
      </c>
      <c r="G224" s="4">
        <v>45215</v>
      </c>
      <c r="H224" s="4">
        <v>37573665</v>
      </c>
      <c r="I224" t="s">
        <v>666</v>
      </c>
      <c r="J224" t="s">
        <v>670</v>
      </c>
      <c r="K224" t="s">
        <v>651</v>
      </c>
      <c r="L224" t="s">
        <v>680</v>
      </c>
      <c r="M224" t="s">
        <v>684</v>
      </c>
      <c r="N224" t="s">
        <v>690</v>
      </c>
      <c r="O224" t="s">
        <v>694</v>
      </c>
      <c r="P224" s="4">
        <v>13889692</v>
      </c>
      <c r="Q224">
        <v>6</v>
      </c>
      <c r="R224" s="7">
        <v>3.64</v>
      </c>
      <c r="S224" s="8">
        <f>Table1[[#This Row],[Discount_%]]/100</f>
        <v>3.6400000000000002E-2</v>
      </c>
      <c r="T224" s="6" t="s">
        <v>849</v>
      </c>
      <c r="U224" t="s">
        <v>982</v>
      </c>
      <c r="V224">
        <v>2024</v>
      </c>
      <c r="W224" t="s">
        <v>994</v>
      </c>
      <c r="X224" t="s">
        <v>999</v>
      </c>
      <c r="Y224" t="s">
        <v>1001</v>
      </c>
      <c r="Z224">
        <v>3</v>
      </c>
      <c r="AA224">
        <v>31</v>
      </c>
      <c r="AB224" s="4">
        <f>Table1[[#This Row],[Total_Price]]*(1-Table1[[#This Row],[Discount 2]])</f>
        <v>36205983.593999997</v>
      </c>
      <c r="AC224" s="4" t="str" cm="1">
        <f t="array" ref="AC224">_xlfn.IFS(Table1[[#This Row],[Revenue]]&gt;=30000000,"High Value",Table1[[#This Row],[Revenue]]&gt;=10000000,"Moderate Value",TRUE,"Low Value")</f>
        <v>High Value</v>
      </c>
      <c r="AD224" t="str">
        <f>IF(Table1[[#This Row],[Discount 2]]&gt;=5%, "YES", "NO")</f>
        <v>NO</v>
      </c>
      <c r="AE224" t="str" cm="1">
        <f t="array" ref="AE224">_xlfn.IFS(Table1[[#This Row],[Revenue]]&gt;=30000000,"High Spender",Table1[[#This Row],[Revenue]]&gt;=10000000,"Moderate Spender",TRUE,"Low Spender")</f>
        <v>High Spender</v>
      </c>
      <c r="AF224" s="4" t="str" cm="1">
        <f t="array" ref="AF224">_xlfn.IFS(Table1[[#This Row],[Land_Size_SQM]]&gt;=730,"LARGE",Table1[[#This Row],[Land_Size_SQM]]&gt;=465,"MEDIUM",TRUE,"SMALL")</f>
        <v>LARGE</v>
      </c>
    </row>
    <row r="225" spans="1:32" x14ac:dyDescent="0.3">
      <c r="A225" t="s">
        <v>249</v>
      </c>
      <c r="B225" t="s">
        <v>567</v>
      </c>
      <c r="C225" t="s">
        <v>627</v>
      </c>
      <c r="D225">
        <v>36</v>
      </c>
      <c r="E225" t="s">
        <v>629</v>
      </c>
      <c r="F225">
        <v>993</v>
      </c>
      <c r="G225" s="4">
        <v>22019</v>
      </c>
      <c r="H225" s="4">
        <v>21864867</v>
      </c>
      <c r="I225" t="s">
        <v>666</v>
      </c>
      <c r="J225" t="s">
        <v>670</v>
      </c>
      <c r="K225" t="s">
        <v>651</v>
      </c>
      <c r="L225" t="s">
        <v>682</v>
      </c>
      <c r="M225" t="s">
        <v>685</v>
      </c>
      <c r="N225" t="s">
        <v>689</v>
      </c>
      <c r="O225" t="s">
        <v>694</v>
      </c>
      <c r="P225" s="4">
        <v>5525931</v>
      </c>
      <c r="Q225">
        <v>3</v>
      </c>
      <c r="R225" s="7">
        <v>6.07</v>
      </c>
      <c r="S225" s="8">
        <f>Table1[[#This Row],[Discount_%]]/100</f>
        <v>6.0700000000000004E-2</v>
      </c>
      <c r="T225" s="6" t="s">
        <v>798</v>
      </c>
      <c r="U225" t="s">
        <v>992</v>
      </c>
      <c r="V225">
        <v>2024</v>
      </c>
      <c r="W225" t="s">
        <v>993</v>
      </c>
      <c r="X225" t="s">
        <v>997</v>
      </c>
      <c r="Y225" t="s">
        <v>1001</v>
      </c>
      <c r="Z225">
        <v>1</v>
      </c>
      <c r="AA225">
        <v>38</v>
      </c>
      <c r="AB225" s="4">
        <f>Table1[[#This Row],[Total_Price]]*(1-Table1[[#This Row],[Discount 2]])</f>
        <v>20537669.573100001</v>
      </c>
      <c r="AC225" s="4" t="str" cm="1">
        <f t="array" ref="AC225">_xlfn.IFS(Table1[[#This Row],[Revenue]]&gt;=30000000,"High Value",Table1[[#This Row],[Revenue]]&gt;=10000000,"Moderate Value",TRUE,"Low Value")</f>
        <v>Moderate Value</v>
      </c>
      <c r="AD225" t="str">
        <f>IF(Table1[[#This Row],[Discount 2]]&gt;=5%, "YES", "NO")</f>
        <v>YES</v>
      </c>
      <c r="AE225" t="str" cm="1">
        <f t="array" ref="AE225">_xlfn.IFS(Table1[[#This Row],[Revenue]]&gt;=30000000,"High Spender",Table1[[#This Row],[Revenue]]&gt;=10000000,"Moderate Spender",TRUE,"Low Spender")</f>
        <v>Moderate Spender</v>
      </c>
      <c r="AF225" s="4" t="str" cm="1">
        <f t="array" ref="AF225">_xlfn.IFS(Table1[[#This Row],[Land_Size_SQM]]&gt;=730,"LARGE",Table1[[#This Row],[Land_Size_SQM]]&gt;=465,"MEDIUM",TRUE,"SMALL")</f>
        <v>LARGE</v>
      </c>
    </row>
    <row r="226" spans="1:32" x14ac:dyDescent="0.3">
      <c r="A226" t="s">
        <v>250</v>
      </c>
      <c r="B226" t="s">
        <v>562</v>
      </c>
      <c r="C226" t="s">
        <v>626</v>
      </c>
      <c r="D226">
        <v>28</v>
      </c>
      <c r="E226" t="s">
        <v>630</v>
      </c>
      <c r="F226">
        <v>417</v>
      </c>
      <c r="G226" s="4">
        <v>4402</v>
      </c>
      <c r="H226" s="4">
        <v>1835634</v>
      </c>
      <c r="I226" t="s">
        <v>660</v>
      </c>
      <c r="J226" t="s">
        <v>672</v>
      </c>
      <c r="K226" t="s">
        <v>674</v>
      </c>
      <c r="L226" t="s">
        <v>682</v>
      </c>
      <c r="M226" t="s">
        <v>686</v>
      </c>
      <c r="N226" t="s">
        <v>689</v>
      </c>
      <c r="O226" t="s">
        <v>694</v>
      </c>
      <c r="P226" s="4">
        <v>727228</v>
      </c>
      <c r="Q226">
        <v>24</v>
      </c>
      <c r="R226" s="7">
        <v>1.49</v>
      </c>
      <c r="S226" s="8">
        <f>Table1[[#This Row],[Discount_%]]/100</f>
        <v>1.49E-2</v>
      </c>
      <c r="T226" s="6" t="s">
        <v>804</v>
      </c>
      <c r="U226" t="s">
        <v>991</v>
      </c>
      <c r="V226">
        <v>2024</v>
      </c>
      <c r="W226" t="s">
        <v>995</v>
      </c>
      <c r="X226" t="s">
        <v>998</v>
      </c>
      <c r="Y226" t="s">
        <v>1001</v>
      </c>
      <c r="Z226">
        <v>1</v>
      </c>
      <c r="AA226">
        <v>43</v>
      </c>
      <c r="AB226" s="4">
        <f>Table1[[#This Row],[Total_Price]]*(1-Table1[[#This Row],[Discount 2]])</f>
        <v>1808283.0533999999</v>
      </c>
      <c r="AC226" s="4" t="str" cm="1">
        <f t="array" ref="AC226">_xlfn.IFS(Table1[[#This Row],[Revenue]]&gt;=30000000,"High Value",Table1[[#This Row],[Revenue]]&gt;=10000000,"Moderate Value",TRUE,"Low Value")</f>
        <v>Low Value</v>
      </c>
      <c r="AD226" t="str">
        <f>IF(Table1[[#This Row],[Discount 2]]&gt;=5%, "YES", "NO")</f>
        <v>NO</v>
      </c>
      <c r="AE226" t="str" cm="1">
        <f t="array" ref="AE226">_xlfn.IFS(Table1[[#This Row],[Revenue]]&gt;=30000000,"High Spender",Table1[[#This Row],[Revenue]]&gt;=10000000,"Moderate Spender",TRUE,"Low Spender")</f>
        <v>Low Spender</v>
      </c>
      <c r="AF226" s="4" t="str" cm="1">
        <f t="array" ref="AF226">_xlfn.IFS(Table1[[#This Row],[Land_Size_SQM]]&gt;=730,"LARGE",Table1[[#This Row],[Land_Size_SQM]]&gt;=465,"MEDIUM",TRUE,"SMALL")</f>
        <v>SMALL</v>
      </c>
    </row>
    <row r="227" spans="1:32" x14ac:dyDescent="0.3">
      <c r="A227" t="s">
        <v>251</v>
      </c>
      <c r="B227" t="s">
        <v>573</v>
      </c>
      <c r="C227" t="s">
        <v>627</v>
      </c>
      <c r="D227">
        <v>50</v>
      </c>
      <c r="E227" t="s">
        <v>630</v>
      </c>
      <c r="F227">
        <v>975</v>
      </c>
      <c r="G227" s="4">
        <v>35694</v>
      </c>
      <c r="H227" s="4">
        <v>34801650</v>
      </c>
      <c r="I227" t="s">
        <v>656</v>
      </c>
      <c r="J227" t="s">
        <v>669</v>
      </c>
      <c r="K227" t="s">
        <v>638</v>
      </c>
      <c r="L227" t="s">
        <v>680</v>
      </c>
      <c r="M227" t="s">
        <v>683</v>
      </c>
      <c r="N227" t="s">
        <v>691</v>
      </c>
      <c r="O227" t="s">
        <v>693</v>
      </c>
      <c r="P227" s="4">
        <v>34801650</v>
      </c>
      <c r="Q227">
        <v>0</v>
      </c>
      <c r="R227" s="7">
        <v>4.46</v>
      </c>
      <c r="S227" s="8">
        <f>Table1[[#This Row],[Discount_%]]/100</f>
        <v>4.4600000000000001E-2</v>
      </c>
      <c r="T227" s="6" t="s">
        <v>864</v>
      </c>
      <c r="U227" t="s">
        <v>990</v>
      </c>
      <c r="V227">
        <v>2024</v>
      </c>
      <c r="W227" t="s">
        <v>996</v>
      </c>
      <c r="X227" t="s">
        <v>999</v>
      </c>
      <c r="Y227" t="s">
        <v>1002</v>
      </c>
      <c r="Z227">
        <v>3</v>
      </c>
      <c r="AA227">
        <v>15</v>
      </c>
      <c r="AB227" s="4">
        <f>Table1[[#This Row],[Total_Price]]*(1-Table1[[#This Row],[Discount 2]])</f>
        <v>33249496.41</v>
      </c>
      <c r="AC227" s="4" t="str" cm="1">
        <f t="array" ref="AC227">_xlfn.IFS(Table1[[#This Row],[Revenue]]&gt;=30000000,"High Value",Table1[[#This Row],[Revenue]]&gt;=10000000,"Moderate Value",TRUE,"Low Value")</f>
        <v>High Value</v>
      </c>
      <c r="AD227" t="str">
        <f>IF(Table1[[#This Row],[Discount 2]]&gt;=5%, "YES", "NO")</f>
        <v>NO</v>
      </c>
      <c r="AE227" t="str" cm="1">
        <f t="array" ref="AE227">_xlfn.IFS(Table1[[#This Row],[Revenue]]&gt;=30000000,"High Spender",Table1[[#This Row],[Revenue]]&gt;=10000000,"Moderate Spender",TRUE,"Low Spender")</f>
        <v>High Spender</v>
      </c>
      <c r="AF227" s="4" t="str" cm="1">
        <f t="array" ref="AF227">_xlfn.IFS(Table1[[#This Row],[Land_Size_SQM]]&gt;=730,"LARGE",Table1[[#This Row],[Land_Size_SQM]]&gt;=465,"MEDIUM",TRUE,"SMALL")</f>
        <v>LARGE</v>
      </c>
    </row>
    <row r="228" spans="1:32" x14ac:dyDescent="0.3">
      <c r="A228" t="s">
        <v>252</v>
      </c>
      <c r="B228" t="s">
        <v>614</v>
      </c>
      <c r="C228" t="s">
        <v>626</v>
      </c>
      <c r="D228">
        <v>36</v>
      </c>
      <c r="E228" t="s">
        <v>629</v>
      </c>
      <c r="F228">
        <v>730</v>
      </c>
      <c r="G228" s="4">
        <v>25674</v>
      </c>
      <c r="H228" s="4">
        <v>18742020</v>
      </c>
      <c r="I228" t="s">
        <v>662</v>
      </c>
      <c r="J228" t="s">
        <v>673</v>
      </c>
      <c r="K228" t="s">
        <v>679</v>
      </c>
      <c r="L228" t="s">
        <v>682</v>
      </c>
      <c r="M228" t="s">
        <v>686</v>
      </c>
      <c r="N228" t="s">
        <v>688</v>
      </c>
      <c r="O228" t="s">
        <v>694</v>
      </c>
      <c r="P228" s="4">
        <v>8909405</v>
      </c>
      <c r="Q228">
        <v>24</v>
      </c>
      <c r="R228" s="7">
        <v>8.82</v>
      </c>
      <c r="S228" s="8">
        <f>Table1[[#This Row],[Discount_%]]/100</f>
        <v>8.8200000000000001E-2</v>
      </c>
      <c r="T228" s="6" t="s">
        <v>713</v>
      </c>
      <c r="U228" t="s">
        <v>988</v>
      </c>
      <c r="V228">
        <v>2024</v>
      </c>
      <c r="W228" t="s">
        <v>995</v>
      </c>
      <c r="X228" t="s">
        <v>997</v>
      </c>
      <c r="Y228" t="s">
        <v>1002</v>
      </c>
      <c r="Z228">
        <v>3</v>
      </c>
      <c r="AA228">
        <v>38</v>
      </c>
      <c r="AB228" s="4">
        <f>Table1[[#This Row],[Total_Price]]*(1-Table1[[#This Row],[Discount 2]])</f>
        <v>17088973.835999999</v>
      </c>
      <c r="AC228" s="4" t="str" cm="1">
        <f t="array" ref="AC228">_xlfn.IFS(Table1[[#This Row],[Revenue]]&gt;=30000000,"High Value",Table1[[#This Row],[Revenue]]&gt;=10000000,"Moderate Value",TRUE,"Low Value")</f>
        <v>Moderate Value</v>
      </c>
      <c r="AD228" t="str">
        <f>IF(Table1[[#This Row],[Discount 2]]&gt;=5%, "YES", "NO")</f>
        <v>YES</v>
      </c>
      <c r="AE228" t="str" cm="1">
        <f t="array" ref="AE228">_xlfn.IFS(Table1[[#This Row],[Revenue]]&gt;=30000000,"High Spender",Table1[[#This Row],[Revenue]]&gt;=10000000,"Moderate Spender",TRUE,"Low Spender")</f>
        <v>Moderate Spender</v>
      </c>
      <c r="AF228" s="4" t="str" cm="1">
        <f t="array" ref="AF228">_xlfn.IFS(Table1[[#This Row],[Land_Size_SQM]]&gt;=730,"LARGE",Table1[[#This Row],[Land_Size_SQM]]&gt;=465,"MEDIUM",TRUE,"SMALL")</f>
        <v>LARGE</v>
      </c>
    </row>
    <row r="229" spans="1:32" x14ac:dyDescent="0.3">
      <c r="A229" t="s">
        <v>253</v>
      </c>
      <c r="B229" t="s">
        <v>604</v>
      </c>
      <c r="C229" t="s">
        <v>626</v>
      </c>
      <c r="D229">
        <v>58</v>
      </c>
      <c r="E229" t="s">
        <v>628</v>
      </c>
      <c r="F229">
        <v>457</v>
      </c>
      <c r="G229" s="4">
        <v>26663</v>
      </c>
      <c r="H229" s="4">
        <v>12184991</v>
      </c>
      <c r="I229" t="s">
        <v>631</v>
      </c>
      <c r="J229" t="s">
        <v>668</v>
      </c>
      <c r="K229" t="s">
        <v>675</v>
      </c>
      <c r="L229" t="s">
        <v>682</v>
      </c>
      <c r="M229" t="s">
        <v>683</v>
      </c>
      <c r="N229" t="s">
        <v>691</v>
      </c>
      <c r="O229" t="s">
        <v>693</v>
      </c>
      <c r="P229" s="4">
        <v>12184991</v>
      </c>
      <c r="Q229">
        <v>0</v>
      </c>
      <c r="R229" s="7">
        <v>5.16</v>
      </c>
      <c r="S229" s="8">
        <f>Table1[[#This Row],[Discount_%]]/100</f>
        <v>5.16E-2</v>
      </c>
      <c r="T229" s="6" t="s">
        <v>771</v>
      </c>
      <c r="U229" t="s">
        <v>982</v>
      </c>
      <c r="V229">
        <v>2024</v>
      </c>
      <c r="W229" t="s">
        <v>996</v>
      </c>
      <c r="X229" t="s">
        <v>999</v>
      </c>
      <c r="Y229" t="s">
        <v>1000</v>
      </c>
      <c r="Z229">
        <v>5</v>
      </c>
      <c r="AA229">
        <v>42</v>
      </c>
      <c r="AB229" s="4">
        <f>Table1[[#This Row],[Total_Price]]*(1-Table1[[#This Row],[Discount 2]])</f>
        <v>11556245.464400001</v>
      </c>
      <c r="AC229" s="4" t="str" cm="1">
        <f t="array" ref="AC229">_xlfn.IFS(Table1[[#This Row],[Revenue]]&gt;=30000000,"High Value",Table1[[#This Row],[Revenue]]&gt;=10000000,"Moderate Value",TRUE,"Low Value")</f>
        <v>Moderate Value</v>
      </c>
      <c r="AD229" t="str">
        <f>IF(Table1[[#This Row],[Discount 2]]&gt;=5%, "YES", "NO")</f>
        <v>YES</v>
      </c>
      <c r="AE229" t="str" cm="1">
        <f t="array" ref="AE229">_xlfn.IFS(Table1[[#This Row],[Revenue]]&gt;=30000000,"High Spender",Table1[[#This Row],[Revenue]]&gt;=10000000,"Moderate Spender",TRUE,"Low Spender")</f>
        <v>Moderate Spender</v>
      </c>
      <c r="AF229" s="4" t="str" cm="1">
        <f t="array" ref="AF229">_xlfn.IFS(Table1[[#This Row],[Land_Size_SQM]]&gt;=730,"LARGE",Table1[[#This Row],[Land_Size_SQM]]&gt;=465,"MEDIUM",TRUE,"SMALL")</f>
        <v>SMALL</v>
      </c>
    </row>
    <row r="230" spans="1:32" x14ac:dyDescent="0.3">
      <c r="A230" t="s">
        <v>254</v>
      </c>
      <c r="B230" t="s">
        <v>589</v>
      </c>
      <c r="C230" t="s">
        <v>626</v>
      </c>
      <c r="D230">
        <v>50</v>
      </c>
      <c r="E230" t="s">
        <v>628</v>
      </c>
      <c r="F230">
        <v>391</v>
      </c>
      <c r="G230" s="4">
        <v>12312</v>
      </c>
      <c r="H230" s="4">
        <v>4813992</v>
      </c>
      <c r="I230" t="s">
        <v>648</v>
      </c>
      <c r="J230" t="s">
        <v>671</v>
      </c>
      <c r="K230" t="s">
        <v>638</v>
      </c>
      <c r="L230" t="s">
        <v>682</v>
      </c>
      <c r="M230" t="s">
        <v>683</v>
      </c>
      <c r="N230" t="s">
        <v>691</v>
      </c>
      <c r="O230" t="s">
        <v>694</v>
      </c>
      <c r="P230" s="4">
        <v>1917571</v>
      </c>
      <c r="Q230">
        <v>3</v>
      </c>
      <c r="R230" s="7">
        <v>4.1500000000000004</v>
      </c>
      <c r="S230" s="8">
        <f>Table1[[#This Row],[Discount_%]]/100</f>
        <v>4.1500000000000002E-2</v>
      </c>
      <c r="T230" s="6" t="s">
        <v>865</v>
      </c>
      <c r="U230" t="s">
        <v>982</v>
      </c>
      <c r="V230">
        <v>2024</v>
      </c>
      <c r="W230" t="s">
        <v>993</v>
      </c>
      <c r="X230" t="s">
        <v>999</v>
      </c>
      <c r="Y230" t="s">
        <v>1000</v>
      </c>
      <c r="Z230">
        <v>2</v>
      </c>
      <c r="AA230">
        <v>37</v>
      </c>
      <c r="AB230" s="4">
        <f>Table1[[#This Row],[Total_Price]]*(1-Table1[[#This Row],[Discount 2]])</f>
        <v>4614211.3320000004</v>
      </c>
      <c r="AC230" s="4" t="str" cm="1">
        <f t="array" ref="AC230">_xlfn.IFS(Table1[[#This Row],[Revenue]]&gt;=30000000,"High Value",Table1[[#This Row],[Revenue]]&gt;=10000000,"Moderate Value",TRUE,"Low Value")</f>
        <v>Low Value</v>
      </c>
      <c r="AD230" t="str">
        <f>IF(Table1[[#This Row],[Discount 2]]&gt;=5%, "YES", "NO")</f>
        <v>NO</v>
      </c>
      <c r="AE230" t="str" cm="1">
        <f t="array" ref="AE230">_xlfn.IFS(Table1[[#This Row],[Revenue]]&gt;=30000000,"High Spender",Table1[[#This Row],[Revenue]]&gt;=10000000,"Moderate Spender",TRUE,"Low Spender")</f>
        <v>Low Spender</v>
      </c>
      <c r="AF230" s="4" t="str" cm="1">
        <f t="array" ref="AF230">_xlfn.IFS(Table1[[#This Row],[Land_Size_SQM]]&gt;=730,"LARGE",Table1[[#This Row],[Land_Size_SQM]]&gt;=465,"MEDIUM",TRUE,"SMALL")</f>
        <v>SMALL</v>
      </c>
    </row>
    <row r="231" spans="1:32" x14ac:dyDescent="0.3">
      <c r="A231" t="s">
        <v>255</v>
      </c>
      <c r="B231" t="s">
        <v>606</v>
      </c>
      <c r="C231" t="s">
        <v>626</v>
      </c>
      <c r="D231">
        <v>31</v>
      </c>
      <c r="E231" t="s">
        <v>629</v>
      </c>
      <c r="F231">
        <v>844</v>
      </c>
      <c r="G231" s="4">
        <v>35596</v>
      </c>
      <c r="H231" s="4">
        <v>30043024</v>
      </c>
      <c r="I231" t="s">
        <v>640</v>
      </c>
      <c r="J231" t="s">
        <v>672</v>
      </c>
      <c r="K231" t="s">
        <v>638</v>
      </c>
      <c r="L231" t="s">
        <v>681</v>
      </c>
      <c r="M231" t="s">
        <v>686</v>
      </c>
      <c r="N231" t="s">
        <v>692</v>
      </c>
      <c r="O231" t="s">
        <v>693</v>
      </c>
      <c r="P231" s="4">
        <v>30043024</v>
      </c>
      <c r="Q231">
        <v>0</v>
      </c>
      <c r="R231" s="7">
        <v>8.91</v>
      </c>
      <c r="S231" s="8">
        <f>Table1[[#This Row],[Discount_%]]/100</f>
        <v>8.9099999999999999E-2</v>
      </c>
      <c r="T231" s="6" t="s">
        <v>866</v>
      </c>
      <c r="U231" t="s">
        <v>987</v>
      </c>
      <c r="V231">
        <v>2024</v>
      </c>
      <c r="W231" t="s">
        <v>993</v>
      </c>
      <c r="X231" t="s">
        <v>997</v>
      </c>
      <c r="Y231" t="s">
        <v>1001</v>
      </c>
      <c r="Z231">
        <v>3</v>
      </c>
      <c r="AA231">
        <v>6</v>
      </c>
      <c r="AB231" s="4">
        <f>Table1[[#This Row],[Total_Price]]*(1-Table1[[#This Row],[Discount 2]])</f>
        <v>27366190.5616</v>
      </c>
      <c r="AC231" s="4" t="str" cm="1">
        <f t="array" ref="AC231">_xlfn.IFS(Table1[[#This Row],[Revenue]]&gt;=30000000,"High Value",Table1[[#This Row],[Revenue]]&gt;=10000000,"Moderate Value",TRUE,"Low Value")</f>
        <v>Moderate Value</v>
      </c>
      <c r="AD231" t="str">
        <f>IF(Table1[[#This Row],[Discount 2]]&gt;=5%, "YES", "NO")</f>
        <v>YES</v>
      </c>
      <c r="AE231" t="str" cm="1">
        <f t="array" ref="AE231">_xlfn.IFS(Table1[[#This Row],[Revenue]]&gt;=30000000,"High Spender",Table1[[#This Row],[Revenue]]&gt;=10000000,"Moderate Spender",TRUE,"Low Spender")</f>
        <v>Moderate Spender</v>
      </c>
      <c r="AF231" s="4" t="str" cm="1">
        <f t="array" ref="AF231">_xlfn.IFS(Table1[[#This Row],[Land_Size_SQM]]&gt;=730,"LARGE",Table1[[#This Row],[Land_Size_SQM]]&gt;=465,"MEDIUM",TRUE,"SMALL")</f>
        <v>LARGE</v>
      </c>
    </row>
    <row r="232" spans="1:32" x14ac:dyDescent="0.3">
      <c r="A232" t="s">
        <v>256</v>
      </c>
      <c r="B232" t="s">
        <v>595</v>
      </c>
      <c r="C232" t="s">
        <v>627</v>
      </c>
      <c r="D232">
        <v>59</v>
      </c>
      <c r="E232" t="s">
        <v>629</v>
      </c>
      <c r="F232">
        <v>682</v>
      </c>
      <c r="G232" s="4">
        <v>33566</v>
      </c>
      <c r="H232" s="4">
        <v>22892012</v>
      </c>
      <c r="I232" t="s">
        <v>632</v>
      </c>
      <c r="J232" t="s">
        <v>669</v>
      </c>
      <c r="K232" t="s">
        <v>674</v>
      </c>
      <c r="L232" t="s">
        <v>682</v>
      </c>
      <c r="M232" t="s">
        <v>687</v>
      </c>
      <c r="N232" t="s">
        <v>688</v>
      </c>
      <c r="O232" t="s">
        <v>693</v>
      </c>
      <c r="P232" s="4">
        <v>22892012</v>
      </c>
      <c r="Q232">
        <v>0</v>
      </c>
      <c r="R232" s="7">
        <v>2.19</v>
      </c>
      <c r="S232" s="8">
        <f>Table1[[#This Row],[Discount_%]]/100</f>
        <v>2.1899999999999999E-2</v>
      </c>
      <c r="T232" s="6" t="s">
        <v>867</v>
      </c>
      <c r="U232" t="s">
        <v>991</v>
      </c>
      <c r="V232">
        <v>2024</v>
      </c>
      <c r="W232" t="s">
        <v>994</v>
      </c>
      <c r="X232" t="s">
        <v>998</v>
      </c>
      <c r="Y232" t="s">
        <v>1001</v>
      </c>
      <c r="Z232">
        <v>5</v>
      </c>
      <c r="AA232">
        <v>5</v>
      </c>
      <c r="AB232" s="4">
        <f>Table1[[#This Row],[Total_Price]]*(1-Table1[[#This Row],[Discount 2]])</f>
        <v>22390676.937199999</v>
      </c>
      <c r="AC232" s="4" t="str" cm="1">
        <f t="array" ref="AC232">_xlfn.IFS(Table1[[#This Row],[Revenue]]&gt;=30000000,"High Value",Table1[[#This Row],[Revenue]]&gt;=10000000,"Moderate Value",TRUE,"Low Value")</f>
        <v>Moderate Value</v>
      </c>
      <c r="AD232" t="str">
        <f>IF(Table1[[#This Row],[Discount 2]]&gt;=5%, "YES", "NO")</f>
        <v>NO</v>
      </c>
      <c r="AE232" t="str" cm="1">
        <f t="array" ref="AE232">_xlfn.IFS(Table1[[#This Row],[Revenue]]&gt;=30000000,"High Spender",Table1[[#This Row],[Revenue]]&gt;=10000000,"Moderate Spender",TRUE,"Low Spender")</f>
        <v>Moderate Spender</v>
      </c>
      <c r="AF232" s="4" t="str" cm="1">
        <f t="array" ref="AF232">_xlfn.IFS(Table1[[#This Row],[Land_Size_SQM]]&gt;=730,"LARGE",Table1[[#This Row],[Land_Size_SQM]]&gt;=465,"MEDIUM",TRUE,"SMALL")</f>
        <v>MEDIUM</v>
      </c>
    </row>
    <row r="233" spans="1:32" x14ac:dyDescent="0.3">
      <c r="A233" t="s">
        <v>257</v>
      </c>
      <c r="B233" t="s">
        <v>564</v>
      </c>
      <c r="C233" t="s">
        <v>627</v>
      </c>
      <c r="D233">
        <v>31</v>
      </c>
      <c r="E233" t="s">
        <v>630</v>
      </c>
      <c r="F233">
        <v>335</v>
      </c>
      <c r="G233" s="4">
        <v>9115</v>
      </c>
      <c r="H233" s="4">
        <v>3053525</v>
      </c>
      <c r="I233" t="s">
        <v>632</v>
      </c>
      <c r="J233" t="s">
        <v>669</v>
      </c>
      <c r="K233" t="s">
        <v>640</v>
      </c>
      <c r="L233" t="s">
        <v>682</v>
      </c>
      <c r="M233" t="s">
        <v>686</v>
      </c>
      <c r="N233" t="s">
        <v>689</v>
      </c>
      <c r="O233" t="s">
        <v>693</v>
      </c>
      <c r="P233" s="4">
        <v>3053525</v>
      </c>
      <c r="Q233">
        <v>0</v>
      </c>
      <c r="R233" s="7">
        <v>2.02</v>
      </c>
      <c r="S233" s="8">
        <f>Table1[[#This Row],[Discount_%]]/100</f>
        <v>2.0199999999999999E-2</v>
      </c>
      <c r="T233" s="6" t="s">
        <v>857</v>
      </c>
      <c r="U233" t="s">
        <v>986</v>
      </c>
      <c r="V233">
        <v>2024</v>
      </c>
      <c r="W233" t="s">
        <v>993</v>
      </c>
      <c r="X233" t="s">
        <v>999</v>
      </c>
      <c r="Y233" t="s">
        <v>1002</v>
      </c>
      <c r="Z233">
        <v>2</v>
      </c>
      <c r="AA233">
        <v>39</v>
      </c>
      <c r="AB233" s="4">
        <f>Table1[[#This Row],[Total_Price]]*(1-Table1[[#This Row],[Discount 2]])</f>
        <v>2991843.7949999999</v>
      </c>
      <c r="AC233" s="4" t="str" cm="1">
        <f t="array" ref="AC233">_xlfn.IFS(Table1[[#This Row],[Revenue]]&gt;=30000000,"High Value",Table1[[#This Row],[Revenue]]&gt;=10000000,"Moderate Value",TRUE,"Low Value")</f>
        <v>Low Value</v>
      </c>
      <c r="AD233" t="str">
        <f>IF(Table1[[#This Row],[Discount 2]]&gt;=5%, "YES", "NO")</f>
        <v>NO</v>
      </c>
      <c r="AE233" t="str" cm="1">
        <f t="array" ref="AE233">_xlfn.IFS(Table1[[#This Row],[Revenue]]&gt;=30000000,"High Spender",Table1[[#This Row],[Revenue]]&gt;=10000000,"Moderate Spender",TRUE,"Low Spender")</f>
        <v>Low Spender</v>
      </c>
      <c r="AF233" s="4" t="str" cm="1">
        <f t="array" ref="AF233">_xlfn.IFS(Table1[[#This Row],[Land_Size_SQM]]&gt;=730,"LARGE",Table1[[#This Row],[Land_Size_SQM]]&gt;=465,"MEDIUM",TRUE,"SMALL")</f>
        <v>SMALL</v>
      </c>
    </row>
    <row r="234" spans="1:32" x14ac:dyDescent="0.3">
      <c r="A234" t="s">
        <v>258</v>
      </c>
      <c r="B234" t="s">
        <v>599</v>
      </c>
      <c r="C234" t="s">
        <v>626</v>
      </c>
      <c r="D234">
        <v>44</v>
      </c>
      <c r="E234" t="s">
        <v>630</v>
      </c>
      <c r="F234">
        <v>993</v>
      </c>
      <c r="G234" s="4">
        <v>46470</v>
      </c>
      <c r="H234" s="4">
        <v>46144710</v>
      </c>
      <c r="I234" t="s">
        <v>652</v>
      </c>
      <c r="J234" t="s">
        <v>672</v>
      </c>
      <c r="K234" t="s">
        <v>664</v>
      </c>
      <c r="L234" t="s">
        <v>682</v>
      </c>
      <c r="M234" t="s">
        <v>686</v>
      </c>
      <c r="N234" t="s">
        <v>689</v>
      </c>
      <c r="O234" t="s">
        <v>694</v>
      </c>
      <c r="P234" s="4">
        <v>14356230</v>
      </c>
      <c r="Q234">
        <v>24</v>
      </c>
      <c r="R234" s="7">
        <v>0.43</v>
      </c>
      <c r="S234" s="8">
        <f>Table1[[#This Row],[Discount_%]]/100</f>
        <v>4.3E-3</v>
      </c>
      <c r="T234" s="6" t="s">
        <v>868</v>
      </c>
      <c r="U234" t="s">
        <v>986</v>
      </c>
      <c r="V234">
        <v>2024</v>
      </c>
      <c r="W234" t="s">
        <v>995</v>
      </c>
      <c r="X234" t="s">
        <v>999</v>
      </c>
      <c r="Y234" t="s">
        <v>1002</v>
      </c>
      <c r="Z234">
        <v>4</v>
      </c>
      <c r="AA234">
        <v>50</v>
      </c>
      <c r="AB234" s="4">
        <f>Table1[[#This Row],[Total_Price]]*(1-Table1[[#This Row],[Discount 2]])</f>
        <v>45946287.747000001</v>
      </c>
      <c r="AC234" s="4" t="str" cm="1">
        <f t="array" ref="AC234">_xlfn.IFS(Table1[[#This Row],[Revenue]]&gt;=30000000,"High Value",Table1[[#This Row],[Revenue]]&gt;=10000000,"Moderate Value",TRUE,"Low Value")</f>
        <v>High Value</v>
      </c>
      <c r="AD234" t="str">
        <f>IF(Table1[[#This Row],[Discount 2]]&gt;=5%, "YES", "NO")</f>
        <v>NO</v>
      </c>
      <c r="AE234" t="str" cm="1">
        <f t="array" ref="AE234">_xlfn.IFS(Table1[[#This Row],[Revenue]]&gt;=30000000,"High Spender",Table1[[#This Row],[Revenue]]&gt;=10000000,"Moderate Spender",TRUE,"Low Spender")</f>
        <v>High Spender</v>
      </c>
      <c r="AF234" s="4" t="str" cm="1">
        <f t="array" ref="AF234">_xlfn.IFS(Table1[[#This Row],[Land_Size_SQM]]&gt;=730,"LARGE",Table1[[#This Row],[Land_Size_SQM]]&gt;=465,"MEDIUM",TRUE,"SMALL")</f>
        <v>LARGE</v>
      </c>
    </row>
    <row r="235" spans="1:32" x14ac:dyDescent="0.3">
      <c r="A235" t="s">
        <v>259</v>
      </c>
      <c r="B235" t="s">
        <v>535</v>
      </c>
      <c r="C235" t="s">
        <v>627</v>
      </c>
      <c r="D235">
        <v>53</v>
      </c>
      <c r="E235" t="s">
        <v>628</v>
      </c>
      <c r="F235">
        <v>812</v>
      </c>
      <c r="G235" s="4">
        <v>37633</v>
      </c>
      <c r="H235" s="4">
        <v>30557996</v>
      </c>
      <c r="I235" t="s">
        <v>649</v>
      </c>
      <c r="J235" t="s">
        <v>669</v>
      </c>
      <c r="K235" t="s">
        <v>677</v>
      </c>
      <c r="L235" t="s">
        <v>681</v>
      </c>
      <c r="M235" t="s">
        <v>683</v>
      </c>
      <c r="N235" t="s">
        <v>690</v>
      </c>
      <c r="O235" t="s">
        <v>694</v>
      </c>
      <c r="P235" s="4">
        <v>7844430</v>
      </c>
      <c r="Q235">
        <v>12</v>
      </c>
      <c r="R235" s="7">
        <v>7.09</v>
      </c>
      <c r="S235" s="8">
        <f>Table1[[#This Row],[Discount_%]]/100</f>
        <v>7.0900000000000005E-2</v>
      </c>
      <c r="T235" s="6" t="s">
        <v>869</v>
      </c>
      <c r="U235" t="s">
        <v>988</v>
      </c>
      <c r="V235">
        <v>2024</v>
      </c>
      <c r="W235" t="s">
        <v>995</v>
      </c>
      <c r="X235" t="s">
        <v>998</v>
      </c>
      <c r="Y235" t="s">
        <v>1000</v>
      </c>
      <c r="Z235">
        <v>2</v>
      </c>
      <c r="AA235">
        <v>28</v>
      </c>
      <c r="AB235" s="4">
        <f>Table1[[#This Row],[Total_Price]]*(1-Table1[[#This Row],[Discount 2]])</f>
        <v>28391434.0836</v>
      </c>
      <c r="AC235" s="4" t="str" cm="1">
        <f t="array" ref="AC235">_xlfn.IFS(Table1[[#This Row],[Revenue]]&gt;=30000000,"High Value",Table1[[#This Row],[Revenue]]&gt;=10000000,"Moderate Value",TRUE,"Low Value")</f>
        <v>Moderate Value</v>
      </c>
      <c r="AD235" t="str">
        <f>IF(Table1[[#This Row],[Discount 2]]&gt;=5%, "YES", "NO")</f>
        <v>YES</v>
      </c>
      <c r="AE235" t="str" cm="1">
        <f t="array" ref="AE235">_xlfn.IFS(Table1[[#This Row],[Revenue]]&gt;=30000000,"High Spender",Table1[[#This Row],[Revenue]]&gt;=10000000,"Moderate Spender",TRUE,"Low Spender")</f>
        <v>Moderate Spender</v>
      </c>
      <c r="AF235" s="4" t="str" cm="1">
        <f t="array" ref="AF235">_xlfn.IFS(Table1[[#This Row],[Land_Size_SQM]]&gt;=730,"LARGE",Table1[[#This Row],[Land_Size_SQM]]&gt;=465,"MEDIUM",TRUE,"SMALL")</f>
        <v>LARGE</v>
      </c>
    </row>
    <row r="236" spans="1:32" x14ac:dyDescent="0.3">
      <c r="A236" t="s">
        <v>260</v>
      </c>
      <c r="B236" t="s">
        <v>608</v>
      </c>
      <c r="C236" t="s">
        <v>626</v>
      </c>
      <c r="D236">
        <v>31</v>
      </c>
      <c r="E236" t="s">
        <v>630</v>
      </c>
      <c r="F236">
        <v>467</v>
      </c>
      <c r="G236" s="4">
        <v>37134</v>
      </c>
      <c r="H236" s="4">
        <v>17341578</v>
      </c>
      <c r="I236" t="s">
        <v>644</v>
      </c>
      <c r="J236" t="s">
        <v>668</v>
      </c>
      <c r="K236" t="s">
        <v>677</v>
      </c>
      <c r="L236" t="s">
        <v>682</v>
      </c>
      <c r="M236" t="s">
        <v>686</v>
      </c>
      <c r="N236" t="s">
        <v>691</v>
      </c>
      <c r="O236" t="s">
        <v>694</v>
      </c>
      <c r="P236" s="4">
        <v>6651609</v>
      </c>
      <c r="Q236">
        <v>12</v>
      </c>
      <c r="R236" s="7">
        <v>9.92</v>
      </c>
      <c r="S236" s="8">
        <f>Table1[[#This Row],[Discount_%]]/100</f>
        <v>9.9199999999999997E-2</v>
      </c>
      <c r="T236" s="6" t="s">
        <v>774</v>
      </c>
      <c r="U236" t="s">
        <v>991</v>
      </c>
      <c r="V236">
        <v>2024</v>
      </c>
      <c r="W236" t="s">
        <v>994</v>
      </c>
      <c r="X236" t="s">
        <v>998</v>
      </c>
      <c r="Y236" t="s">
        <v>1001</v>
      </c>
      <c r="Z236">
        <v>3</v>
      </c>
      <c r="AA236">
        <v>50</v>
      </c>
      <c r="AB236" s="4">
        <f>Table1[[#This Row],[Total_Price]]*(1-Table1[[#This Row],[Discount 2]])</f>
        <v>15621293.462400001</v>
      </c>
      <c r="AC236" s="4" t="str" cm="1">
        <f t="array" ref="AC236">_xlfn.IFS(Table1[[#This Row],[Revenue]]&gt;=30000000,"High Value",Table1[[#This Row],[Revenue]]&gt;=10000000,"Moderate Value",TRUE,"Low Value")</f>
        <v>Moderate Value</v>
      </c>
      <c r="AD236" t="str">
        <f>IF(Table1[[#This Row],[Discount 2]]&gt;=5%, "YES", "NO")</f>
        <v>YES</v>
      </c>
      <c r="AE236" t="str" cm="1">
        <f t="array" ref="AE236">_xlfn.IFS(Table1[[#This Row],[Revenue]]&gt;=30000000,"High Spender",Table1[[#This Row],[Revenue]]&gt;=10000000,"Moderate Spender",TRUE,"Low Spender")</f>
        <v>Moderate Spender</v>
      </c>
      <c r="AF236" s="4" t="str" cm="1">
        <f t="array" ref="AF236">_xlfn.IFS(Table1[[#This Row],[Land_Size_SQM]]&gt;=730,"LARGE",Table1[[#This Row],[Land_Size_SQM]]&gt;=465,"MEDIUM",TRUE,"SMALL")</f>
        <v>MEDIUM</v>
      </c>
    </row>
    <row r="237" spans="1:32" x14ac:dyDescent="0.3">
      <c r="A237" t="s">
        <v>261</v>
      </c>
      <c r="B237" t="s">
        <v>615</v>
      </c>
      <c r="C237" t="s">
        <v>627</v>
      </c>
      <c r="D237">
        <v>52</v>
      </c>
      <c r="E237" t="s">
        <v>630</v>
      </c>
      <c r="F237">
        <v>875</v>
      </c>
      <c r="G237" s="4">
        <v>9804</v>
      </c>
      <c r="H237" s="4">
        <v>8578500</v>
      </c>
      <c r="I237" t="s">
        <v>633</v>
      </c>
      <c r="J237" t="s">
        <v>668</v>
      </c>
      <c r="K237" t="s">
        <v>638</v>
      </c>
      <c r="L237" t="s">
        <v>681</v>
      </c>
      <c r="M237" t="s">
        <v>686</v>
      </c>
      <c r="N237" t="s">
        <v>692</v>
      </c>
      <c r="O237" t="s">
        <v>693</v>
      </c>
      <c r="P237" s="4">
        <v>8578500</v>
      </c>
      <c r="Q237">
        <v>0</v>
      </c>
      <c r="R237" s="7">
        <v>4.47</v>
      </c>
      <c r="S237" s="8">
        <f>Table1[[#This Row],[Discount_%]]/100</f>
        <v>4.4699999999999997E-2</v>
      </c>
      <c r="T237" s="6" t="s">
        <v>773</v>
      </c>
      <c r="U237" t="s">
        <v>984</v>
      </c>
      <c r="V237">
        <v>2024</v>
      </c>
      <c r="W237" t="s">
        <v>993</v>
      </c>
      <c r="X237" t="s">
        <v>999</v>
      </c>
      <c r="Y237" t="s">
        <v>1002</v>
      </c>
      <c r="Z237">
        <v>1</v>
      </c>
      <c r="AA237">
        <v>6</v>
      </c>
      <c r="AB237" s="4">
        <f>Table1[[#This Row],[Total_Price]]*(1-Table1[[#This Row],[Discount 2]])</f>
        <v>8195041.0500000007</v>
      </c>
      <c r="AC237" s="4" t="str" cm="1">
        <f t="array" ref="AC237">_xlfn.IFS(Table1[[#This Row],[Revenue]]&gt;=30000000,"High Value",Table1[[#This Row],[Revenue]]&gt;=10000000,"Moderate Value",TRUE,"Low Value")</f>
        <v>Low Value</v>
      </c>
      <c r="AD237" t="str">
        <f>IF(Table1[[#This Row],[Discount 2]]&gt;=5%, "YES", "NO")</f>
        <v>NO</v>
      </c>
      <c r="AE237" t="str" cm="1">
        <f t="array" ref="AE237">_xlfn.IFS(Table1[[#This Row],[Revenue]]&gt;=30000000,"High Spender",Table1[[#This Row],[Revenue]]&gt;=10000000,"Moderate Spender",TRUE,"Low Spender")</f>
        <v>Low Spender</v>
      </c>
      <c r="AF237" s="4" t="str" cm="1">
        <f t="array" ref="AF237">_xlfn.IFS(Table1[[#This Row],[Land_Size_SQM]]&gt;=730,"LARGE",Table1[[#This Row],[Land_Size_SQM]]&gt;=465,"MEDIUM",TRUE,"SMALL")</f>
        <v>LARGE</v>
      </c>
    </row>
    <row r="238" spans="1:32" x14ac:dyDescent="0.3">
      <c r="A238" t="s">
        <v>262</v>
      </c>
      <c r="B238" t="s">
        <v>529</v>
      </c>
      <c r="C238" t="s">
        <v>627</v>
      </c>
      <c r="D238">
        <v>44</v>
      </c>
      <c r="E238" t="s">
        <v>630</v>
      </c>
      <c r="F238">
        <v>645</v>
      </c>
      <c r="G238" s="4">
        <v>7776</v>
      </c>
      <c r="H238" s="4">
        <v>5015520</v>
      </c>
      <c r="I238" t="s">
        <v>632</v>
      </c>
      <c r="J238" t="s">
        <v>669</v>
      </c>
      <c r="K238" t="s">
        <v>674</v>
      </c>
      <c r="L238" t="s">
        <v>682</v>
      </c>
      <c r="M238" t="s">
        <v>686</v>
      </c>
      <c r="N238" t="s">
        <v>690</v>
      </c>
      <c r="O238" t="s">
        <v>693</v>
      </c>
      <c r="P238" s="4">
        <v>5015520</v>
      </c>
      <c r="Q238">
        <v>0</v>
      </c>
      <c r="R238" s="7">
        <v>2.63</v>
      </c>
      <c r="S238" s="8">
        <f>Table1[[#This Row],[Discount_%]]/100</f>
        <v>2.63E-2</v>
      </c>
      <c r="T238" s="6" t="s">
        <v>870</v>
      </c>
      <c r="U238" t="s">
        <v>991</v>
      </c>
      <c r="V238">
        <v>2024</v>
      </c>
      <c r="W238" t="s">
        <v>993</v>
      </c>
      <c r="X238" t="s">
        <v>999</v>
      </c>
      <c r="Y238" t="s">
        <v>1001</v>
      </c>
      <c r="Z238">
        <v>4</v>
      </c>
      <c r="AA238">
        <v>29</v>
      </c>
      <c r="AB238" s="4">
        <f>Table1[[#This Row],[Total_Price]]*(1-Table1[[#This Row],[Discount 2]])</f>
        <v>4883611.824</v>
      </c>
      <c r="AC238" s="4" t="str" cm="1">
        <f t="array" ref="AC238">_xlfn.IFS(Table1[[#This Row],[Revenue]]&gt;=30000000,"High Value",Table1[[#This Row],[Revenue]]&gt;=10000000,"Moderate Value",TRUE,"Low Value")</f>
        <v>Low Value</v>
      </c>
      <c r="AD238" t="str">
        <f>IF(Table1[[#This Row],[Discount 2]]&gt;=5%, "YES", "NO")</f>
        <v>NO</v>
      </c>
      <c r="AE238" t="str" cm="1">
        <f t="array" ref="AE238">_xlfn.IFS(Table1[[#This Row],[Revenue]]&gt;=30000000,"High Spender",Table1[[#This Row],[Revenue]]&gt;=10000000,"Moderate Spender",TRUE,"Low Spender")</f>
        <v>Low Spender</v>
      </c>
      <c r="AF238" s="4" t="str" cm="1">
        <f t="array" ref="AF238">_xlfn.IFS(Table1[[#This Row],[Land_Size_SQM]]&gt;=730,"LARGE",Table1[[#This Row],[Land_Size_SQM]]&gt;=465,"MEDIUM",TRUE,"SMALL")</f>
        <v>MEDIUM</v>
      </c>
    </row>
    <row r="239" spans="1:32" x14ac:dyDescent="0.3">
      <c r="A239" t="s">
        <v>263</v>
      </c>
      <c r="B239" t="s">
        <v>570</v>
      </c>
      <c r="C239" t="s">
        <v>627</v>
      </c>
      <c r="D239">
        <v>63</v>
      </c>
      <c r="E239" t="s">
        <v>628</v>
      </c>
      <c r="F239">
        <v>492</v>
      </c>
      <c r="G239" s="4">
        <v>14762</v>
      </c>
      <c r="H239" s="4">
        <v>7262904</v>
      </c>
      <c r="I239" t="s">
        <v>641</v>
      </c>
      <c r="J239" t="s">
        <v>673</v>
      </c>
      <c r="K239" t="s">
        <v>675</v>
      </c>
      <c r="L239" t="s">
        <v>681</v>
      </c>
      <c r="M239" t="s">
        <v>683</v>
      </c>
      <c r="N239" t="s">
        <v>689</v>
      </c>
      <c r="O239" t="s">
        <v>693</v>
      </c>
      <c r="P239" s="4">
        <v>7262904</v>
      </c>
      <c r="Q239">
        <v>0</v>
      </c>
      <c r="R239" s="7">
        <v>7.84</v>
      </c>
      <c r="S239" s="8">
        <f>Table1[[#This Row],[Discount_%]]/100</f>
        <v>7.8399999999999997E-2</v>
      </c>
      <c r="T239" s="6" t="s">
        <v>759</v>
      </c>
      <c r="U239" t="s">
        <v>986</v>
      </c>
      <c r="V239">
        <v>2024</v>
      </c>
      <c r="W239" t="s">
        <v>996</v>
      </c>
      <c r="X239" t="s">
        <v>999</v>
      </c>
      <c r="Y239" t="s">
        <v>1002</v>
      </c>
      <c r="Z239">
        <v>4</v>
      </c>
      <c r="AA239">
        <v>23</v>
      </c>
      <c r="AB239" s="4">
        <f>Table1[[#This Row],[Total_Price]]*(1-Table1[[#This Row],[Discount 2]])</f>
        <v>6693492.3263999997</v>
      </c>
      <c r="AC239" s="4" t="str" cm="1">
        <f t="array" ref="AC239">_xlfn.IFS(Table1[[#This Row],[Revenue]]&gt;=30000000,"High Value",Table1[[#This Row],[Revenue]]&gt;=10000000,"Moderate Value",TRUE,"Low Value")</f>
        <v>Low Value</v>
      </c>
      <c r="AD239" t="str">
        <f>IF(Table1[[#This Row],[Discount 2]]&gt;=5%, "YES", "NO")</f>
        <v>YES</v>
      </c>
      <c r="AE239" t="str" cm="1">
        <f t="array" ref="AE239">_xlfn.IFS(Table1[[#This Row],[Revenue]]&gt;=30000000,"High Spender",Table1[[#This Row],[Revenue]]&gt;=10000000,"Moderate Spender",TRUE,"Low Spender")</f>
        <v>Low Spender</v>
      </c>
      <c r="AF239" s="4" t="str" cm="1">
        <f t="array" ref="AF239">_xlfn.IFS(Table1[[#This Row],[Land_Size_SQM]]&gt;=730,"LARGE",Table1[[#This Row],[Land_Size_SQM]]&gt;=465,"MEDIUM",TRUE,"SMALL")</f>
        <v>MEDIUM</v>
      </c>
    </row>
    <row r="240" spans="1:32" x14ac:dyDescent="0.3">
      <c r="A240" t="s">
        <v>264</v>
      </c>
      <c r="B240" t="s">
        <v>540</v>
      </c>
      <c r="C240" t="s">
        <v>626</v>
      </c>
      <c r="D240">
        <v>55</v>
      </c>
      <c r="E240" t="s">
        <v>629</v>
      </c>
      <c r="F240">
        <v>800</v>
      </c>
      <c r="G240" s="4">
        <v>15127</v>
      </c>
      <c r="H240" s="4">
        <v>12101600</v>
      </c>
      <c r="I240" t="s">
        <v>633</v>
      </c>
      <c r="J240" t="s">
        <v>668</v>
      </c>
      <c r="K240" t="s">
        <v>640</v>
      </c>
      <c r="L240" t="s">
        <v>681</v>
      </c>
      <c r="M240" t="s">
        <v>687</v>
      </c>
      <c r="N240" t="s">
        <v>690</v>
      </c>
      <c r="O240" t="s">
        <v>693</v>
      </c>
      <c r="P240" s="4">
        <v>12101600</v>
      </c>
      <c r="Q240">
        <v>0</v>
      </c>
      <c r="R240" s="7">
        <v>7.37</v>
      </c>
      <c r="S240" s="8">
        <f>Table1[[#This Row],[Discount_%]]/100</f>
        <v>7.3700000000000002E-2</v>
      </c>
      <c r="T240" s="6" t="s">
        <v>871</v>
      </c>
      <c r="U240" t="s">
        <v>981</v>
      </c>
      <c r="V240">
        <v>2024</v>
      </c>
      <c r="W240" t="s">
        <v>996</v>
      </c>
      <c r="X240" t="s">
        <v>997</v>
      </c>
      <c r="Y240" t="s">
        <v>1000</v>
      </c>
      <c r="Z240">
        <v>4</v>
      </c>
      <c r="AA240">
        <v>26</v>
      </c>
      <c r="AB240" s="4">
        <f>Table1[[#This Row],[Total_Price]]*(1-Table1[[#This Row],[Discount 2]])</f>
        <v>11209712.08</v>
      </c>
      <c r="AC240" s="4" t="str" cm="1">
        <f t="array" ref="AC240">_xlfn.IFS(Table1[[#This Row],[Revenue]]&gt;=30000000,"High Value",Table1[[#This Row],[Revenue]]&gt;=10000000,"Moderate Value",TRUE,"Low Value")</f>
        <v>Moderate Value</v>
      </c>
      <c r="AD240" t="str">
        <f>IF(Table1[[#This Row],[Discount 2]]&gt;=5%, "YES", "NO")</f>
        <v>YES</v>
      </c>
      <c r="AE240" t="str" cm="1">
        <f t="array" ref="AE240">_xlfn.IFS(Table1[[#This Row],[Revenue]]&gt;=30000000,"High Spender",Table1[[#This Row],[Revenue]]&gt;=10000000,"Moderate Spender",TRUE,"Low Spender")</f>
        <v>Moderate Spender</v>
      </c>
      <c r="AF240" s="4" t="str" cm="1">
        <f t="array" ref="AF240">_xlfn.IFS(Table1[[#This Row],[Land_Size_SQM]]&gt;=730,"LARGE",Table1[[#This Row],[Land_Size_SQM]]&gt;=465,"MEDIUM",TRUE,"SMALL")</f>
        <v>LARGE</v>
      </c>
    </row>
    <row r="241" spans="1:32" x14ac:dyDescent="0.3">
      <c r="A241" t="s">
        <v>265</v>
      </c>
      <c r="B241" t="s">
        <v>532</v>
      </c>
      <c r="C241" t="s">
        <v>627</v>
      </c>
      <c r="D241">
        <v>52</v>
      </c>
      <c r="E241" t="s">
        <v>630</v>
      </c>
      <c r="F241">
        <v>379</v>
      </c>
      <c r="G241" s="4">
        <v>28681</v>
      </c>
      <c r="H241" s="4">
        <v>10870099</v>
      </c>
      <c r="I241" t="s">
        <v>638</v>
      </c>
      <c r="J241" t="s">
        <v>672</v>
      </c>
      <c r="K241" t="s">
        <v>677</v>
      </c>
      <c r="L241" t="s">
        <v>682</v>
      </c>
      <c r="M241" t="s">
        <v>686</v>
      </c>
      <c r="N241" t="s">
        <v>690</v>
      </c>
      <c r="O241" t="s">
        <v>693</v>
      </c>
      <c r="P241" s="4">
        <v>10870099</v>
      </c>
      <c r="Q241">
        <v>0</v>
      </c>
      <c r="R241" s="7">
        <v>5.59</v>
      </c>
      <c r="S241" s="8">
        <f>Table1[[#This Row],[Discount_%]]/100</f>
        <v>5.5899999999999998E-2</v>
      </c>
      <c r="T241" s="6" t="s">
        <v>872</v>
      </c>
      <c r="U241" t="s">
        <v>986</v>
      </c>
      <c r="V241">
        <v>2024</v>
      </c>
      <c r="W241" t="s">
        <v>995</v>
      </c>
      <c r="X241" t="s">
        <v>998</v>
      </c>
      <c r="Y241" t="s">
        <v>1001</v>
      </c>
      <c r="Z241">
        <v>4</v>
      </c>
      <c r="AA241">
        <v>50</v>
      </c>
      <c r="AB241" s="4">
        <f>Table1[[#This Row],[Total_Price]]*(1-Table1[[#This Row],[Discount 2]])</f>
        <v>10262460.4659</v>
      </c>
      <c r="AC241" s="4" t="str" cm="1">
        <f t="array" ref="AC241">_xlfn.IFS(Table1[[#This Row],[Revenue]]&gt;=30000000,"High Value",Table1[[#This Row],[Revenue]]&gt;=10000000,"Moderate Value",TRUE,"Low Value")</f>
        <v>Moderate Value</v>
      </c>
      <c r="AD241" t="str">
        <f>IF(Table1[[#This Row],[Discount 2]]&gt;=5%, "YES", "NO")</f>
        <v>YES</v>
      </c>
      <c r="AE241" t="str" cm="1">
        <f t="array" ref="AE241">_xlfn.IFS(Table1[[#This Row],[Revenue]]&gt;=30000000,"High Spender",Table1[[#This Row],[Revenue]]&gt;=10000000,"Moderate Spender",TRUE,"Low Spender")</f>
        <v>Moderate Spender</v>
      </c>
      <c r="AF241" s="4" t="str" cm="1">
        <f t="array" ref="AF241">_xlfn.IFS(Table1[[#This Row],[Land_Size_SQM]]&gt;=730,"LARGE",Table1[[#This Row],[Land_Size_SQM]]&gt;=465,"MEDIUM",TRUE,"SMALL")</f>
        <v>SMALL</v>
      </c>
    </row>
    <row r="242" spans="1:32" x14ac:dyDescent="0.3">
      <c r="A242" t="s">
        <v>266</v>
      </c>
      <c r="B242" t="s">
        <v>541</v>
      </c>
      <c r="C242" t="s">
        <v>627</v>
      </c>
      <c r="D242">
        <v>63</v>
      </c>
      <c r="E242" t="s">
        <v>629</v>
      </c>
      <c r="F242">
        <v>897</v>
      </c>
      <c r="G242" s="4">
        <v>32193</v>
      </c>
      <c r="H242" s="4">
        <v>28877121</v>
      </c>
      <c r="I242" t="s">
        <v>651</v>
      </c>
      <c r="J242" t="s">
        <v>669</v>
      </c>
      <c r="K242" t="s">
        <v>678</v>
      </c>
      <c r="L242" t="s">
        <v>680</v>
      </c>
      <c r="M242" t="s">
        <v>687</v>
      </c>
      <c r="N242" t="s">
        <v>691</v>
      </c>
      <c r="O242" t="s">
        <v>693</v>
      </c>
      <c r="P242" s="4">
        <v>28877121</v>
      </c>
      <c r="Q242">
        <v>0</v>
      </c>
      <c r="R242" s="7">
        <v>4.82</v>
      </c>
      <c r="S242" s="8">
        <f>Table1[[#This Row],[Discount_%]]/100</f>
        <v>4.82E-2</v>
      </c>
      <c r="T242" s="6" t="s">
        <v>873</v>
      </c>
      <c r="U242" t="s">
        <v>992</v>
      </c>
      <c r="V242">
        <v>2024</v>
      </c>
      <c r="W242" t="s">
        <v>994</v>
      </c>
      <c r="X242" t="s">
        <v>997</v>
      </c>
      <c r="Y242" t="s">
        <v>1001</v>
      </c>
      <c r="Z242">
        <v>1</v>
      </c>
      <c r="AA242">
        <v>45</v>
      </c>
      <c r="AB242" s="4">
        <f>Table1[[#This Row],[Total_Price]]*(1-Table1[[#This Row],[Discount 2]])</f>
        <v>27485243.7678</v>
      </c>
      <c r="AC242" s="4" t="str" cm="1">
        <f t="array" ref="AC242">_xlfn.IFS(Table1[[#This Row],[Revenue]]&gt;=30000000,"High Value",Table1[[#This Row],[Revenue]]&gt;=10000000,"Moderate Value",TRUE,"Low Value")</f>
        <v>Moderate Value</v>
      </c>
      <c r="AD242" t="str">
        <f>IF(Table1[[#This Row],[Discount 2]]&gt;=5%, "YES", "NO")</f>
        <v>NO</v>
      </c>
      <c r="AE242" t="str" cm="1">
        <f t="array" ref="AE242">_xlfn.IFS(Table1[[#This Row],[Revenue]]&gt;=30000000,"High Spender",Table1[[#This Row],[Revenue]]&gt;=10000000,"Moderate Spender",TRUE,"Low Spender")</f>
        <v>Moderate Spender</v>
      </c>
      <c r="AF242" s="4" t="str" cm="1">
        <f t="array" ref="AF242">_xlfn.IFS(Table1[[#This Row],[Land_Size_SQM]]&gt;=730,"LARGE",Table1[[#This Row],[Land_Size_SQM]]&gt;=465,"MEDIUM",TRUE,"SMALL")</f>
        <v>LARGE</v>
      </c>
    </row>
    <row r="243" spans="1:32" x14ac:dyDescent="0.3">
      <c r="A243" t="s">
        <v>267</v>
      </c>
      <c r="B243" t="s">
        <v>530</v>
      </c>
      <c r="C243" t="s">
        <v>626</v>
      </c>
      <c r="D243">
        <v>31</v>
      </c>
      <c r="E243" t="s">
        <v>629</v>
      </c>
      <c r="F243">
        <v>295</v>
      </c>
      <c r="G243" s="4">
        <v>28144</v>
      </c>
      <c r="H243" s="4">
        <v>8302480</v>
      </c>
      <c r="I243" t="s">
        <v>648</v>
      </c>
      <c r="J243" t="s">
        <v>671</v>
      </c>
      <c r="K243" t="s">
        <v>677</v>
      </c>
      <c r="L243" t="s">
        <v>682</v>
      </c>
      <c r="M243" t="s">
        <v>683</v>
      </c>
      <c r="N243" t="s">
        <v>691</v>
      </c>
      <c r="O243" t="s">
        <v>694</v>
      </c>
      <c r="P243" s="4">
        <v>3041742</v>
      </c>
      <c r="Q243">
        <v>3</v>
      </c>
      <c r="R243" s="7">
        <v>1.78</v>
      </c>
      <c r="S243" s="8">
        <f>Table1[[#This Row],[Discount_%]]/100</f>
        <v>1.78E-2</v>
      </c>
      <c r="T243" s="6" t="s">
        <v>874</v>
      </c>
      <c r="U243" t="s">
        <v>982</v>
      </c>
      <c r="V243">
        <v>2024</v>
      </c>
      <c r="W243" t="s">
        <v>996</v>
      </c>
      <c r="X243" t="s">
        <v>999</v>
      </c>
      <c r="Y243" t="s">
        <v>1001</v>
      </c>
      <c r="Z243">
        <v>2</v>
      </c>
      <c r="AA243">
        <v>17</v>
      </c>
      <c r="AB243" s="4">
        <f>Table1[[#This Row],[Total_Price]]*(1-Table1[[#This Row],[Discount 2]])</f>
        <v>8154695.8559999997</v>
      </c>
      <c r="AC243" s="4" t="str" cm="1">
        <f t="array" ref="AC243">_xlfn.IFS(Table1[[#This Row],[Revenue]]&gt;=30000000,"High Value",Table1[[#This Row],[Revenue]]&gt;=10000000,"Moderate Value",TRUE,"Low Value")</f>
        <v>Low Value</v>
      </c>
      <c r="AD243" t="str">
        <f>IF(Table1[[#This Row],[Discount 2]]&gt;=5%, "YES", "NO")</f>
        <v>NO</v>
      </c>
      <c r="AE243" t="str" cm="1">
        <f t="array" ref="AE243">_xlfn.IFS(Table1[[#This Row],[Revenue]]&gt;=30000000,"High Spender",Table1[[#This Row],[Revenue]]&gt;=10000000,"Moderate Spender",TRUE,"Low Spender")</f>
        <v>Low Spender</v>
      </c>
      <c r="AF243" s="4" t="str" cm="1">
        <f t="array" ref="AF243">_xlfn.IFS(Table1[[#This Row],[Land_Size_SQM]]&gt;=730,"LARGE",Table1[[#This Row],[Land_Size_SQM]]&gt;=465,"MEDIUM",TRUE,"SMALL")</f>
        <v>SMALL</v>
      </c>
    </row>
    <row r="244" spans="1:32" x14ac:dyDescent="0.3">
      <c r="A244" t="s">
        <v>268</v>
      </c>
      <c r="B244" t="s">
        <v>596</v>
      </c>
      <c r="C244" t="s">
        <v>627</v>
      </c>
      <c r="D244">
        <v>54</v>
      </c>
      <c r="E244" t="s">
        <v>628</v>
      </c>
      <c r="F244">
        <v>455</v>
      </c>
      <c r="G244" s="4">
        <v>42540</v>
      </c>
      <c r="H244" s="4">
        <v>19355700</v>
      </c>
      <c r="I244" t="s">
        <v>654</v>
      </c>
      <c r="J244" t="s">
        <v>669</v>
      </c>
      <c r="K244" t="s">
        <v>679</v>
      </c>
      <c r="L244" t="s">
        <v>681</v>
      </c>
      <c r="M244" t="s">
        <v>687</v>
      </c>
      <c r="N244" t="s">
        <v>692</v>
      </c>
      <c r="O244" t="s">
        <v>694</v>
      </c>
      <c r="P244" s="4">
        <v>8394210</v>
      </c>
      <c r="Q244">
        <v>6</v>
      </c>
      <c r="R244" s="7">
        <v>1.2</v>
      </c>
      <c r="S244" s="8">
        <f>Table1[[#This Row],[Discount_%]]/100</f>
        <v>1.2E-2</v>
      </c>
      <c r="T244" s="6" t="s">
        <v>770</v>
      </c>
      <c r="U244" t="s">
        <v>981</v>
      </c>
      <c r="V244">
        <v>2024</v>
      </c>
      <c r="W244" t="s">
        <v>994</v>
      </c>
      <c r="X244" t="s">
        <v>998</v>
      </c>
      <c r="Y244" t="s">
        <v>1001</v>
      </c>
      <c r="Z244">
        <v>3</v>
      </c>
      <c r="AA244">
        <v>32</v>
      </c>
      <c r="AB244" s="4">
        <f>Table1[[#This Row],[Total_Price]]*(1-Table1[[#This Row],[Discount 2]])</f>
        <v>19123431.600000001</v>
      </c>
      <c r="AC244" s="4" t="str" cm="1">
        <f t="array" ref="AC244">_xlfn.IFS(Table1[[#This Row],[Revenue]]&gt;=30000000,"High Value",Table1[[#This Row],[Revenue]]&gt;=10000000,"Moderate Value",TRUE,"Low Value")</f>
        <v>Moderate Value</v>
      </c>
      <c r="AD244" t="str">
        <f>IF(Table1[[#This Row],[Discount 2]]&gt;=5%, "YES", "NO")</f>
        <v>NO</v>
      </c>
      <c r="AE244" t="str" cm="1">
        <f t="array" ref="AE244">_xlfn.IFS(Table1[[#This Row],[Revenue]]&gt;=30000000,"High Spender",Table1[[#This Row],[Revenue]]&gt;=10000000,"Moderate Spender",TRUE,"Low Spender")</f>
        <v>Moderate Spender</v>
      </c>
      <c r="AF244" s="4" t="str" cm="1">
        <f t="array" ref="AF244">_xlfn.IFS(Table1[[#This Row],[Land_Size_SQM]]&gt;=730,"LARGE",Table1[[#This Row],[Land_Size_SQM]]&gt;=465,"MEDIUM",TRUE,"SMALL")</f>
        <v>SMALL</v>
      </c>
    </row>
    <row r="245" spans="1:32" x14ac:dyDescent="0.3">
      <c r="A245" t="s">
        <v>269</v>
      </c>
      <c r="B245" t="s">
        <v>580</v>
      </c>
      <c r="C245" t="s">
        <v>627</v>
      </c>
      <c r="D245">
        <v>52</v>
      </c>
      <c r="E245" t="s">
        <v>630</v>
      </c>
      <c r="F245">
        <v>607</v>
      </c>
      <c r="G245" s="4">
        <v>16555</v>
      </c>
      <c r="H245" s="4">
        <v>10048885</v>
      </c>
      <c r="I245" t="s">
        <v>656</v>
      </c>
      <c r="J245" t="s">
        <v>669</v>
      </c>
      <c r="K245" t="s">
        <v>677</v>
      </c>
      <c r="L245" t="s">
        <v>681</v>
      </c>
      <c r="M245" t="s">
        <v>683</v>
      </c>
      <c r="N245" t="s">
        <v>691</v>
      </c>
      <c r="O245" t="s">
        <v>693</v>
      </c>
      <c r="P245" s="4">
        <v>10048885</v>
      </c>
      <c r="Q245">
        <v>0</v>
      </c>
      <c r="R245" s="7">
        <v>0.54</v>
      </c>
      <c r="S245" s="8">
        <f>Table1[[#This Row],[Discount_%]]/100</f>
        <v>5.4000000000000003E-3</v>
      </c>
      <c r="T245" s="6" t="s">
        <v>807</v>
      </c>
      <c r="U245" t="s">
        <v>989</v>
      </c>
      <c r="V245">
        <v>2024</v>
      </c>
      <c r="W245" t="s">
        <v>993</v>
      </c>
      <c r="X245" t="s">
        <v>997</v>
      </c>
      <c r="Y245" t="s">
        <v>1001</v>
      </c>
      <c r="Z245">
        <v>4</v>
      </c>
      <c r="AA245">
        <v>21</v>
      </c>
      <c r="AB245" s="4">
        <f>Table1[[#This Row],[Total_Price]]*(1-Table1[[#This Row],[Discount 2]])</f>
        <v>9994621.0209999997</v>
      </c>
      <c r="AC245" s="4" t="str" cm="1">
        <f t="array" ref="AC245">_xlfn.IFS(Table1[[#This Row],[Revenue]]&gt;=30000000,"High Value",Table1[[#This Row],[Revenue]]&gt;=10000000,"Moderate Value",TRUE,"Low Value")</f>
        <v>Low Value</v>
      </c>
      <c r="AD245" t="str">
        <f>IF(Table1[[#This Row],[Discount 2]]&gt;=5%, "YES", "NO")</f>
        <v>NO</v>
      </c>
      <c r="AE245" t="str" cm="1">
        <f t="array" ref="AE245">_xlfn.IFS(Table1[[#This Row],[Revenue]]&gt;=30000000,"High Spender",Table1[[#This Row],[Revenue]]&gt;=10000000,"Moderate Spender",TRUE,"Low Spender")</f>
        <v>Low Spender</v>
      </c>
      <c r="AF245" s="4" t="str" cm="1">
        <f t="array" ref="AF245">_xlfn.IFS(Table1[[#This Row],[Land_Size_SQM]]&gt;=730,"LARGE",Table1[[#This Row],[Land_Size_SQM]]&gt;=465,"MEDIUM",TRUE,"SMALL")</f>
        <v>MEDIUM</v>
      </c>
    </row>
    <row r="246" spans="1:32" x14ac:dyDescent="0.3">
      <c r="A246" t="s">
        <v>270</v>
      </c>
      <c r="B246" t="s">
        <v>567</v>
      </c>
      <c r="C246" t="s">
        <v>626</v>
      </c>
      <c r="D246">
        <v>35</v>
      </c>
      <c r="E246" t="s">
        <v>630</v>
      </c>
      <c r="F246">
        <v>890</v>
      </c>
      <c r="G246" s="4">
        <v>15811</v>
      </c>
      <c r="H246" s="4">
        <v>14071790</v>
      </c>
      <c r="I246" t="s">
        <v>631</v>
      </c>
      <c r="J246" t="s">
        <v>668</v>
      </c>
      <c r="K246" t="s">
        <v>664</v>
      </c>
      <c r="L246" t="s">
        <v>681</v>
      </c>
      <c r="M246" t="s">
        <v>686</v>
      </c>
      <c r="N246" t="s">
        <v>690</v>
      </c>
      <c r="O246" t="s">
        <v>694</v>
      </c>
      <c r="P246" s="4">
        <v>4188199</v>
      </c>
      <c r="Q246">
        <v>3</v>
      </c>
      <c r="R246" s="7">
        <v>6.13</v>
      </c>
      <c r="S246" s="8">
        <f>Table1[[#This Row],[Discount_%]]/100</f>
        <v>6.13E-2</v>
      </c>
      <c r="T246" s="6" t="s">
        <v>873</v>
      </c>
      <c r="U246" t="s">
        <v>992</v>
      </c>
      <c r="V246">
        <v>2024</v>
      </c>
      <c r="W246" t="s">
        <v>994</v>
      </c>
      <c r="X246" t="s">
        <v>999</v>
      </c>
      <c r="Y246" t="s">
        <v>1002</v>
      </c>
      <c r="Z246">
        <v>4</v>
      </c>
      <c r="AA246">
        <v>14</v>
      </c>
      <c r="AB246" s="4">
        <f>Table1[[#This Row],[Total_Price]]*(1-Table1[[#This Row],[Discount 2]])</f>
        <v>13209189.273</v>
      </c>
      <c r="AC246" s="4" t="str" cm="1">
        <f t="array" ref="AC246">_xlfn.IFS(Table1[[#This Row],[Revenue]]&gt;=30000000,"High Value",Table1[[#This Row],[Revenue]]&gt;=10000000,"Moderate Value",TRUE,"Low Value")</f>
        <v>Moderate Value</v>
      </c>
      <c r="AD246" t="str">
        <f>IF(Table1[[#This Row],[Discount 2]]&gt;=5%, "YES", "NO")</f>
        <v>YES</v>
      </c>
      <c r="AE246" t="str" cm="1">
        <f t="array" ref="AE246">_xlfn.IFS(Table1[[#This Row],[Revenue]]&gt;=30000000,"High Spender",Table1[[#This Row],[Revenue]]&gt;=10000000,"Moderate Spender",TRUE,"Low Spender")</f>
        <v>Moderate Spender</v>
      </c>
      <c r="AF246" s="4" t="str" cm="1">
        <f t="array" ref="AF246">_xlfn.IFS(Table1[[#This Row],[Land_Size_SQM]]&gt;=730,"LARGE",Table1[[#This Row],[Land_Size_SQM]]&gt;=465,"MEDIUM",TRUE,"SMALL")</f>
        <v>LARGE</v>
      </c>
    </row>
    <row r="247" spans="1:32" x14ac:dyDescent="0.3">
      <c r="A247" t="s">
        <v>271</v>
      </c>
      <c r="B247" t="s">
        <v>616</v>
      </c>
      <c r="C247" t="s">
        <v>626</v>
      </c>
      <c r="D247">
        <v>35</v>
      </c>
      <c r="E247" t="s">
        <v>629</v>
      </c>
      <c r="F247">
        <v>573</v>
      </c>
      <c r="G247" s="4">
        <v>28253</v>
      </c>
      <c r="H247" s="4">
        <v>16188969</v>
      </c>
      <c r="I247" t="s">
        <v>634</v>
      </c>
      <c r="J247" t="s">
        <v>670</v>
      </c>
      <c r="K247" t="s">
        <v>651</v>
      </c>
      <c r="L247" t="s">
        <v>681</v>
      </c>
      <c r="M247" t="s">
        <v>684</v>
      </c>
      <c r="N247" t="s">
        <v>688</v>
      </c>
      <c r="O247" t="s">
        <v>694</v>
      </c>
      <c r="P247" s="4">
        <v>4111460</v>
      </c>
      <c r="Q247">
        <v>24</v>
      </c>
      <c r="R247" s="7">
        <v>1.31</v>
      </c>
      <c r="S247" s="8">
        <f>Table1[[#This Row],[Discount_%]]/100</f>
        <v>1.3100000000000001E-2</v>
      </c>
      <c r="T247" s="6" t="s">
        <v>875</v>
      </c>
      <c r="U247" t="s">
        <v>985</v>
      </c>
      <c r="V247">
        <v>2024</v>
      </c>
      <c r="W247" t="s">
        <v>996</v>
      </c>
      <c r="X247" t="s">
        <v>997</v>
      </c>
      <c r="Y247" t="s">
        <v>1000</v>
      </c>
      <c r="Z247">
        <v>4</v>
      </c>
      <c r="AA247">
        <v>1</v>
      </c>
      <c r="AB247" s="4">
        <f>Table1[[#This Row],[Total_Price]]*(1-Table1[[#This Row],[Discount 2]])</f>
        <v>15976893.506100001</v>
      </c>
      <c r="AC247" s="4" t="str" cm="1">
        <f t="array" ref="AC247">_xlfn.IFS(Table1[[#This Row],[Revenue]]&gt;=30000000,"High Value",Table1[[#This Row],[Revenue]]&gt;=10000000,"Moderate Value",TRUE,"Low Value")</f>
        <v>Moderate Value</v>
      </c>
      <c r="AD247" t="str">
        <f>IF(Table1[[#This Row],[Discount 2]]&gt;=5%, "YES", "NO")</f>
        <v>NO</v>
      </c>
      <c r="AE247" t="str" cm="1">
        <f t="array" ref="AE247">_xlfn.IFS(Table1[[#This Row],[Revenue]]&gt;=30000000,"High Spender",Table1[[#This Row],[Revenue]]&gt;=10000000,"Moderate Spender",TRUE,"Low Spender")</f>
        <v>Moderate Spender</v>
      </c>
      <c r="AF247" s="4" t="str" cm="1">
        <f t="array" ref="AF247">_xlfn.IFS(Table1[[#This Row],[Land_Size_SQM]]&gt;=730,"LARGE",Table1[[#This Row],[Land_Size_SQM]]&gt;=465,"MEDIUM",TRUE,"SMALL")</f>
        <v>MEDIUM</v>
      </c>
    </row>
    <row r="248" spans="1:32" x14ac:dyDescent="0.3">
      <c r="A248" t="s">
        <v>272</v>
      </c>
      <c r="B248" t="s">
        <v>576</v>
      </c>
      <c r="C248" t="s">
        <v>627</v>
      </c>
      <c r="D248">
        <v>64</v>
      </c>
      <c r="E248" t="s">
        <v>628</v>
      </c>
      <c r="F248">
        <v>337</v>
      </c>
      <c r="G248" s="4">
        <v>43330</v>
      </c>
      <c r="H248" s="4">
        <v>14602210</v>
      </c>
      <c r="I248" t="s">
        <v>632</v>
      </c>
      <c r="J248" t="s">
        <v>669</v>
      </c>
      <c r="K248" t="s">
        <v>678</v>
      </c>
      <c r="L248" t="s">
        <v>680</v>
      </c>
      <c r="M248" t="s">
        <v>683</v>
      </c>
      <c r="N248" t="s">
        <v>690</v>
      </c>
      <c r="O248" t="s">
        <v>694</v>
      </c>
      <c r="P248" s="4">
        <v>4234791</v>
      </c>
      <c r="Q248">
        <v>24</v>
      </c>
      <c r="R248" s="7">
        <v>5.62</v>
      </c>
      <c r="S248" s="8">
        <f>Table1[[#This Row],[Discount_%]]/100</f>
        <v>5.62E-2</v>
      </c>
      <c r="T248" s="6" t="s">
        <v>699</v>
      </c>
      <c r="U248" t="s">
        <v>985</v>
      </c>
      <c r="V248">
        <v>2024</v>
      </c>
      <c r="W248" t="s">
        <v>995</v>
      </c>
      <c r="X248" t="s">
        <v>997</v>
      </c>
      <c r="Y248" t="s">
        <v>1000</v>
      </c>
      <c r="Z248">
        <v>4</v>
      </c>
      <c r="AA248">
        <v>48</v>
      </c>
      <c r="AB248" s="4">
        <f>Table1[[#This Row],[Total_Price]]*(1-Table1[[#This Row],[Discount 2]])</f>
        <v>13781565.798</v>
      </c>
      <c r="AC248" s="4" t="str" cm="1">
        <f t="array" ref="AC248">_xlfn.IFS(Table1[[#This Row],[Revenue]]&gt;=30000000,"High Value",Table1[[#This Row],[Revenue]]&gt;=10000000,"Moderate Value",TRUE,"Low Value")</f>
        <v>Moderate Value</v>
      </c>
      <c r="AD248" t="str">
        <f>IF(Table1[[#This Row],[Discount 2]]&gt;=5%, "YES", "NO")</f>
        <v>YES</v>
      </c>
      <c r="AE248" t="str" cm="1">
        <f t="array" ref="AE248">_xlfn.IFS(Table1[[#This Row],[Revenue]]&gt;=30000000,"High Spender",Table1[[#This Row],[Revenue]]&gt;=10000000,"Moderate Spender",TRUE,"Low Spender")</f>
        <v>Moderate Spender</v>
      </c>
      <c r="AF248" s="4" t="str" cm="1">
        <f t="array" ref="AF248">_xlfn.IFS(Table1[[#This Row],[Land_Size_SQM]]&gt;=730,"LARGE",Table1[[#This Row],[Land_Size_SQM]]&gt;=465,"MEDIUM",TRUE,"SMALL")</f>
        <v>SMALL</v>
      </c>
    </row>
    <row r="249" spans="1:32" x14ac:dyDescent="0.3">
      <c r="A249" t="s">
        <v>273</v>
      </c>
      <c r="B249" t="s">
        <v>550</v>
      </c>
      <c r="C249" t="s">
        <v>627</v>
      </c>
      <c r="D249">
        <v>38</v>
      </c>
      <c r="E249" t="s">
        <v>630</v>
      </c>
      <c r="F249">
        <v>568</v>
      </c>
      <c r="G249" s="4">
        <v>38723</v>
      </c>
      <c r="H249" s="4">
        <v>21994664</v>
      </c>
      <c r="I249" t="s">
        <v>657</v>
      </c>
      <c r="J249" t="s">
        <v>671</v>
      </c>
      <c r="K249" t="s">
        <v>651</v>
      </c>
      <c r="L249" t="s">
        <v>681</v>
      </c>
      <c r="M249" t="s">
        <v>686</v>
      </c>
      <c r="N249" t="s">
        <v>691</v>
      </c>
      <c r="O249" t="s">
        <v>694</v>
      </c>
      <c r="P249" s="4">
        <v>4529814</v>
      </c>
      <c r="Q249">
        <v>12</v>
      </c>
      <c r="R249" s="7">
        <v>1.21</v>
      </c>
      <c r="S249" s="8">
        <f>Table1[[#This Row],[Discount_%]]/100</f>
        <v>1.21E-2</v>
      </c>
      <c r="T249" s="6" t="s">
        <v>876</v>
      </c>
      <c r="U249" t="s">
        <v>984</v>
      </c>
      <c r="V249">
        <v>2024</v>
      </c>
      <c r="W249" t="s">
        <v>995</v>
      </c>
      <c r="X249" t="s">
        <v>999</v>
      </c>
      <c r="Y249" t="s">
        <v>1002</v>
      </c>
      <c r="Z249">
        <v>5</v>
      </c>
      <c r="AA249">
        <v>19</v>
      </c>
      <c r="AB249" s="4">
        <f>Table1[[#This Row],[Total_Price]]*(1-Table1[[#This Row],[Discount 2]])</f>
        <v>21728528.5656</v>
      </c>
      <c r="AC249" s="4" t="str" cm="1">
        <f t="array" ref="AC249">_xlfn.IFS(Table1[[#This Row],[Revenue]]&gt;=30000000,"High Value",Table1[[#This Row],[Revenue]]&gt;=10000000,"Moderate Value",TRUE,"Low Value")</f>
        <v>Moderate Value</v>
      </c>
      <c r="AD249" t="str">
        <f>IF(Table1[[#This Row],[Discount 2]]&gt;=5%, "YES", "NO")</f>
        <v>NO</v>
      </c>
      <c r="AE249" t="str" cm="1">
        <f t="array" ref="AE249">_xlfn.IFS(Table1[[#This Row],[Revenue]]&gt;=30000000,"High Spender",Table1[[#This Row],[Revenue]]&gt;=10000000,"Moderate Spender",TRUE,"Low Spender")</f>
        <v>Moderate Spender</v>
      </c>
      <c r="AF249" s="4" t="str" cm="1">
        <f t="array" ref="AF249">_xlfn.IFS(Table1[[#This Row],[Land_Size_SQM]]&gt;=730,"LARGE",Table1[[#This Row],[Land_Size_SQM]]&gt;=465,"MEDIUM",TRUE,"SMALL")</f>
        <v>MEDIUM</v>
      </c>
    </row>
    <row r="250" spans="1:32" x14ac:dyDescent="0.3">
      <c r="A250" t="s">
        <v>274</v>
      </c>
      <c r="B250" t="s">
        <v>556</v>
      </c>
      <c r="C250" t="s">
        <v>626</v>
      </c>
      <c r="D250">
        <v>34</v>
      </c>
      <c r="E250" t="s">
        <v>630</v>
      </c>
      <c r="F250">
        <v>371</v>
      </c>
      <c r="G250" s="4">
        <v>43981</v>
      </c>
      <c r="H250" s="4">
        <v>16316951</v>
      </c>
      <c r="I250" t="s">
        <v>634</v>
      </c>
      <c r="J250" t="s">
        <v>670</v>
      </c>
      <c r="K250" t="s">
        <v>638</v>
      </c>
      <c r="L250" t="s">
        <v>681</v>
      </c>
      <c r="M250" t="s">
        <v>687</v>
      </c>
      <c r="N250" t="s">
        <v>690</v>
      </c>
      <c r="O250" t="s">
        <v>694</v>
      </c>
      <c r="P250" s="4">
        <v>6353527</v>
      </c>
      <c r="Q250">
        <v>24</v>
      </c>
      <c r="R250" s="7">
        <v>5.72</v>
      </c>
      <c r="S250" s="8">
        <f>Table1[[#This Row],[Discount_%]]/100</f>
        <v>5.7200000000000001E-2</v>
      </c>
      <c r="T250" s="6" t="s">
        <v>877</v>
      </c>
      <c r="U250" t="s">
        <v>981</v>
      </c>
      <c r="V250">
        <v>2024</v>
      </c>
      <c r="W250" t="s">
        <v>995</v>
      </c>
      <c r="X250" t="s">
        <v>998</v>
      </c>
      <c r="Y250" t="s">
        <v>1002</v>
      </c>
      <c r="Z250">
        <v>3</v>
      </c>
      <c r="AA250">
        <v>48</v>
      </c>
      <c r="AB250" s="4">
        <f>Table1[[#This Row],[Total_Price]]*(1-Table1[[#This Row],[Discount 2]])</f>
        <v>15383621.402799999</v>
      </c>
      <c r="AC250" s="4" t="str" cm="1">
        <f t="array" ref="AC250">_xlfn.IFS(Table1[[#This Row],[Revenue]]&gt;=30000000,"High Value",Table1[[#This Row],[Revenue]]&gt;=10000000,"Moderate Value",TRUE,"Low Value")</f>
        <v>Moderate Value</v>
      </c>
      <c r="AD250" t="str">
        <f>IF(Table1[[#This Row],[Discount 2]]&gt;=5%, "YES", "NO")</f>
        <v>YES</v>
      </c>
      <c r="AE250" t="str" cm="1">
        <f t="array" ref="AE250">_xlfn.IFS(Table1[[#This Row],[Revenue]]&gt;=30000000,"High Spender",Table1[[#This Row],[Revenue]]&gt;=10000000,"Moderate Spender",TRUE,"Low Spender")</f>
        <v>Moderate Spender</v>
      </c>
      <c r="AF250" s="4" t="str" cm="1">
        <f t="array" ref="AF250">_xlfn.IFS(Table1[[#This Row],[Land_Size_SQM]]&gt;=730,"LARGE",Table1[[#This Row],[Land_Size_SQM]]&gt;=465,"MEDIUM",TRUE,"SMALL")</f>
        <v>SMALL</v>
      </c>
    </row>
    <row r="251" spans="1:32" x14ac:dyDescent="0.3">
      <c r="A251" t="s">
        <v>275</v>
      </c>
      <c r="B251" t="s">
        <v>546</v>
      </c>
      <c r="C251" t="s">
        <v>627</v>
      </c>
      <c r="D251">
        <v>33</v>
      </c>
      <c r="E251" t="s">
        <v>628</v>
      </c>
      <c r="F251">
        <v>623</v>
      </c>
      <c r="G251" s="4">
        <v>12965</v>
      </c>
      <c r="H251" s="4">
        <v>8077195</v>
      </c>
      <c r="I251" t="s">
        <v>665</v>
      </c>
      <c r="J251" t="s">
        <v>672</v>
      </c>
      <c r="K251" t="s">
        <v>678</v>
      </c>
      <c r="L251" t="s">
        <v>681</v>
      </c>
      <c r="M251" t="s">
        <v>685</v>
      </c>
      <c r="N251" t="s">
        <v>689</v>
      </c>
      <c r="O251" t="s">
        <v>693</v>
      </c>
      <c r="P251" s="4">
        <v>8077195</v>
      </c>
      <c r="Q251">
        <v>0</v>
      </c>
      <c r="R251" s="7">
        <v>8.5399999999999991</v>
      </c>
      <c r="S251" s="8">
        <f>Table1[[#This Row],[Discount_%]]/100</f>
        <v>8.539999999999999E-2</v>
      </c>
      <c r="T251" s="6" t="s">
        <v>878</v>
      </c>
      <c r="U251" t="s">
        <v>987</v>
      </c>
      <c r="V251">
        <v>2024</v>
      </c>
      <c r="W251" t="s">
        <v>993</v>
      </c>
      <c r="X251" t="s">
        <v>998</v>
      </c>
      <c r="Y251" t="s">
        <v>1001</v>
      </c>
      <c r="Z251">
        <v>1</v>
      </c>
      <c r="AA251">
        <v>2</v>
      </c>
      <c r="AB251" s="4">
        <f>Table1[[#This Row],[Total_Price]]*(1-Table1[[#This Row],[Discount 2]])</f>
        <v>7387402.5469999993</v>
      </c>
      <c r="AC251" s="4" t="str" cm="1">
        <f t="array" ref="AC251">_xlfn.IFS(Table1[[#This Row],[Revenue]]&gt;=30000000,"High Value",Table1[[#This Row],[Revenue]]&gt;=10000000,"Moderate Value",TRUE,"Low Value")</f>
        <v>Low Value</v>
      </c>
      <c r="AD251" t="str">
        <f>IF(Table1[[#This Row],[Discount 2]]&gt;=5%, "YES", "NO")</f>
        <v>YES</v>
      </c>
      <c r="AE251" t="str" cm="1">
        <f t="array" ref="AE251">_xlfn.IFS(Table1[[#This Row],[Revenue]]&gt;=30000000,"High Spender",Table1[[#This Row],[Revenue]]&gt;=10000000,"Moderate Spender",TRUE,"Low Spender")</f>
        <v>Low Spender</v>
      </c>
      <c r="AF251" s="4" t="str" cm="1">
        <f t="array" ref="AF251">_xlfn.IFS(Table1[[#This Row],[Land_Size_SQM]]&gt;=730,"LARGE",Table1[[#This Row],[Land_Size_SQM]]&gt;=465,"MEDIUM",TRUE,"SMALL")</f>
        <v>MEDIUM</v>
      </c>
    </row>
    <row r="252" spans="1:32" x14ac:dyDescent="0.3">
      <c r="A252" t="s">
        <v>276</v>
      </c>
      <c r="B252" t="s">
        <v>609</v>
      </c>
      <c r="C252" t="s">
        <v>627</v>
      </c>
      <c r="D252">
        <v>38</v>
      </c>
      <c r="E252" t="s">
        <v>630</v>
      </c>
      <c r="F252">
        <v>306</v>
      </c>
      <c r="G252" s="4">
        <v>19200</v>
      </c>
      <c r="H252" s="4">
        <v>5875200</v>
      </c>
      <c r="I252" t="s">
        <v>647</v>
      </c>
      <c r="J252" t="s">
        <v>670</v>
      </c>
      <c r="K252" t="s">
        <v>676</v>
      </c>
      <c r="L252" t="s">
        <v>682</v>
      </c>
      <c r="M252" t="s">
        <v>683</v>
      </c>
      <c r="N252" t="s">
        <v>688</v>
      </c>
      <c r="O252" t="s">
        <v>693</v>
      </c>
      <c r="P252" s="4">
        <v>5875200</v>
      </c>
      <c r="Q252">
        <v>0</v>
      </c>
      <c r="R252" s="7">
        <v>0.84</v>
      </c>
      <c r="S252" s="8">
        <f>Table1[[#This Row],[Discount_%]]/100</f>
        <v>8.3999999999999995E-3</v>
      </c>
      <c r="T252" s="6" t="s">
        <v>721</v>
      </c>
      <c r="U252" t="s">
        <v>991</v>
      </c>
      <c r="V252">
        <v>2024</v>
      </c>
      <c r="W252" t="s">
        <v>996</v>
      </c>
      <c r="X252" t="s">
        <v>999</v>
      </c>
      <c r="Y252" t="s">
        <v>1000</v>
      </c>
      <c r="Z252">
        <v>3</v>
      </c>
      <c r="AA252">
        <v>21</v>
      </c>
      <c r="AB252" s="4">
        <f>Table1[[#This Row],[Total_Price]]*(1-Table1[[#This Row],[Discount 2]])</f>
        <v>5825848.3200000003</v>
      </c>
      <c r="AC252" s="4" t="str" cm="1">
        <f t="array" ref="AC252">_xlfn.IFS(Table1[[#This Row],[Revenue]]&gt;=30000000,"High Value",Table1[[#This Row],[Revenue]]&gt;=10000000,"Moderate Value",TRUE,"Low Value")</f>
        <v>Low Value</v>
      </c>
      <c r="AD252" t="str">
        <f>IF(Table1[[#This Row],[Discount 2]]&gt;=5%, "YES", "NO")</f>
        <v>NO</v>
      </c>
      <c r="AE252" t="str" cm="1">
        <f t="array" ref="AE252">_xlfn.IFS(Table1[[#This Row],[Revenue]]&gt;=30000000,"High Spender",Table1[[#This Row],[Revenue]]&gt;=10000000,"Moderate Spender",TRUE,"Low Spender")</f>
        <v>Low Spender</v>
      </c>
      <c r="AF252" s="4" t="str" cm="1">
        <f t="array" ref="AF252">_xlfn.IFS(Table1[[#This Row],[Land_Size_SQM]]&gt;=730,"LARGE",Table1[[#This Row],[Land_Size_SQM]]&gt;=465,"MEDIUM",TRUE,"SMALL")</f>
        <v>SMALL</v>
      </c>
    </row>
    <row r="253" spans="1:32" x14ac:dyDescent="0.3">
      <c r="A253" t="s">
        <v>277</v>
      </c>
      <c r="B253" t="s">
        <v>573</v>
      </c>
      <c r="C253" t="s">
        <v>626</v>
      </c>
      <c r="D253">
        <v>60</v>
      </c>
      <c r="E253" t="s">
        <v>629</v>
      </c>
      <c r="F253">
        <v>478</v>
      </c>
      <c r="G253" s="4">
        <v>37949</v>
      </c>
      <c r="H253" s="4">
        <v>18139622</v>
      </c>
      <c r="I253" t="s">
        <v>666</v>
      </c>
      <c r="J253" t="s">
        <v>670</v>
      </c>
      <c r="K253" t="s">
        <v>675</v>
      </c>
      <c r="L253" t="s">
        <v>682</v>
      </c>
      <c r="M253" t="s">
        <v>686</v>
      </c>
      <c r="N253" t="s">
        <v>691</v>
      </c>
      <c r="O253" t="s">
        <v>694</v>
      </c>
      <c r="P253" s="4">
        <v>8904063</v>
      </c>
      <c r="Q253">
        <v>6</v>
      </c>
      <c r="R253" s="7">
        <v>6.98</v>
      </c>
      <c r="S253" s="8">
        <f>Table1[[#This Row],[Discount_%]]/100</f>
        <v>6.9800000000000001E-2</v>
      </c>
      <c r="T253" s="6" t="s">
        <v>879</v>
      </c>
      <c r="U253" t="s">
        <v>987</v>
      </c>
      <c r="V253">
        <v>2024</v>
      </c>
      <c r="W253" t="s">
        <v>994</v>
      </c>
      <c r="X253" t="s">
        <v>998</v>
      </c>
      <c r="Y253" t="s">
        <v>1002</v>
      </c>
      <c r="Z253">
        <v>5</v>
      </c>
      <c r="AA253">
        <v>15</v>
      </c>
      <c r="AB253" s="4">
        <f>Table1[[#This Row],[Total_Price]]*(1-Table1[[#This Row],[Discount 2]])</f>
        <v>16873476.384399999</v>
      </c>
      <c r="AC253" s="4" t="str" cm="1">
        <f t="array" ref="AC253">_xlfn.IFS(Table1[[#This Row],[Revenue]]&gt;=30000000,"High Value",Table1[[#This Row],[Revenue]]&gt;=10000000,"Moderate Value",TRUE,"Low Value")</f>
        <v>Moderate Value</v>
      </c>
      <c r="AD253" t="str">
        <f>IF(Table1[[#This Row],[Discount 2]]&gt;=5%, "YES", "NO")</f>
        <v>YES</v>
      </c>
      <c r="AE253" t="str" cm="1">
        <f t="array" ref="AE253">_xlfn.IFS(Table1[[#This Row],[Revenue]]&gt;=30000000,"High Spender",Table1[[#This Row],[Revenue]]&gt;=10000000,"Moderate Spender",TRUE,"Low Spender")</f>
        <v>Moderate Spender</v>
      </c>
      <c r="AF253" s="4" t="str" cm="1">
        <f t="array" ref="AF253">_xlfn.IFS(Table1[[#This Row],[Land_Size_SQM]]&gt;=730,"LARGE",Table1[[#This Row],[Land_Size_SQM]]&gt;=465,"MEDIUM",TRUE,"SMALL")</f>
        <v>MEDIUM</v>
      </c>
    </row>
    <row r="254" spans="1:32" x14ac:dyDescent="0.3">
      <c r="A254" t="s">
        <v>278</v>
      </c>
      <c r="B254" t="s">
        <v>585</v>
      </c>
      <c r="C254" t="s">
        <v>626</v>
      </c>
      <c r="D254">
        <v>54</v>
      </c>
      <c r="E254" t="s">
        <v>628</v>
      </c>
      <c r="F254">
        <v>574</v>
      </c>
      <c r="G254" s="4">
        <v>29014</v>
      </c>
      <c r="H254" s="4">
        <v>16654036</v>
      </c>
      <c r="I254" t="s">
        <v>661</v>
      </c>
      <c r="J254" t="s">
        <v>673</v>
      </c>
      <c r="K254" t="s">
        <v>677</v>
      </c>
      <c r="L254" t="s">
        <v>682</v>
      </c>
      <c r="M254" t="s">
        <v>684</v>
      </c>
      <c r="N254" t="s">
        <v>691</v>
      </c>
      <c r="O254" t="s">
        <v>694</v>
      </c>
      <c r="P254" s="4">
        <v>4847521</v>
      </c>
      <c r="Q254">
        <v>6</v>
      </c>
      <c r="R254" s="7">
        <v>0</v>
      </c>
      <c r="S254" s="8">
        <f>Table1[[#This Row],[Discount_%]]/100</f>
        <v>0</v>
      </c>
      <c r="T254" s="6" t="s">
        <v>880</v>
      </c>
      <c r="U254" t="s">
        <v>987</v>
      </c>
      <c r="V254">
        <v>2024</v>
      </c>
      <c r="W254" t="s">
        <v>994</v>
      </c>
      <c r="X254" t="s">
        <v>999</v>
      </c>
      <c r="Y254" t="s">
        <v>1002</v>
      </c>
      <c r="Z254">
        <v>3</v>
      </c>
      <c r="AA254">
        <v>39</v>
      </c>
      <c r="AB254" s="4">
        <f>Table1[[#This Row],[Total_Price]]*(1-Table1[[#This Row],[Discount 2]])</f>
        <v>16654036</v>
      </c>
      <c r="AC254" s="4" t="str" cm="1">
        <f t="array" ref="AC254">_xlfn.IFS(Table1[[#This Row],[Revenue]]&gt;=30000000,"High Value",Table1[[#This Row],[Revenue]]&gt;=10000000,"Moderate Value",TRUE,"Low Value")</f>
        <v>Moderate Value</v>
      </c>
      <c r="AD254" t="str">
        <f>IF(Table1[[#This Row],[Discount 2]]&gt;=5%, "YES", "NO")</f>
        <v>NO</v>
      </c>
      <c r="AE254" t="str" cm="1">
        <f t="array" ref="AE254">_xlfn.IFS(Table1[[#This Row],[Revenue]]&gt;=30000000,"High Spender",Table1[[#This Row],[Revenue]]&gt;=10000000,"Moderate Spender",TRUE,"Low Spender")</f>
        <v>Moderate Spender</v>
      </c>
      <c r="AF254" s="4" t="str" cm="1">
        <f t="array" ref="AF254">_xlfn.IFS(Table1[[#This Row],[Land_Size_SQM]]&gt;=730,"LARGE",Table1[[#This Row],[Land_Size_SQM]]&gt;=465,"MEDIUM",TRUE,"SMALL")</f>
        <v>MEDIUM</v>
      </c>
    </row>
    <row r="255" spans="1:32" x14ac:dyDescent="0.3">
      <c r="A255" t="s">
        <v>279</v>
      </c>
      <c r="B255" t="s">
        <v>617</v>
      </c>
      <c r="C255" t="s">
        <v>627</v>
      </c>
      <c r="D255">
        <v>36</v>
      </c>
      <c r="E255" t="s">
        <v>628</v>
      </c>
      <c r="F255">
        <v>582</v>
      </c>
      <c r="G255" s="4">
        <v>14358</v>
      </c>
      <c r="H255" s="4">
        <v>8356356</v>
      </c>
      <c r="I255" t="s">
        <v>649</v>
      </c>
      <c r="J255" t="s">
        <v>669</v>
      </c>
      <c r="K255" t="s">
        <v>675</v>
      </c>
      <c r="L255" t="s">
        <v>681</v>
      </c>
      <c r="M255" t="s">
        <v>683</v>
      </c>
      <c r="N255" t="s">
        <v>692</v>
      </c>
      <c r="O255" t="s">
        <v>694</v>
      </c>
      <c r="P255" s="4">
        <v>2660878</v>
      </c>
      <c r="Q255">
        <v>24</v>
      </c>
      <c r="R255" s="7">
        <v>1.63</v>
      </c>
      <c r="S255" s="8">
        <f>Table1[[#This Row],[Discount_%]]/100</f>
        <v>1.6299999999999999E-2</v>
      </c>
      <c r="T255" s="6" t="s">
        <v>824</v>
      </c>
      <c r="U255" t="s">
        <v>983</v>
      </c>
      <c r="V255">
        <v>2024</v>
      </c>
      <c r="W255" t="s">
        <v>994</v>
      </c>
      <c r="X255" t="s">
        <v>998</v>
      </c>
      <c r="Y255" t="s">
        <v>1001</v>
      </c>
      <c r="Z255">
        <v>5</v>
      </c>
      <c r="AA255">
        <v>18</v>
      </c>
      <c r="AB255" s="4">
        <f>Table1[[#This Row],[Total_Price]]*(1-Table1[[#This Row],[Discount 2]])</f>
        <v>8220147.3972000005</v>
      </c>
      <c r="AC255" s="4" t="str" cm="1">
        <f t="array" ref="AC255">_xlfn.IFS(Table1[[#This Row],[Revenue]]&gt;=30000000,"High Value",Table1[[#This Row],[Revenue]]&gt;=10000000,"Moderate Value",TRUE,"Low Value")</f>
        <v>Low Value</v>
      </c>
      <c r="AD255" t="str">
        <f>IF(Table1[[#This Row],[Discount 2]]&gt;=5%, "YES", "NO")</f>
        <v>NO</v>
      </c>
      <c r="AE255" t="str" cm="1">
        <f t="array" ref="AE255">_xlfn.IFS(Table1[[#This Row],[Revenue]]&gt;=30000000,"High Spender",Table1[[#This Row],[Revenue]]&gt;=10000000,"Moderate Spender",TRUE,"Low Spender")</f>
        <v>Low Spender</v>
      </c>
      <c r="AF255" s="4" t="str" cm="1">
        <f t="array" ref="AF255">_xlfn.IFS(Table1[[#This Row],[Land_Size_SQM]]&gt;=730,"LARGE",Table1[[#This Row],[Land_Size_SQM]]&gt;=465,"MEDIUM",TRUE,"SMALL")</f>
        <v>MEDIUM</v>
      </c>
    </row>
    <row r="256" spans="1:32" x14ac:dyDescent="0.3">
      <c r="A256" t="s">
        <v>280</v>
      </c>
      <c r="B256" t="s">
        <v>536</v>
      </c>
      <c r="C256" t="s">
        <v>627</v>
      </c>
      <c r="D256">
        <v>40</v>
      </c>
      <c r="E256" t="s">
        <v>628</v>
      </c>
      <c r="F256">
        <v>386</v>
      </c>
      <c r="G256" s="4">
        <v>10953</v>
      </c>
      <c r="H256" s="4">
        <v>4227858</v>
      </c>
      <c r="I256" t="s">
        <v>650</v>
      </c>
      <c r="J256" t="s">
        <v>670</v>
      </c>
      <c r="K256" t="s">
        <v>676</v>
      </c>
      <c r="L256" t="s">
        <v>680</v>
      </c>
      <c r="M256" t="s">
        <v>685</v>
      </c>
      <c r="N256" t="s">
        <v>692</v>
      </c>
      <c r="O256" t="s">
        <v>694</v>
      </c>
      <c r="P256" s="4">
        <v>1653379</v>
      </c>
      <c r="Q256">
        <v>3</v>
      </c>
      <c r="R256" s="7">
        <v>6.18</v>
      </c>
      <c r="S256" s="8">
        <f>Table1[[#This Row],[Discount_%]]/100</f>
        <v>6.1799999999999994E-2</v>
      </c>
      <c r="T256" s="6" t="s">
        <v>881</v>
      </c>
      <c r="U256" t="s">
        <v>992</v>
      </c>
      <c r="V256">
        <v>2024</v>
      </c>
      <c r="W256" t="s">
        <v>993</v>
      </c>
      <c r="X256" t="s">
        <v>999</v>
      </c>
      <c r="Y256" t="s">
        <v>1000</v>
      </c>
      <c r="Z256">
        <v>3</v>
      </c>
      <c r="AA256">
        <v>18</v>
      </c>
      <c r="AB256" s="4">
        <f>Table1[[#This Row],[Total_Price]]*(1-Table1[[#This Row],[Discount 2]])</f>
        <v>3966576.3755999999</v>
      </c>
      <c r="AC256" s="4" t="str" cm="1">
        <f t="array" ref="AC256">_xlfn.IFS(Table1[[#This Row],[Revenue]]&gt;=30000000,"High Value",Table1[[#This Row],[Revenue]]&gt;=10000000,"Moderate Value",TRUE,"Low Value")</f>
        <v>Low Value</v>
      </c>
      <c r="AD256" t="str">
        <f>IF(Table1[[#This Row],[Discount 2]]&gt;=5%, "YES", "NO")</f>
        <v>YES</v>
      </c>
      <c r="AE256" t="str" cm="1">
        <f t="array" ref="AE256">_xlfn.IFS(Table1[[#This Row],[Revenue]]&gt;=30000000,"High Spender",Table1[[#This Row],[Revenue]]&gt;=10000000,"Moderate Spender",TRUE,"Low Spender")</f>
        <v>Low Spender</v>
      </c>
      <c r="AF256" s="4" t="str" cm="1">
        <f t="array" ref="AF256">_xlfn.IFS(Table1[[#This Row],[Land_Size_SQM]]&gt;=730,"LARGE",Table1[[#This Row],[Land_Size_SQM]]&gt;=465,"MEDIUM",TRUE,"SMALL")</f>
        <v>SMALL</v>
      </c>
    </row>
    <row r="257" spans="1:32" x14ac:dyDescent="0.3">
      <c r="A257" t="s">
        <v>281</v>
      </c>
      <c r="B257" t="s">
        <v>618</v>
      </c>
      <c r="C257" t="s">
        <v>626</v>
      </c>
      <c r="D257">
        <v>51</v>
      </c>
      <c r="E257" t="s">
        <v>630</v>
      </c>
      <c r="F257">
        <v>438</v>
      </c>
      <c r="G257" s="4">
        <v>7911</v>
      </c>
      <c r="H257" s="4">
        <v>3465018</v>
      </c>
      <c r="I257" t="s">
        <v>632</v>
      </c>
      <c r="J257" t="s">
        <v>669</v>
      </c>
      <c r="K257" t="s">
        <v>664</v>
      </c>
      <c r="L257" t="s">
        <v>681</v>
      </c>
      <c r="M257" t="s">
        <v>685</v>
      </c>
      <c r="N257" t="s">
        <v>690</v>
      </c>
      <c r="O257" t="s">
        <v>693</v>
      </c>
      <c r="P257" s="4">
        <v>3465018</v>
      </c>
      <c r="Q257">
        <v>0</v>
      </c>
      <c r="R257" s="7">
        <v>0.15</v>
      </c>
      <c r="S257" s="8">
        <f>Table1[[#This Row],[Discount_%]]/100</f>
        <v>1.5E-3</v>
      </c>
      <c r="T257" s="6" t="s">
        <v>882</v>
      </c>
      <c r="U257" t="s">
        <v>990</v>
      </c>
      <c r="V257">
        <v>2024</v>
      </c>
      <c r="W257" t="s">
        <v>993</v>
      </c>
      <c r="X257" t="s">
        <v>999</v>
      </c>
      <c r="Y257" t="s">
        <v>1000</v>
      </c>
      <c r="Z257">
        <v>3</v>
      </c>
      <c r="AA257">
        <v>50</v>
      </c>
      <c r="AB257" s="4">
        <f>Table1[[#This Row],[Total_Price]]*(1-Table1[[#This Row],[Discount 2]])</f>
        <v>3459820.4730000002</v>
      </c>
      <c r="AC257" s="4" t="str" cm="1">
        <f t="array" ref="AC257">_xlfn.IFS(Table1[[#This Row],[Revenue]]&gt;=30000000,"High Value",Table1[[#This Row],[Revenue]]&gt;=10000000,"Moderate Value",TRUE,"Low Value")</f>
        <v>Low Value</v>
      </c>
      <c r="AD257" t="str">
        <f>IF(Table1[[#This Row],[Discount 2]]&gt;=5%, "YES", "NO")</f>
        <v>NO</v>
      </c>
      <c r="AE257" t="str" cm="1">
        <f t="array" ref="AE257">_xlfn.IFS(Table1[[#This Row],[Revenue]]&gt;=30000000,"High Spender",Table1[[#This Row],[Revenue]]&gt;=10000000,"Moderate Spender",TRUE,"Low Spender")</f>
        <v>Low Spender</v>
      </c>
      <c r="AF257" s="4" t="str" cm="1">
        <f t="array" ref="AF257">_xlfn.IFS(Table1[[#This Row],[Land_Size_SQM]]&gt;=730,"LARGE",Table1[[#This Row],[Land_Size_SQM]]&gt;=465,"MEDIUM",TRUE,"SMALL")</f>
        <v>SMALL</v>
      </c>
    </row>
    <row r="258" spans="1:32" x14ac:dyDescent="0.3">
      <c r="A258" t="s">
        <v>282</v>
      </c>
      <c r="B258" t="s">
        <v>538</v>
      </c>
      <c r="C258" t="s">
        <v>627</v>
      </c>
      <c r="D258">
        <v>65</v>
      </c>
      <c r="E258" t="s">
        <v>628</v>
      </c>
      <c r="F258">
        <v>681</v>
      </c>
      <c r="G258" s="4">
        <v>13901</v>
      </c>
      <c r="H258" s="4">
        <v>9466581</v>
      </c>
      <c r="I258" t="s">
        <v>663</v>
      </c>
      <c r="J258" t="s">
        <v>670</v>
      </c>
      <c r="K258" t="s">
        <v>675</v>
      </c>
      <c r="L258" t="s">
        <v>681</v>
      </c>
      <c r="M258" t="s">
        <v>684</v>
      </c>
      <c r="N258" t="s">
        <v>688</v>
      </c>
      <c r="O258" t="s">
        <v>693</v>
      </c>
      <c r="P258" s="4">
        <v>9466581</v>
      </c>
      <c r="Q258">
        <v>0</v>
      </c>
      <c r="R258" s="7">
        <v>8.9600000000000009</v>
      </c>
      <c r="S258" s="8">
        <f>Table1[[#This Row],[Discount_%]]/100</f>
        <v>8.9600000000000013E-2</v>
      </c>
      <c r="T258" s="6" t="s">
        <v>883</v>
      </c>
      <c r="U258" t="s">
        <v>992</v>
      </c>
      <c r="V258">
        <v>2024</v>
      </c>
      <c r="W258" t="s">
        <v>993</v>
      </c>
      <c r="X258" t="s">
        <v>999</v>
      </c>
      <c r="Y258" t="s">
        <v>1002</v>
      </c>
      <c r="Z258">
        <v>1</v>
      </c>
      <c r="AA258">
        <v>34</v>
      </c>
      <c r="AB258" s="4">
        <f>Table1[[#This Row],[Total_Price]]*(1-Table1[[#This Row],[Discount 2]])</f>
        <v>8618375.3423999995</v>
      </c>
      <c r="AC258" s="4" t="str" cm="1">
        <f t="array" ref="AC258">_xlfn.IFS(Table1[[#This Row],[Revenue]]&gt;=30000000,"High Value",Table1[[#This Row],[Revenue]]&gt;=10000000,"Moderate Value",TRUE,"Low Value")</f>
        <v>Low Value</v>
      </c>
      <c r="AD258" t="str">
        <f>IF(Table1[[#This Row],[Discount 2]]&gt;=5%, "YES", "NO")</f>
        <v>YES</v>
      </c>
      <c r="AE258" t="str" cm="1">
        <f t="array" ref="AE258">_xlfn.IFS(Table1[[#This Row],[Revenue]]&gt;=30000000,"High Spender",Table1[[#This Row],[Revenue]]&gt;=10000000,"Moderate Spender",TRUE,"Low Spender")</f>
        <v>Low Spender</v>
      </c>
      <c r="AF258" s="4" t="str" cm="1">
        <f t="array" ref="AF258">_xlfn.IFS(Table1[[#This Row],[Land_Size_SQM]]&gt;=730,"LARGE",Table1[[#This Row],[Land_Size_SQM]]&gt;=465,"MEDIUM",TRUE,"SMALL")</f>
        <v>MEDIUM</v>
      </c>
    </row>
    <row r="259" spans="1:32" x14ac:dyDescent="0.3">
      <c r="A259" t="s">
        <v>283</v>
      </c>
      <c r="B259" t="s">
        <v>526</v>
      </c>
      <c r="C259" t="s">
        <v>626</v>
      </c>
      <c r="D259">
        <v>50</v>
      </c>
      <c r="E259" t="s">
        <v>629</v>
      </c>
      <c r="F259">
        <v>598</v>
      </c>
      <c r="G259" s="4">
        <v>46659</v>
      </c>
      <c r="H259" s="4">
        <v>27902082</v>
      </c>
      <c r="I259" t="s">
        <v>653</v>
      </c>
      <c r="J259" t="s">
        <v>668</v>
      </c>
      <c r="K259" t="s">
        <v>678</v>
      </c>
      <c r="L259" t="s">
        <v>681</v>
      </c>
      <c r="M259" t="s">
        <v>683</v>
      </c>
      <c r="N259" t="s">
        <v>690</v>
      </c>
      <c r="O259" t="s">
        <v>694</v>
      </c>
      <c r="P259" s="4">
        <v>6908093</v>
      </c>
      <c r="Q259">
        <v>12</v>
      </c>
      <c r="R259" s="7">
        <v>7.28</v>
      </c>
      <c r="S259" s="8">
        <f>Table1[[#This Row],[Discount_%]]/100</f>
        <v>7.2800000000000004E-2</v>
      </c>
      <c r="T259" s="6" t="s">
        <v>728</v>
      </c>
      <c r="U259" t="s">
        <v>985</v>
      </c>
      <c r="V259">
        <v>2024</v>
      </c>
      <c r="W259" t="s">
        <v>993</v>
      </c>
      <c r="X259" t="s">
        <v>997</v>
      </c>
      <c r="Y259" t="s">
        <v>1000</v>
      </c>
      <c r="Z259">
        <v>1</v>
      </c>
      <c r="AA259">
        <v>16</v>
      </c>
      <c r="AB259" s="4">
        <f>Table1[[#This Row],[Total_Price]]*(1-Table1[[#This Row],[Discount 2]])</f>
        <v>25870810.430399999</v>
      </c>
      <c r="AC259" s="4" t="str" cm="1">
        <f t="array" ref="AC259">_xlfn.IFS(Table1[[#This Row],[Revenue]]&gt;=30000000,"High Value",Table1[[#This Row],[Revenue]]&gt;=10000000,"Moderate Value",TRUE,"Low Value")</f>
        <v>Moderate Value</v>
      </c>
      <c r="AD259" t="str">
        <f>IF(Table1[[#This Row],[Discount 2]]&gt;=5%, "YES", "NO")</f>
        <v>YES</v>
      </c>
      <c r="AE259" t="str" cm="1">
        <f t="array" ref="AE259">_xlfn.IFS(Table1[[#This Row],[Revenue]]&gt;=30000000,"High Spender",Table1[[#This Row],[Revenue]]&gt;=10000000,"Moderate Spender",TRUE,"Low Spender")</f>
        <v>Moderate Spender</v>
      </c>
      <c r="AF259" s="4" t="str" cm="1">
        <f t="array" ref="AF259">_xlfn.IFS(Table1[[#This Row],[Land_Size_SQM]]&gt;=730,"LARGE",Table1[[#This Row],[Land_Size_SQM]]&gt;=465,"MEDIUM",TRUE,"SMALL")</f>
        <v>MEDIUM</v>
      </c>
    </row>
    <row r="260" spans="1:32" x14ac:dyDescent="0.3">
      <c r="A260" t="s">
        <v>284</v>
      </c>
      <c r="B260" t="s">
        <v>536</v>
      </c>
      <c r="C260" t="s">
        <v>627</v>
      </c>
      <c r="D260">
        <v>43</v>
      </c>
      <c r="E260" t="s">
        <v>628</v>
      </c>
      <c r="F260">
        <v>215</v>
      </c>
      <c r="G260" s="4">
        <v>12968</v>
      </c>
      <c r="H260" s="4">
        <v>2788120</v>
      </c>
      <c r="I260" t="s">
        <v>633</v>
      </c>
      <c r="J260" t="s">
        <v>668</v>
      </c>
      <c r="K260" t="s">
        <v>651</v>
      </c>
      <c r="L260" t="s">
        <v>680</v>
      </c>
      <c r="M260" t="s">
        <v>683</v>
      </c>
      <c r="N260" t="s">
        <v>691</v>
      </c>
      <c r="O260" t="s">
        <v>694</v>
      </c>
      <c r="P260" s="4">
        <v>888692</v>
      </c>
      <c r="Q260">
        <v>3</v>
      </c>
      <c r="R260" s="7">
        <v>2.4300000000000002</v>
      </c>
      <c r="S260" s="8">
        <f>Table1[[#This Row],[Discount_%]]/100</f>
        <v>2.4300000000000002E-2</v>
      </c>
      <c r="T260" s="6" t="s">
        <v>884</v>
      </c>
      <c r="U260" t="s">
        <v>988</v>
      </c>
      <c r="V260">
        <v>2024</v>
      </c>
      <c r="W260" t="s">
        <v>993</v>
      </c>
      <c r="X260" t="s">
        <v>997</v>
      </c>
      <c r="Y260" t="s">
        <v>1001</v>
      </c>
      <c r="Z260">
        <v>3</v>
      </c>
      <c r="AA260">
        <v>49</v>
      </c>
      <c r="AB260" s="4">
        <f>Table1[[#This Row],[Total_Price]]*(1-Table1[[#This Row],[Discount 2]])</f>
        <v>2720368.6839999999</v>
      </c>
      <c r="AC260" s="4" t="str" cm="1">
        <f t="array" ref="AC260">_xlfn.IFS(Table1[[#This Row],[Revenue]]&gt;=30000000,"High Value",Table1[[#This Row],[Revenue]]&gt;=10000000,"Moderate Value",TRUE,"Low Value")</f>
        <v>Low Value</v>
      </c>
      <c r="AD260" t="str">
        <f>IF(Table1[[#This Row],[Discount 2]]&gt;=5%, "YES", "NO")</f>
        <v>NO</v>
      </c>
      <c r="AE260" t="str" cm="1">
        <f t="array" ref="AE260">_xlfn.IFS(Table1[[#This Row],[Revenue]]&gt;=30000000,"High Spender",Table1[[#This Row],[Revenue]]&gt;=10000000,"Moderate Spender",TRUE,"Low Spender")</f>
        <v>Low Spender</v>
      </c>
      <c r="AF260" s="4" t="str" cm="1">
        <f t="array" ref="AF260">_xlfn.IFS(Table1[[#This Row],[Land_Size_SQM]]&gt;=730,"LARGE",Table1[[#This Row],[Land_Size_SQM]]&gt;=465,"MEDIUM",TRUE,"SMALL")</f>
        <v>SMALL</v>
      </c>
    </row>
    <row r="261" spans="1:32" x14ac:dyDescent="0.3">
      <c r="A261" t="s">
        <v>285</v>
      </c>
      <c r="B261" t="s">
        <v>548</v>
      </c>
      <c r="C261" t="s">
        <v>627</v>
      </c>
      <c r="D261">
        <v>40</v>
      </c>
      <c r="E261" t="s">
        <v>629</v>
      </c>
      <c r="F261">
        <v>564</v>
      </c>
      <c r="G261" s="4">
        <v>44242</v>
      </c>
      <c r="H261" s="4">
        <v>24952488</v>
      </c>
      <c r="I261" t="s">
        <v>631</v>
      </c>
      <c r="J261" t="s">
        <v>668</v>
      </c>
      <c r="K261" t="s">
        <v>664</v>
      </c>
      <c r="L261" t="s">
        <v>682</v>
      </c>
      <c r="M261" t="s">
        <v>687</v>
      </c>
      <c r="N261" t="s">
        <v>691</v>
      </c>
      <c r="O261" t="s">
        <v>693</v>
      </c>
      <c r="P261" s="4">
        <v>24952488</v>
      </c>
      <c r="Q261">
        <v>0</v>
      </c>
      <c r="R261" s="7">
        <v>7.01</v>
      </c>
      <c r="S261" s="8">
        <f>Table1[[#This Row],[Discount_%]]/100</f>
        <v>7.0099999999999996E-2</v>
      </c>
      <c r="T261" s="6" t="s">
        <v>885</v>
      </c>
      <c r="U261" t="s">
        <v>981</v>
      </c>
      <c r="V261">
        <v>2024</v>
      </c>
      <c r="W261" t="s">
        <v>996</v>
      </c>
      <c r="X261" t="s">
        <v>999</v>
      </c>
      <c r="Y261" t="s">
        <v>1001</v>
      </c>
      <c r="Z261">
        <v>4</v>
      </c>
      <c r="AA261">
        <v>23</v>
      </c>
      <c r="AB261" s="4">
        <f>Table1[[#This Row],[Total_Price]]*(1-Table1[[#This Row],[Discount 2]])</f>
        <v>23203318.591199998</v>
      </c>
      <c r="AC261" s="4" t="str" cm="1">
        <f t="array" ref="AC261">_xlfn.IFS(Table1[[#This Row],[Revenue]]&gt;=30000000,"High Value",Table1[[#This Row],[Revenue]]&gt;=10000000,"Moderate Value",TRUE,"Low Value")</f>
        <v>Moderate Value</v>
      </c>
      <c r="AD261" t="str">
        <f>IF(Table1[[#This Row],[Discount 2]]&gt;=5%, "YES", "NO")</f>
        <v>YES</v>
      </c>
      <c r="AE261" t="str" cm="1">
        <f t="array" ref="AE261">_xlfn.IFS(Table1[[#This Row],[Revenue]]&gt;=30000000,"High Spender",Table1[[#This Row],[Revenue]]&gt;=10000000,"Moderate Spender",TRUE,"Low Spender")</f>
        <v>Moderate Spender</v>
      </c>
      <c r="AF261" s="4" t="str" cm="1">
        <f t="array" ref="AF261">_xlfn.IFS(Table1[[#This Row],[Land_Size_SQM]]&gt;=730,"LARGE",Table1[[#This Row],[Land_Size_SQM]]&gt;=465,"MEDIUM",TRUE,"SMALL")</f>
        <v>MEDIUM</v>
      </c>
    </row>
    <row r="262" spans="1:32" x14ac:dyDescent="0.3">
      <c r="A262" t="s">
        <v>286</v>
      </c>
      <c r="B262" t="s">
        <v>567</v>
      </c>
      <c r="C262" t="s">
        <v>626</v>
      </c>
      <c r="D262">
        <v>40</v>
      </c>
      <c r="E262" t="s">
        <v>629</v>
      </c>
      <c r="F262">
        <v>240</v>
      </c>
      <c r="G262" s="4">
        <v>33804</v>
      </c>
      <c r="H262" s="4">
        <v>8112960</v>
      </c>
      <c r="I262" t="s">
        <v>653</v>
      </c>
      <c r="J262" t="s">
        <v>668</v>
      </c>
      <c r="K262" t="s">
        <v>677</v>
      </c>
      <c r="L262" t="s">
        <v>681</v>
      </c>
      <c r="M262" t="s">
        <v>687</v>
      </c>
      <c r="N262" t="s">
        <v>692</v>
      </c>
      <c r="O262" t="s">
        <v>694</v>
      </c>
      <c r="P262" s="4">
        <v>2943546</v>
      </c>
      <c r="Q262">
        <v>12</v>
      </c>
      <c r="R262" s="7">
        <v>4.9000000000000004</v>
      </c>
      <c r="S262" s="8">
        <f>Table1[[#This Row],[Discount_%]]/100</f>
        <v>4.9000000000000002E-2</v>
      </c>
      <c r="T262" s="6" t="s">
        <v>699</v>
      </c>
      <c r="U262" t="s">
        <v>985</v>
      </c>
      <c r="V262">
        <v>2024</v>
      </c>
      <c r="W262" t="s">
        <v>996</v>
      </c>
      <c r="X262" t="s">
        <v>999</v>
      </c>
      <c r="Y262" t="s">
        <v>1001</v>
      </c>
      <c r="Z262">
        <v>2</v>
      </c>
      <c r="AA262">
        <v>29</v>
      </c>
      <c r="AB262" s="4">
        <f>Table1[[#This Row],[Total_Price]]*(1-Table1[[#This Row],[Discount 2]])</f>
        <v>7715424.96</v>
      </c>
      <c r="AC262" s="4" t="str" cm="1">
        <f t="array" ref="AC262">_xlfn.IFS(Table1[[#This Row],[Revenue]]&gt;=30000000,"High Value",Table1[[#This Row],[Revenue]]&gt;=10000000,"Moderate Value",TRUE,"Low Value")</f>
        <v>Low Value</v>
      </c>
      <c r="AD262" t="str">
        <f>IF(Table1[[#This Row],[Discount 2]]&gt;=5%, "YES", "NO")</f>
        <v>NO</v>
      </c>
      <c r="AE262" t="str" cm="1">
        <f t="array" ref="AE262">_xlfn.IFS(Table1[[#This Row],[Revenue]]&gt;=30000000,"High Spender",Table1[[#This Row],[Revenue]]&gt;=10000000,"Moderate Spender",TRUE,"Low Spender")</f>
        <v>Low Spender</v>
      </c>
      <c r="AF262" s="4" t="str" cm="1">
        <f t="array" ref="AF262">_xlfn.IFS(Table1[[#This Row],[Land_Size_SQM]]&gt;=730,"LARGE",Table1[[#This Row],[Land_Size_SQM]]&gt;=465,"MEDIUM",TRUE,"SMALL")</f>
        <v>SMALL</v>
      </c>
    </row>
    <row r="263" spans="1:32" x14ac:dyDescent="0.3">
      <c r="A263" t="s">
        <v>287</v>
      </c>
      <c r="B263" t="s">
        <v>564</v>
      </c>
      <c r="C263" t="s">
        <v>627</v>
      </c>
      <c r="D263">
        <v>59</v>
      </c>
      <c r="E263" t="s">
        <v>630</v>
      </c>
      <c r="F263">
        <v>575</v>
      </c>
      <c r="G263" s="4">
        <v>31758</v>
      </c>
      <c r="H263" s="4">
        <v>18260850</v>
      </c>
      <c r="I263" t="s">
        <v>657</v>
      </c>
      <c r="J263" t="s">
        <v>671</v>
      </c>
      <c r="K263" t="s">
        <v>675</v>
      </c>
      <c r="L263" t="s">
        <v>682</v>
      </c>
      <c r="M263" t="s">
        <v>683</v>
      </c>
      <c r="N263" t="s">
        <v>690</v>
      </c>
      <c r="O263" t="s">
        <v>693</v>
      </c>
      <c r="P263" s="4">
        <v>18260850</v>
      </c>
      <c r="Q263">
        <v>0</v>
      </c>
      <c r="R263" s="7">
        <v>7.76</v>
      </c>
      <c r="S263" s="8">
        <f>Table1[[#This Row],[Discount_%]]/100</f>
        <v>7.7600000000000002E-2</v>
      </c>
      <c r="T263" s="6" t="s">
        <v>886</v>
      </c>
      <c r="U263" t="s">
        <v>986</v>
      </c>
      <c r="V263">
        <v>2024</v>
      </c>
      <c r="W263" t="s">
        <v>993</v>
      </c>
      <c r="X263" t="s">
        <v>997</v>
      </c>
      <c r="Y263" t="s">
        <v>1001</v>
      </c>
      <c r="Z263">
        <v>4</v>
      </c>
      <c r="AA263">
        <v>13</v>
      </c>
      <c r="AB263" s="4">
        <f>Table1[[#This Row],[Total_Price]]*(1-Table1[[#This Row],[Discount 2]])</f>
        <v>16843808.039999999</v>
      </c>
      <c r="AC263" s="4" t="str" cm="1">
        <f t="array" ref="AC263">_xlfn.IFS(Table1[[#This Row],[Revenue]]&gt;=30000000,"High Value",Table1[[#This Row],[Revenue]]&gt;=10000000,"Moderate Value",TRUE,"Low Value")</f>
        <v>Moderate Value</v>
      </c>
      <c r="AD263" t="str">
        <f>IF(Table1[[#This Row],[Discount 2]]&gt;=5%, "YES", "NO")</f>
        <v>YES</v>
      </c>
      <c r="AE263" t="str" cm="1">
        <f t="array" ref="AE263">_xlfn.IFS(Table1[[#This Row],[Revenue]]&gt;=30000000,"High Spender",Table1[[#This Row],[Revenue]]&gt;=10000000,"Moderate Spender",TRUE,"Low Spender")</f>
        <v>Moderate Spender</v>
      </c>
      <c r="AF263" s="4" t="str" cm="1">
        <f t="array" ref="AF263">_xlfn.IFS(Table1[[#This Row],[Land_Size_SQM]]&gt;=730,"LARGE",Table1[[#This Row],[Land_Size_SQM]]&gt;=465,"MEDIUM",TRUE,"SMALL")</f>
        <v>MEDIUM</v>
      </c>
    </row>
    <row r="264" spans="1:32" x14ac:dyDescent="0.3">
      <c r="A264" t="s">
        <v>288</v>
      </c>
      <c r="B264" t="s">
        <v>600</v>
      </c>
      <c r="C264" t="s">
        <v>627</v>
      </c>
      <c r="D264">
        <v>26</v>
      </c>
      <c r="E264" t="s">
        <v>629</v>
      </c>
      <c r="F264">
        <v>984</v>
      </c>
      <c r="G264" s="4">
        <v>38140</v>
      </c>
      <c r="H264" s="4">
        <v>37529760</v>
      </c>
      <c r="I264" t="s">
        <v>655</v>
      </c>
      <c r="J264" t="s">
        <v>672</v>
      </c>
      <c r="K264" t="s">
        <v>678</v>
      </c>
      <c r="L264" t="s">
        <v>682</v>
      </c>
      <c r="M264" t="s">
        <v>685</v>
      </c>
      <c r="N264" t="s">
        <v>689</v>
      </c>
      <c r="O264" t="s">
        <v>693</v>
      </c>
      <c r="P264" s="4">
        <v>37529760</v>
      </c>
      <c r="Q264">
        <v>0</v>
      </c>
      <c r="R264" s="7">
        <v>6.13</v>
      </c>
      <c r="S264" s="8">
        <f>Table1[[#This Row],[Discount_%]]/100</f>
        <v>6.13E-2</v>
      </c>
      <c r="T264" s="6" t="s">
        <v>887</v>
      </c>
      <c r="U264" t="s">
        <v>982</v>
      </c>
      <c r="V264">
        <v>2024</v>
      </c>
      <c r="W264" t="s">
        <v>996</v>
      </c>
      <c r="X264" t="s">
        <v>999</v>
      </c>
      <c r="Y264" t="s">
        <v>1000</v>
      </c>
      <c r="Z264">
        <v>2</v>
      </c>
      <c r="AA264">
        <v>7</v>
      </c>
      <c r="AB264" s="4">
        <f>Table1[[#This Row],[Total_Price]]*(1-Table1[[#This Row],[Discount 2]])</f>
        <v>35229185.711999997</v>
      </c>
      <c r="AC264" s="4" t="str" cm="1">
        <f t="array" ref="AC264">_xlfn.IFS(Table1[[#This Row],[Revenue]]&gt;=30000000,"High Value",Table1[[#This Row],[Revenue]]&gt;=10000000,"Moderate Value",TRUE,"Low Value")</f>
        <v>High Value</v>
      </c>
      <c r="AD264" t="str">
        <f>IF(Table1[[#This Row],[Discount 2]]&gt;=5%, "YES", "NO")</f>
        <v>YES</v>
      </c>
      <c r="AE264" t="str" cm="1">
        <f t="array" ref="AE264">_xlfn.IFS(Table1[[#This Row],[Revenue]]&gt;=30000000,"High Spender",Table1[[#This Row],[Revenue]]&gt;=10000000,"Moderate Spender",TRUE,"Low Spender")</f>
        <v>High Spender</v>
      </c>
      <c r="AF264" s="4" t="str" cm="1">
        <f t="array" ref="AF264">_xlfn.IFS(Table1[[#This Row],[Land_Size_SQM]]&gt;=730,"LARGE",Table1[[#This Row],[Land_Size_SQM]]&gt;=465,"MEDIUM",TRUE,"SMALL")</f>
        <v>LARGE</v>
      </c>
    </row>
    <row r="265" spans="1:32" x14ac:dyDescent="0.3">
      <c r="A265" t="s">
        <v>289</v>
      </c>
      <c r="B265" t="s">
        <v>603</v>
      </c>
      <c r="C265" t="s">
        <v>627</v>
      </c>
      <c r="D265">
        <v>58</v>
      </c>
      <c r="E265" t="s">
        <v>629</v>
      </c>
      <c r="F265">
        <v>232</v>
      </c>
      <c r="G265" s="4">
        <v>39421</v>
      </c>
      <c r="H265" s="4">
        <v>9145672</v>
      </c>
      <c r="I265" t="s">
        <v>650</v>
      </c>
      <c r="J265" t="s">
        <v>670</v>
      </c>
      <c r="K265" t="s">
        <v>676</v>
      </c>
      <c r="L265" t="s">
        <v>680</v>
      </c>
      <c r="M265" t="s">
        <v>685</v>
      </c>
      <c r="N265" t="s">
        <v>688</v>
      </c>
      <c r="O265" t="s">
        <v>694</v>
      </c>
      <c r="P265" s="4">
        <v>3271831</v>
      </c>
      <c r="Q265">
        <v>24</v>
      </c>
      <c r="R265" s="7">
        <v>7.01</v>
      </c>
      <c r="S265" s="8">
        <f>Table1[[#This Row],[Discount_%]]/100</f>
        <v>7.0099999999999996E-2</v>
      </c>
      <c r="T265" s="6" t="s">
        <v>888</v>
      </c>
      <c r="U265" t="s">
        <v>992</v>
      </c>
      <c r="V265">
        <v>2024</v>
      </c>
      <c r="W265" t="s">
        <v>995</v>
      </c>
      <c r="X265" t="s">
        <v>999</v>
      </c>
      <c r="Y265" t="s">
        <v>1002</v>
      </c>
      <c r="Z265">
        <v>1</v>
      </c>
      <c r="AA265">
        <v>24</v>
      </c>
      <c r="AB265" s="4">
        <f>Table1[[#This Row],[Total_Price]]*(1-Table1[[#This Row],[Discount 2]])</f>
        <v>8504560.3927999996</v>
      </c>
      <c r="AC265" s="4" t="str" cm="1">
        <f t="array" ref="AC265">_xlfn.IFS(Table1[[#This Row],[Revenue]]&gt;=30000000,"High Value",Table1[[#This Row],[Revenue]]&gt;=10000000,"Moderate Value",TRUE,"Low Value")</f>
        <v>Low Value</v>
      </c>
      <c r="AD265" t="str">
        <f>IF(Table1[[#This Row],[Discount 2]]&gt;=5%, "YES", "NO")</f>
        <v>YES</v>
      </c>
      <c r="AE265" t="str" cm="1">
        <f t="array" ref="AE265">_xlfn.IFS(Table1[[#This Row],[Revenue]]&gt;=30000000,"High Spender",Table1[[#This Row],[Revenue]]&gt;=10000000,"Moderate Spender",TRUE,"Low Spender")</f>
        <v>Low Spender</v>
      </c>
      <c r="AF265" s="4" t="str" cm="1">
        <f t="array" ref="AF265">_xlfn.IFS(Table1[[#This Row],[Land_Size_SQM]]&gt;=730,"LARGE",Table1[[#This Row],[Land_Size_SQM]]&gt;=465,"MEDIUM",TRUE,"SMALL")</f>
        <v>SMALL</v>
      </c>
    </row>
    <row r="266" spans="1:32" x14ac:dyDescent="0.3">
      <c r="A266" t="s">
        <v>290</v>
      </c>
      <c r="B266" t="s">
        <v>563</v>
      </c>
      <c r="C266" t="s">
        <v>627</v>
      </c>
      <c r="D266">
        <v>39</v>
      </c>
      <c r="E266" t="s">
        <v>628</v>
      </c>
      <c r="F266">
        <v>577</v>
      </c>
      <c r="G266" s="4">
        <v>48427</v>
      </c>
      <c r="H266" s="4">
        <v>27942379</v>
      </c>
      <c r="I266" t="s">
        <v>655</v>
      </c>
      <c r="J266" t="s">
        <v>672</v>
      </c>
      <c r="K266" t="s">
        <v>640</v>
      </c>
      <c r="L266" t="s">
        <v>680</v>
      </c>
      <c r="M266" t="s">
        <v>686</v>
      </c>
      <c r="N266" t="s">
        <v>689</v>
      </c>
      <c r="O266" t="s">
        <v>693</v>
      </c>
      <c r="P266" s="4">
        <v>27942379</v>
      </c>
      <c r="Q266">
        <v>0</v>
      </c>
      <c r="R266" s="7">
        <v>8.24</v>
      </c>
      <c r="S266" s="8">
        <f>Table1[[#This Row],[Discount_%]]/100</f>
        <v>8.2400000000000001E-2</v>
      </c>
      <c r="T266" s="6" t="s">
        <v>889</v>
      </c>
      <c r="U266" t="s">
        <v>992</v>
      </c>
      <c r="V266">
        <v>2024</v>
      </c>
      <c r="W266" t="s">
        <v>993</v>
      </c>
      <c r="X266" t="s">
        <v>997</v>
      </c>
      <c r="Y266" t="s">
        <v>1000</v>
      </c>
      <c r="Z266">
        <v>5</v>
      </c>
      <c r="AA266">
        <v>25</v>
      </c>
      <c r="AB266" s="4">
        <f>Table1[[#This Row],[Total_Price]]*(1-Table1[[#This Row],[Discount 2]])</f>
        <v>25639926.970399998</v>
      </c>
      <c r="AC266" s="4" t="str" cm="1">
        <f t="array" ref="AC266">_xlfn.IFS(Table1[[#This Row],[Revenue]]&gt;=30000000,"High Value",Table1[[#This Row],[Revenue]]&gt;=10000000,"Moderate Value",TRUE,"Low Value")</f>
        <v>Moderate Value</v>
      </c>
      <c r="AD266" t="str">
        <f>IF(Table1[[#This Row],[Discount 2]]&gt;=5%, "YES", "NO")</f>
        <v>YES</v>
      </c>
      <c r="AE266" t="str" cm="1">
        <f t="array" ref="AE266">_xlfn.IFS(Table1[[#This Row],[Revenue]]&gt;=30000000,"High Spender",Table1[[#This Row],[Revenue]]&gt;=10000000,"Moderate Spender",TRUE,"Low Spender")</f>
        <v>Moderate Spender</v>
      </c>
      <c r="AF266" s="4" t="str" cm="1">
        <f t="array" ref="AF266">_xlfn.IFS(Table1[[#This Row],[Land_Size_SQM]]&gt;=730,"LARGE",Table1[[#This Row],[Land_Size_SQM]]&gt;=465,"MEDIUM",TRUE,"SMALL")</f>
        <v>MEDIUM</v>
      </c>
    </row>
    <row r="267" spans="1:32" x14ac:dyDescent="0.3">
      <c r="A267" t="s">
        <v>291</v>
      </c>
      <c r="B267" t="s">
        <v>611</v>
      </c>
      <c r="C267" t="s">
        <v>626</v>
      </c>
      <c r="D267">
        <v>63</v>
      </c>
      <c r="E267" t="s">
        <v>630</v>
      </c>
      <c r="F267">
        <v>872</v>
      </c>
      <c r="G267" s="4">
        <v>18302</v>
      </c>
      <c r="H267" s="4">
        <v>15959344</v>
      </c>
      <c r="I267" t="s">
        <v>654</v>
      </c>
      <c r="J267" t="s">
        <v>669</v>
      </c>
      <c r="K267" t="s">
        <v>675</v>
      </c>
      <c r="L267" t="s">
        <v>682</v>
      </c>
      <c r="M267" t="s">
        <v>684</v>
      </c>
      <c r="N267" t="s">
        <v>689</v>
      </c>
      <c r="O267" t="s">
        <v>693</v>
      </c>
      <c r="P267" s="4">
        <v>15959344</v>
      </c>
      <c r="Q267">
        <v>0</v>
      </c>
      <c r="R267" s="7">
        <v>5.58</v>
      </c>
      <c r="S267" s="8">
        <f>Table1[[#This Row],[Discount_%]]/100</f>
        <v>5.5800000000000002E-2</v>
      </c>
      <c r="T267" s="6" t="s">
        <v>890</v>
      </c>
      <c r="U267" t="s">
        <v>985</v>
      </c>
      <c r="V267">
        <v>2024</v>
      </c>
      <c r="W267" t="s">
        <v>996</v>
      </c>
      <c r="X267" t="s">
        <v>999</v>
      </c>
      <c r="Y267" t="s">
        <v>1001</v>
      </c>
      <c r="Z267">
        <v>4</v>
      </c>
      <c r="AA267">
        <v>33</v>
      </c>
      <c r="AB267" s="4">
        <f>Table1[[#This Row],[Total_Price]]*(1-Table1[[#This Row],[Discount 2]])</f>
        <v>15068812.604800001</v>
      </c>
      <c r="AC267" s="4" t="str" cm="1">
        <f t="array" ref="AC267">_xlfn.IFS(Table1[[#This Row],[Revenue]]&gt;=30000000,"High Value",Table1[[#This Row],[Revenue]]&gt;=10000000,"Moderate Value",TRUE,"Low Value")</f>
        <v>Moderate Value</v>
      </c>
      <c r="AD267" t="str">
        <f>IF(Table1[[#This Row],[Discount 2]]&gt;=5%, "YES", "NO")</f>
        <v>YES</v>
      </c>
      <c r="AE267" t="str" cm="1">
        <f t="array" ref="AE267">_xlfn.IFS(Table1[[#This Row],[Revenue]]&gt;=30000000,"High Spender",Table1[[#This Row],[Revenue]]&gt;=10000000,"Moderate Spender",TRUE,"Low Spender")</f>
        <v>Moderate Spender</v>
      </c>
      <c r="AF267" s="4" t="str" cm="1">
        <f t="array" ref="AF267">_xlfn.IFS(Table1[[#This Row],[Land_Size_SQM]]&gt;=730,"LARGE",Table1[[#This Row],[Land_Size_SQM]]&gt;=465,"MEDIUM",TRUE,"SMALL")</f>
        <v>LARGE</v>
      </c>
    </row>
    <row r="268" spans="1:32" x14ac:dyDescent="0.3">
      <c r="A268" t="s">
        <v>292</v>
      </c>
      <c r="B268" t="s">
        <v>618</v>
      </c>
      <c r="C268" t="s">
        <v>626</v>
      </c>
      <c r="D268">
        <v>40</v>
      </c>
      <c r="E268" t="s">
        <v>629</v>
      </c>
      <c r="F268">
        <v>746</v>
      </c>
      <c r="G268" s="4">
        <v>41316</v>
      </c>
      <c r="H268" s="4">
        <v>30821736</v>
      </c>
      <c r="I268" t="s">
        <v>636</v>
      </c>
      <c r="J268" t="s">
        <v>671</v>
      </c>
      <c r="K268" t="s">
        <v>638</v>
      </c>
      <c r="L268" t="s">
        <v>680</v>
      </c>
      <c r="M268" t="s">
        <v>686</v>
      </c>
      <c r="N268" t="s">
        <v>692</v>
      </c>
      <c r="O268" t="s">
        <v>694</v>
      </c>
      <c r="P268" s="4">
        <v>14509193</v>
      </c>
      <c r="Q268">
        <v>12</v>
      </c>
      <c r="R268" s="7">
        <v>5.5</v>
      </c>
      <c r="S268" s="8">
        <f>Table1[[#This Row],[Discount_%]]/100</f>
        <v>5.5E-2</v>
      </c>
      <c r="T268" s="6" t="s">
        <v>755</v>
      </c>
      <c r="U268" t="s">
        <v>982</v>
      </c>
      <c r="V268">
        <v>2024</v>
      </c>
      <c r="W268" t="s">
        <v>996</v>
      </c>
      <c r="X268" t="s">
        <v>998</v>
      </c>
      <c r="Y268" t="s">
        <v>1001</v>
      </c>
      <c r="Z268">
        <v>3</v>
      </c>
      <c r="AA268">
        <v>24</v>
      </c>
      <c r="AB268" s="4">
        <f>Table1[[#This Row],[Total_Price]]*(1-Table1[[#This Row],[Discount 2]])</f>
        <v>29126540.52</v>
      </c>
      <c r="AC268" s="4" t="str" cm="1">
        <f t="array" ref="AC268">_xlfn.IFS(Table1[[#This Row],[Revenue]]&gt;=30000000,"High Value",Table1[[#This Row],[Revenue]]&gt;=10000000,"Moderate Value",TRUE,"Low Value")</f>
        <v>Moderate Value</v>
      </c>
      <c r="AD268" t="str">
        <f>IF(Table1[[#This Row],[Discount 2]]&gt;=5%, "YES", "NO")</f>
        <v>YES</v>
      </c>
      <c r="AE268" t="str" cm="1">
        <f t="array" ref="AE268">_xlfn.IFS(Table1[[#This Row],[Revenue]]&gt;=30000000,"High Spender",Table1[[#This Row],[Revenue]]&gt;=10000000,"Moderate Spender",TRUE,"Low Spender")</f>
        <v>Moderate Spender</v>
      </c>
      <c r="AF268" s="4" t="str" cm="1">
        <f t="array" ref="AF268">_xlfn.IFS(Table1[[#This Row],[Land_Size_SQM]]&gt;=730,"LARGE",Table1[[#This Row],[Land_Size_SQM]]&gt;=465,"MEDIUM",TRUE,"SMALL")</f>
        <v>LARGE</v>
      </c>
    </row>
    <row r="269" spans="1:32" x14ac:dyDescent="0.3">
      <c r="A269" t="s">
        <v>293</v>
      </c>
      <c r="B269" t="s">
        <v>588</v>
      </c>
      <c r="C269" t="s">
        <v>627</v>
      </c>
      <c r="D269">
        <v>39</v>
      </c>
      <c r="E269" t="s">
        <v>628</v>
      </c>
      <c r="F269">
        <v>200</v>
      </c>
      <c r="G269" s="4">
        <v>49599</v>
      </c>
      <c r="H269" s="4">
        <v>9919800</v>
      </c>
      <c r="I269" t="s">
        <v>666</v>
      </c>
      <c r="J269" t="s">
        <v>670</v>
      </c>
      <c r="K269" t="s">
        <v>640</v>
      </c>
      <c r="L269" t="s">
        <v>681</v>
      </c>
      <c r="M269" t="s">
        <v>683</v>
      </c>
      <c r="N269" t="s">
        <v>688</v>
      </c>
      <c r="O269" t="s">
        <v>693</v>
      </c>
      <c r="P269" s="4">
        <v>9919800</v>
      </c>
      <c r="Q269">
        <v>0</v>
      </c>
      <c r="R269" s="7">
        <v>9.83</v>
      </c>
      <c r="S269" s="8">
        <f>Table1[[#This Row],[Discount_%]]/100</f>
        <v>9.8299999999999998E-2</v>
      </c>
      <c r="T269" s="6" t="s">
        <v>891</v>
      </c>
      <c r="U269" t="s">
        <v>983</v>
      </c>
      <c r="V269">
        <v>2024</v>
      </c>
      <c r="W269" t="s">
        <v>994</v>
      </c>
      <c r="X269" t="s">
        <v>999</v>
      </c>
      <c r="Y269" t="s">
        <v>1001</v>
      </c>
      <c r="Z269">
        <v>3</v>
      </c>
      <c r="AA269">
        <v>36</v>
      </c>
      <c r="AB269" s="4">
        <f>Table1[[#This Row],[Total_Price]]*(1-Table1[[#This Row],[Discount 2]])</f>
        <v>8944683.6600000001</v>
      </c>
      <c r="AC269" s="4" t="str" cm="1">
        <f t="array" ref="AC269">_xlfn.IFS(Table1[[#This Row],[Revenue]]&gt;=30000000,"High Value",Table1[[#This Row],[Revenue]]&gt;=10000000,"Moderate Value",TRUE,"Low Value")</f>
        <v>Low Value</v>
      </c>
      <c r="AD269" t="str">
        <f>IF(Table1[[#This Row],[Discount 2]]&gt;=5%, "YES", "NO")</f>
        <v>YES</v>
      </c>
      <c r="AE269" t="str" cm="1">
        <f t="array" ref="AE269">_xlfn.IFS(Table1[[#This Row],[Revenue]]&gt;=30000000,"High Spender",Table1[[#This Row],[Revenue]]&gt;=10000000,"Moderate Spender",TRUE,"Low Spender")</f>
        <v>Low Spender</v>
      </c>
      <c r="AF269" s="4" t="str" cm="1">
        <f t="array" ref="AF269">_xlfn.IFS(Table1[[#This Row],[Land_Size_SQM]]&gt;=730,"LARGE",Table1[[#This Row],[Land_Size_SQM]]&gt;=465,"MEDIUM",TRUE,"SMALL")</f>
        <v>SMALL</v>
      </c>
    </row>
    <row r="270" spans="1:32" x14ac:dyDescent="0.3">
      <c r="A270" t="s">
        <v>294</v>
      </c>
      <c r="B270" t="s">
        <v>534</v>
      </c>
      <c r="C270" t="s">
        <v>626</v>
      </c>
      <c r="D270">
        <v>43</v>
      </c>
      <c r="E270" t="s">
        <v>629</v>
      </c>
      <c r="F270">
        <v>785</v>
      </c>
      <c r="G270" s="4">
        <v>12139</v>
      </c>
      <c r="H270" s="4">
        <v>9529115</v>
      </c>
      <c r="I270" t="s">
        <v>665</v>
      </c>
      <c r="J270" t="s">
        <v>672</v>
      </c>
      <c r="K270" t="s">
        <v>674</v>
      </c>
      <c r="L270" t="s">
        <v>680</v>
      </c>
      <c r="M270" t="s">
        <v>683</v>
      </c>
      <c r="N270" t="s">
        <v>690</v>
      </c>
      <c r="O270" t="s">
        <v>693</v>
      </c>
      <c r="P270" s="4">
        <v>9529115</v>
      </c>
      <c r="Q270">
        <v>0</v>
      </c>
      <c r="R270" s="7">
        <v>0.38</v>
      </c>
      <c r="S270" s="8">
        <f>Table1[[#This Row],[Discount_%]]/100</f>
        <v>3.8E-3</v>
      </c>
      <c r="T270" s="6" t="s">
        <v>892</v>
      </c>
      <c r="U270" t="s">
        <v>991</v>
      </c>
      <c r="V270">
        <v>2024</v>
      </c>
      <c r="W270" t="s">
        <v>994</v>
      </c>
      <c r="X270" t="s">
        <v>999</v>
      </c>
      <c r="Y270" t="s">
        <v>1001</v>
      </c>
      <c r="Z270">
        <v>4</v>
      </c>
      <c r="AA270">
        <v>37</v>
      </c>
      <c r="AB270" s="4">
        <f>Table1[[#This Row],[Total_Price]]*(1-Table1[[#This Row],[Discount 2]])</f>
        <v>9492904.3629999999</v>
      </c>
      <c r="AC270" s="4" t="str" cm="1">
        <f t="array" ref="AC270">_xlfn.IFS(Table1[[#This Row],[Revenue]]&gt;=30000000,"High Value",Table1[[#This Row],[Revenue]]&gt;=10000000,"Moderate Value",TRUE,"Low Value")</f>
        <v>Low Value</v>
      </c>
      <c r="AD270" t="str">
        <f>IF(Table1[[#This Row],[Discount 2]]&gt;=5%, "YES", "NO")</f>
        <v>NO</v>
      </c>
      <c r="AE270" t="str" cm="1">
        <f t="array" ref="AE270">_xlfn.IFS(Table1[[#This Row],[Revenue]]&gt;=30000000,"High Spender",Table1[[#This Row],[Revenue]]&gt;=10000000,"Moderate Spender",TRUE,"Low Spender")</f>
        <v>Low Spender</v>
      </c>
      <c r="AF270" s="4" t="str" cm="1">
        <f t="array" ref="AF270">_xlfn.IFS(Table1[[#This Row],[Land_Size_SQM]]&gt;=730,"LARGE",Table1[[#This Row],[Land_Size_SQM]]&gt;=465,"MEDIUM",TRUE,"SMALL")</f>
        <v>LARGE</v>
      </c>
    </row>
    <row r="271" spans="1:32" x14ac:dyDescent="0.3">
      <c r="A271" t="s">
        <v>295</v>
      </c>
      <c r="B271" t="s">
        <v>611</v>
      </c>
      <c r="C271" t="s">
        <v>627</v>
      </c>
      <c r="D271">
        <v>41</v>
      </c>
      <c r="E271" t="s">
        <v>630</v>
      </c>
      <c r="F271">
        <v>694</v>
      </c>
      <c r="G271" s="4">
        <v>13331</v>
      </c>
      <c r="H271" s="4">
        <v>9251714</v>
      </c>
      <c r="I271" t="s">
        <v>649</v>
      </c>
      <c r="J271" t="s">
        <v>669</v>
      </c>
      <c r="K271" t="s">
        <v>651</v>
      </c>
      <c r="L271" t="s">
        <v>681</v>
      </c>
      <c r="M271" t="s">
        <v>684</v>
      </c>
      <c r="N271" t="s">
        <v>689</v>
      </c>
      <c r="O271" t="s">
        <v>694</v>
      </c>
      <c r="P271" s="4">
        <v>3502415</v>
      </c>
      <c r="Q271">
        <v>3</v>
      </c>
      <c r="R271" s="7">
        <v>3</v>
      </c>
      <c r="S271" s="8">
        <f>Table1[[#This Row],[Discount_%]]/100</f>
        <v>0.03</v>
      </c>
      <c r="T271" s="6" t="s">
        <v>893</v>
      </c>
      <c r="U271" t="s">
        <v>985</v>
      </c>
      <c r="V271">
        <v>2024</v>
      </c>
      <c r="W271" t="s">
        <v>996</v>
      </c>
      <c r="X271" t="s">
        <v>997</v>
      </c>
      <c r="Y271" t="s">
        <v>1001</v>
      </c>
      <c r="Z271">
        <v>5</v>
      </c>
      <c r="AA271">
        <v>1</v>
      </c>
      <c r="AB271" s="4">
        <f>Table1[[#This Row],[Total_Price]]*(1-Table1[[#This Row],[Discount 2]])</f>
        <v>8974162.5800000001</v>
      </c>
      <c r="AC271" s="4" t="str" cm="1">
        <f t="array" ref="AC271">_xlfn.IFS(Table1[[#This Row],[Revenue]]&gt;=30000000,"High Value",Table1[[#This Row],[Revenue]]&gt;=10000000,"Moderate Value",TRUE,"Low Value")</f>
        <v>Low Value</v>
      </c>
      <c r="AD271" t="str">
        <f>IF(Table1[[#This Row],[Discount 2]]&gt;=5%, "YES", "NO")</f>
        <v>NO</v>
      </c>
      <c r="AE271" t="str" cm="1">
        <f t="array" ref="AE271">_xlfn.IFS(Table1[[#This Row],[Revenue]]&gt;=30000000,"High Spender",Table1[[#This Row],[Revenue]]&gt;=10000000,"Moderate Spender",TRUE,"Low Spender")</f>
        <v>Low Spender</v>
      </c>
      <c r="AF271" s="4" t="str" cm="1">
        <f t="array" ref="AF271">_xlfn.IFS(Table1[[#This Row],[Land_Size_SQM]]&gt;=730,"LARGE",Table1[[#This Row],[Land_Size_SQM]]&gt;=465,"MEDIUM",TRUE,"SMALL")</f>
        <v>MEDIUM</v>
      </c>
    </row>
    <row r="272" spans="1:32" x14ac:dyDescent="0.3">
      <c r="A272" t="s">
        <v>296</v>
      </c>
      <c r="B272" t="s">
        <v>579</v>
      </c>
      <c r="C272" t="s">
        <v>627</v>
      </c>
      <c r="D272">
        <v>29</v>
      </c>
      <c r="E272" t="s">
        <v>628</v>
      </c>
      <c r="F272">
        <v>255</v>
      </c>
      <c r="G272" s="4">
        <v>21974</v>
      </c>
      <c r="H272" s="4">
        <v>5603370</v>
      </c>
      <c r="I272" t="s">
        <v>659</v>
      </c>
      <c r="J272" t="s">
        <v>668</v>
      </c>
      <c r="K272" t="s">
        <v>640</v>
      </c>
      <c r="L272" t="s">
        <v>682</v>
      </c>
      <c r="M272" t="s">
        <v>684</v>
      </c>
      <c r="N272" t="s">
        <v>691</v>
      </c>
      <c r="O272" t="s">
        <v>693</v>
      </c>
      <c r="P272" s="4">
        <v>5603370</v>
      </c>
      <c r="Q272">
        <v>0</v>
      </c>
      <c r="R272" s="7">
        <v>3.19</v>
      </c>
      <c r="S272" s="8">
        <f>Table1[[#This Row],[Discount_%]]/100</f>
        <v>3.1899999999999998E-2</v>
      </c>
      <c r="T272" s="6" t="s">
        <v>894</v>
      </c>
      <c r="U272" t="s">
        <v>985</v>
      </c>
      <c r="V272">
        <v>2024</v>
      </c>
      <c r="W272" t="s">
        <v>993</v>
      </c>
      <c r="X272" t="s">
        <v>999</v>
      </c>
      <c r="Y272" t="s">
        <v>1002</v>
      </c>
      <c r="Z272">
        <v>3</v>
      </c>
      <c r="AA272">
        <v>26</v>
      </c>
      <c r="AB272" s="4">
        <f>Table1[[#This Row],[Total_Price]]*(1-Table1[[#This Row],[Discount 2]])</f>
        <v>5424622.4969999995</v>
      </c>
      <c r="AC272" s="4" t="str" cm="1">
        <f t="array" ref="AC272">_xlfn.IFS(Table1[[#This Row],[Revenue]]&gt;=30000000,"High Value",Table1[[#This Row],[Revenue]]&gt;=10000000,"Moderate Value",TRUE,"Low Value")</f>
        <v>Low Value</v>
      </c>
      <c r="AD272" t="str">
        <f>IF(Table1[[#This Row],[Discount 2]]&gt;=5%, "YES", "NO")</f>
        <v>NO</v>
      </c>
      <c r="AE272" t="str" cm="1">
        <f t="array" ref="AE272">_xlfn.IFS(Table1[[#This Row],[Revenue]]&gt;=30000000,"High Spender",Table1[[#This Row],[Revenue]]&gt;=10000000,"Moderate Spender",TRUE,"Low Spender")</f>
        <v>Low Spender</v>
      </c>
      <c r="AF272" s="4" t="str" cm="1">
        <f t="array" ref="AF272">_xlfn.IFS(Table1[[#This Row],[Land_Size_SQM]]&gt;=730,"LARGE",Table1[[#This Row],[Land_Size_SQM]]&gt;=465,"MEDIUM",TRUE,"SMALL")</f>
        <v>SMALL</v>
      </c>
    </row>
    <row r="273" spans="1:32" x14ac:dyDescent="0.3">
      <c r="A273" t="s">
        <v>297</v>
      </c>
      <c r="B273" t="s">
        <v>541</v>
      </c>
      <c r="C273" t="s">
        <v>626</v>
      </c>
      <c r="D273">
        <v>64</v>
      </c>
      <c r="E273" t="s">
        <v>628</v>
      </c>
      <c r="F273">
        <v>284</v>
      </c>
      <c r="G273" s="4">
        <v>33185</v>
      </c>
      <c r="H273" s="4">
        <v>9424540</v>
      </c>
      <c r="I273" t="s">
        <v>654</v>
      </c>
      <c r="J273" t="s">
        <v>669</v>
      </c>
      <c r="K273" t="s">
        <v>651</v>
      </c>
      <c r="L273" t="s">
        <v>680</v>
      </c>
      <c r="M273" t="s">
        <v>684</v>
      </c>
      <c r="N273" t="s">
        <v>692</v>
      </c>
      <c r="O273" t="s">
        <v>693</v>
      </c>
      <c r="P273" s="4">
        <v>9424540</v>
      </c>
      <c r="Q273">
        <v>0</v>
      </c>
      <c r="R273" s="7">
        <v>5.48</v>
      </c>
      <c r="S273" s="8">
        <f>Table1[[#This Row],[Discount_%]]/100</f>
        <v>5.4800000000000001E-2</v>
      </c>
      <c r="T273" s="6" t="s">
        <v>895</v>
      </c>
      <c r="U273" t="s">
        <v>992</v>
      </c>
      <c r="V273">
        <v>2024</v>
      </c>
      <c r="W273" t="s">
        <v>996</v>
      </c>
      <c r="X273" t="s">
        <v>998</v>
      </c>
      <c r="Y273" t="s">
        <v>1002</v>
      </c>
      <c r="Z273">
        <v>5</v>
      </c>
      <c r="AA273">
        <v>13</v>
      </c>
      <c r="AB273" s="4">
        <f>Table1[[#This Row],[Total_Price]]*(1-Table1[[#This Row],[Discount 2]])</f>
        <v>8908075.2080000006</v>
      </c>
      <c r="AC273" s="4" t="str" cm="1">
        <f t="array" ref="AC273">_xlfn.IFS(Table1[[#This Row],[Revenue]]&gt;=30000000,"High Value",Table1[[#This Row],[Revenue]]&gt;=10000000,"Moderate Value",TRUE,"Low Value")</f>
        <v>Low Value</v>
      </c>
      <c r="AD273" t="str">
        <f>IF(Table1[[#This Row],[Discount 2]]&gt;=5%, "YES", "NO")</f>
        <v>YES</v>
      </c>
      <c r="AE273" t="str" cm="1">
        <f t="array" ref="AE273">_xlfn.IFS(Table1[[#This Row],[Revenue]]&gt;=30000000,"High Spender",Table1[[#This Row],[Revenue]]&gt;=10000000,"Moderate Spender",TRUE,"Low Spender")</f>
        <v>Low Spender</v>
      </c>
      <c r="AF273" s="4" t="str" cm="1">
        <f t="array" ref="AF273">_xlfn.IFS(Table1[[#This Row],[Land_Size_SQM]]&gt;=730,"LARGE",Table1[[#This Row],[Land_Size_SQM]]&gt;=465,"MEDIUM",TRUE,"SMALL")</f>
        <v>SMALL</v>
      </c>
    </row>
    <row r="274" spans="1:32" x14ac:dyDescent="0.3">
      <c r="A274" t="s">
        <v>298</v>
      </c>
      <c r="B274" t="s">
        <v>598</v>
      </c>
      <c r="C274" t="s">
        <v>627</v>
      </c>
      <c r="D274">
        <v>27</v>
      </c>
      <c r="E274" t="s">
        <v>629</v>
      </c>
      <c r="F274">
        <v>452</v>
      </c>
      <c r="G274" s="4">
        <v>17880</v>
      </c>
      <c r="H274" s="4">
        <v>8081760</v>
      </c>
      <c r="I274" t="s">
        <v>665</v>
      </c>
      <c r="J274" t="s">
        <v>672</v>
      </c>
      <c r="K274" t="s">
        <v>675</v>
      </c>
      <c r="L274" t="s">
        <v>681</v>
      </c>
      <c r="M274" t="s">
        <v>684</v>
      </c>
      <c r="N274" t="s">
        <v>690</v>
      </c>
      <c r="O274" t="s">
        <v>693</v>
      </c>
      <c r="P274" s="4">
        <v>8081760</v>
      </c>
      <c r="Q274">
        <v>0</v>
      </c>
      <c r="R274" s="7">
        <v>2.66</v>
      </c>
      <c r="S274" s="8">
        <f>Table1[[#This Row],[Discount_%]]/100</f>
        <v>2.6600000000000002E-2</v>
      </c>
      <c r="T274" s="6" t="s">
        <v>757</v>
      </c>
      <c r="U274" t="s">
        <v>989</v>
      </c>
      <c r="V274">
        <v>2024</v>
      </c>
      <c r="W274" t="s">
        <v>994</v>
      </c>
      <c r="X274" t="s">
        <v>999</v>
      </c>
      <c r="Y274" t="s">
        <v>1002</v>
      </c>
      <c r="Z274">
        <v>3</v>
      </c>
      <c r="AA274">
        <v>39</v>
      </c>
      <c r="AB274" s="4">
        <f>Table1[[#This Row],[Total_Price]]*(1-Table1[[#This Row],[Discount 2]])</f>
        <v>7866785.1840000004</v>
      </c>
      <c r="AC274" s="4" t="str" cm="1">
        <f t="array" ref="AC274">_xlfn.IFS(Table1[[#This Row],[Revenue]]&gt;=30000000,"High Value",Table1[[#This Row],[Revenue]]&gt;=10000000,"Moderate Value",TRUE,"Low Value")</f>
        <v>Low Value</v>
      </c>
      <c r="AD274" t="str">
        <f>IF(Table1[[#This Row],[Discount 2]]&gt;=5%, "YES", "NO")</f>
        <v>NO</v>
      </c>
      <c r="AE274" t="str" cm="1">
        <f t="array" ref="AE274">_xlfn.IFS(Table1[[#This Row],[Revenue]]&gt;=30000000,"High Spender",Table1[[#This Row],[Revenue]]&gt;=10000000,"Moderate Spender",TRUE,"Low Spender")</f>
        <v>Low Spender</v>
      </c>
      <c r="AF274" s="4" t="str" cm="1">
        <f t="array" ref="AF274">_xlfn.IFS(Table1[[#This Row],[Land_Size_SQM]]&gt;=730,"LARGE",Table1[[#This Row],[Land_Size_SQM]]&gt;=465,"MEDIUM",TRUE,"SMALL")</f>
        <v>SMALL</v>
      </c>
    </row>
    <row r="275" spans="1:32" x14ac:dyDescent="0.3">
      <c r="A275" t="s">
        <v>299</v>
      </c>
      <c r="B275" t="s">
        <v>554</v>
      </c>
      <c r="C275" t="s">
        <v>627</v>
      </c>
      <c r="D275">
        <v>25</v>
      </c>
      <c r="E275" t="s">
        <v>628</v>
      </c>
      <c r="F275">
        <v>373</v>
      </c>
      <c r="G275" s="4">
        <v>24919</v>
      </c>
      <c r="H275" s="4">
        <v>9294787</v>
      </c>
      <c r="I275" t="s">
        <v>631</v>
      </c>
      <c r="J275" t="s">
        <v>668</v>
      </c>
      <c r="K275" t="s">
        <v>677</v>
      </c>
      <c r="L275" t="s">
        <v>682</v>
      </c>
      <c r="M275" t="s">
        <v>685</v>
      </c>
      <c r="N275" t="s">
        <v>688</v>
      </c>
      <c r="O275" t="s">
        <v>694</v>
      </c>
      <c r="P275" s="4">
        <v>3087162</v>
      </c>
      <c r="Q275">
        <v>6</v>
      </c>
      <c r="R275" s="7">
        <v>9.24</v>
      </c>
      <c r="S275" s="8">
        <f>Table1[[#This Row],[Discount_%]]/100</f>
        <v>9.2399999999999996E-2</v>
      </c>
      <c r="T275" s="6" t="s">
        <v>896</v>
      </c>
      <c r="U275" t="s">
        <v>990</v>
      </c>
      <c r="V275">
        <v>2024</v>
      </c>
      <c r="W275" t="s">
        <v>996</v>
      </c>
      <c r="X275" t="s">
        <v>998</v>
      </c>
      <c r="Y275" t="s">
        <v>1000</v>
      </c>
      <c r="Z275">
        <v>3</v>
      </c>
      <c r="AA275">
        <v>45</v>
      </c>
      <c r="AB275" s="4">
        <f>Table1[[#This Row],[Total_Price]]*(1-Table1[[#This Row],[Discount 2]])</f>
        <v>8435948.6811999995</v>
      </c>
      <c r="AC275" s="4" t="str" cm="1">
        <f t="array" ref="AC275">_xlfn.IFS(Table1[[#This Row],[Revenue]]&gt;=30000000,"High Value",Table1[[#This Row],[Revenue]]&gt;=10000000,"Moderate Value",TRUE,"Low Value")</f>
        <v>Low Value</v>
      </c>
      <c r="AD275" t="str">
        <f>IF(Table1[[#This Row],[Discount 2]]&gt;=5%, "YES", "NO")</f>
        <v>YES</v>
      </c>
      <c r="AE275" t="str" cm="1">
        <f t="array" ref="AE275">_xlfn.IFS(Table1[[#This Row],[Revenue]]&gt;=30000000,"High Spender",Table1[[#This Row],[Revenue]]&gt;=10000000,"Moderate Spender",TRUE,"Low Spender")</f>
        <v>Low Spender</v>
      </c>
      <c r="AF275" s="4" t="str" cm="1">
        <f t="array" ref="AF275">_xlfn.IFS(Table1[[#This Row],[Land_Size_SQM]]&gt;=730,"LARGE",Table1[[#This Row],[Land_Size_SQM]]&gt;=465,"MEDIUM",TRUE,"SMALL")</f>
        <v>SMALL</v>
      </c>
    </row>
    <row r="276" spans="1:32" x14ac:dyDescent="0.3">
      <c r="A276" t="s">
        <v>300</v>
      </c>
      <c r="B276" t="s">
        <v>539</v>
      </c>
      <c r="C276" t="s">
        <v>626</v>
      </c>
      <c r="D276">
        <v>59</v>
      </c>
      <c r="E276" t="s">
        <v>629</v>
      </c>
      <c r="F276">
        <v>682</v>
      </c>
      <c r="G276" s="4">
        <v>3490</v>
      </c>
      <c r="H276" s="4">
        <v>2380180</v>
      </c>
      <c r="I276" t="s">
        <v>646</v>
      </c>
      <c r="J276" t="s">
        <v>673</v>
      </c>
      <c r="K276" t="s">
        <v>678</v>
      </c>
      <c r="L276" t="s">
        <v>680</v>
      </c>
      <c r="M276" t="s">
        <v>685</v>
      </c>
      <c r="N276" t="s">
        <v>691</v>
      </c>
      <c r="O276" t="s">
        <v>694</v>
      </c>
      <c r="P276" s="4">
        <v>1004445</v>
      </c>
      <c r="Q276">
        <v>6</v>
      </c>
      <c r="R276" s="7">
        <v>2.12</v>
      </c>
      <c r="S276" s="8">
        <f>Table1[[#This Row],[Discount_%]]/100</f>
        <v>2.12E-2</v>
      </c>
      <c r="T276" s="6" t="s">
        <v>897</v>
      </c>
      <c r="U276" t="s">
        <v>985</v>
      </c>
      <c r="V276">
        <v>2024</v>
      </c>
      <c r="W276" t="s">
        <v>993</v>
      </c>
      <c r="X276" t="s">
        <v>998</v>
      </c>
      <c r="Y276" t="s">
        <v>1000</v>
      </c>
      <c r="Z276">
        <v>1</v>
      </c>
      <c r="AA276">
        <v>19</v>
      </c>
      <c r="AB276" s="4">
        <f>Table1[[#This Row],[Total_Price]]*(1-Table1[[#This Row],[Discount 2]])</f>
        <v>2329720.1839999999</v>
      </c>
      <c r="AC276" s="4" t="str" cm="1">
        <f t="array" ref="AC276">_xlfn.IFS(Table1[[#This Row],[Revenue]]&gt;=30000000,"High Value",Table1[[#This Row],[Revenue]]&gt;=10000000,"Moderate Value",TRUE,"Low Value")</f>
        <v>Low Value</v>
      </c>
      <c r="AD276" t="str">
        <f>IF(Table1[[#This Row],[Discount 2]]&gt;=5%, "YES", "NO")</f>
        <v>NO</v>
      </c>
      <c r="AE276" t="str" cm="1">
        <f t="array" ref="AE276">_xlfn.IFS(Table1[[#This Row],[Revenue]]&gt;=30000000,"High Spender",Table1[[#This Row],[Revenue]]&gt;=10000000,"Moderate Spender",TRUE,"Low Spender")</f>
        <v>Low Spender</v>
      </c>
      <c r="AF276" s="4" t="str" cm="1">
        <f t="array" ref="AF276">_xlfn.IFS(Table1[[#This Row],[Land_Size_SQM]]&gt;=730,"LARGE",Table1[[#This Row],[Land_Size_SQM]]&gt;=465,"MEDIUM",TRUE,"SMALL")</f>
        <v>MEDIUM</v>
      </c>
    </row>
    <row r="277" spans="1:32" x14ac:dyDescent="0.3">
      <c r="A277" t="s">
        <v>301</v>
      </c>
      <c r="B277" t="s">
        <v>532</v>
      </c>
      <c r="C277" t="s">
        <v>627</v>
      </c>
      <c r="D277">
        <v>21</v>
      </c>
      <c r="E277" t="s">
        <v>630</v>
      </c>
      <c r="F277">
        <v>254</v>
      </c>
      <c r="G277" s="4">
        <v>32471</v>
      </c>
      <c r="H277" s="4">
        <v>8247634</v>
      </c>
      <c r="I277" t="s">
        <v>656</v>
      </c>
      <c r="J277" t="s">
        <v>669</v>
      </c>
      <c r="K277" t="s">
        <v>677</v>
      </c>
      <c r="L277" t="s">
        <v>682</v>
      </c>
      <c r="M277" t="s">
        <v>684</v>
      </c>
      <c r="N277" t="s">
        <v>688</v>
      </c>
      <c r="O277" t="s">
        <v>693</v>
      </c>
      <c r="P277" s="4">
        <v>8247634</v>
      </c>
      <c r="Q277">
        <v>0</v>
      </c>
      <c r="R277" s="7">
        <v>0.67</v>
      </c>
      <c r="S277" s="8">
        <f>Table1[[#This Row],[Discount_%]]/100</f>
        <v>6.7000000000000002E-3</v>
      </c>
      <c r="T277" s="6" t="s">
        <v>898</v>
      </c>
      <c r="U277" t="s">
        <v>984</v>
      </c>
      <c r="V277">
        <v>2024</v>
      </c>
      <c r="W277" t="s">
        <v>995</v>
      </c>
      <c r="X277" t="s">
        <v>997</v>
      </c>
      <c r="Y277" t="s">
        <v>1001</v>
      </c>
      <c r="Z277">
        <v>1</v>
      </c>
      <c r="AA277">
        <v>21</v>
      </c>
      <c r="AB277" s="4">
        <f>Table1[[#This Row],[Total_Price]]*(1-Table1[[#This Row],[Discount 2]])</f>
        <v>8192374.8521999996</v>
      </c>
      <c r="AC277" s="4" t="str" cm="1">
        <f t="array" ref="AC277">_xlfn.IFS(Table1[[#This Row],[Revenue]]&gt;=30000000,"High Value",Table1[[#This Row],[Revenue]]&gt;=10000000,"Moderate Value",TRUE,"Low Value")</f>
        <v>Low Value</v>
      </c>
      <c r="AD277" t="str">
        <f>IF(Table1[[#This Row],[Discount 2]]&gt;=5%, "YES", "NO")</f>
        <v>NO</v>
      </c>
      <c r="AE277" t="str" cm="1">
        <f t="array" ref="AE277">_xlfn.IFS(Table1[[#This Row],[Revenue]]&gt;=30000000,"High Spender",Table1[[#This Row],[Revenue]]&gt;=10000000,"Moderate Spender",TRUE,"Low Spender")</f>
        <v>Low Spender</v>
      </c>
      <c r="AF277" s="4" t="str" cm="1">
        <f t="array" ref="AF277">_xlfn.IFS(Table1[[#This Row],[Land_Size_SQM]]&gt;=730,"LARGE",Table1[[#This Row],[Land_Size_SQM]]&gt;=465,"MEDIUM",TRUE,"SMALL")</f>
        <v>SMALL</v>
      </c>
    </row>
    <row r="278" spans="1:32" x14ac:dyDescent="0.3">
      <c r="A278" t="s">
        <v>302</v>
      </c>
      <c r="B278" t="s">
        <v>563</v>
      </c>
      <c r="C278" t="s">
        <v>627</v>
      </c>
      <c r="D278">
        <v>35</v>
      </c>
      <c r="E278" t="s">
        <v>629</v>
      </c>
      <c r="F278">
        <v>744</v>
      </c>
      <c r="G278" s="4">
        <v>7768</v>
      </c>
      <c r="H278" s="4">
        <v>5779392</v>
      </c>
      <c r="I278" t="s">
        <v>658</v>
      </c>
      <c r="J278" t="s">
        <v>670</v>
      </c>
      <c r="K278" t="s">
        <v>674</v>
      </c>
      <c r="L278" t="s">
        <v>681</v>
      </c>
      <c r="M278" t="s">
        <v>687</v>
      </c>
      <c r="N278" t="s">
        <v>691</v>
      </c>
      <c r="O278" t="s">
        <v>693</v>
      </c>
      <c r="P278" s="4">
        <v>5779392</v>
      </c>
      <c r="Q278">
        <v>0</v>
      </c>
      <c r="R278" s="7">
        <v>1.99</v>
      </c>
      <c r="S278" s="8">
        <f>Table1[[#This Row],[Discount_%]]/100</f>
        <v>1.9900000000000001E-2</v>
      </c>
      <c r="T278" s="6" t="s">
        <v>899</v>
      </c>
      <c r="U278" t="s">
        <v>989</v>
      </c>
      <c r="V278">
        <v>2024</v>
      </c>
      <c r="W278" t="s">
        <v>995</v>
      </c>
      <c r="X278" t="s">
        <v>997</v>
      </c>
      <c r="Y278" t="s">
        <v>1000</v>
      </c>
      <c r="Z278">
        <v>1</v>
      </c>
      <c r="AA278">
        <v>23</v>
      </c>
      <c r="AB278" s="4">
        <f>Table1[[#This Row],[Total_Price]]*(1-Table1[[#This Row],[Discount 2]])</f>
        <v>5664382.0992000001</v>
      </c>
      <c r="AC278" s="4" t="str" cm="1">
        <f t="array" ref="AC278">_xlfn.IFS(Table1[[#This Row],[Revenue]]&gt;=30000000,"High Value",Table1[[#This Row],[Revenue]]&gt;=10000000,"Moderate Value",TRUE,"Low Value")</f>
        <v>Low Value</v>
      </c>
      <c r="AD278" t="str">
        <f>IF(Table1[[#This Row],[Discount 2]]&gt;=5%, "YES", "NO")</f>
        <v>NO</v>
      </c>
      <c r="AE278" t="str" cm="1">
        <f t="array" ref="AE278">_xlfn.IFS(Table1[[#This Row],[Revenue]]&gt;=30000000,"High Spender",Table1[[#This Row],[Revenue]]&gt;=10000000,"Moderate Spender",TRUE,"Low Spender")</f>
        <v>Low Spender</v>
      </c>
      <c r="AF278" s="4" t="str" cm="1">
        <f t="array" ref="AF278">_xlfn.IFS(Table1[[#This Row],[Land_Size_SQM]]&gt;=730,"LARGE",Table1[[#This Row],[Land_Size_SQM]]&gt;=465,"MEDIUM",TRUE,"SMALL")</f>
        <v>LARGE</v>
      </c>
    </row>
    <row r="279" spans="1:32" x14ac:dyDescent="0.3">
      <c r="A279" t="s">
        <v>303</v>
      </c>
      <c r="B279" t="s">
        <v>584</v>
      </c>
      <c r="C279" t="s">
        <v>626</v>
      </c>
      <c r="D279">
        <v>44</v>
      </c>
      <c r="E279" t="s">
        <v>628</v>
      </c>
      <c r="F279">
        <v>840</v>
      </c>
      <c r="G279" s="4">
        <v>21813</v>
      </c>
      <c r="H279" s="4">
        <v>18322920</v>
      </c>
      <c r="I279" t="s">
        <v>635</v>
      </c>
      <c r="J279" t="s">
        <v>668</v>
      </c>
      <c r="K279" t="s">
        <v>651</v>
      </c>
      <c r="L279" t="s">
        <v>682</v>
      </c>
      <c r="M279" t="s">
        <v>687</v>
      </c>
      <c r="N279" t="s">
        <v>688</v>
      </c>
      <c r="O279" t="s">
        <v>693</v>
      </c>
      <c r="P279" s="4">
        <v>18322920</v>
      </c>
      <c r="Q279">
        <v>0</v>
      </c>
      <c r="R279" s="7">
        <v>9.9600000000000009</v>
      </c>
      <c r="S279" s="8">
        <f>Table1[[#This Row],[Discount_%]]/100</f>
        <v>9.9600000000000008E-2</v>
      </c>
      <c r="T279" s="6" t="s">
        <v>900</v>
      </c>
      <c r="U279" t="s">
        <v>986</v>
      </c>
      <c r="V279">
        <v>2024</v>
      </c>
      <c r="W279" t="s">
        <v>996</v>
      </c>
      <c r="X279" t="s">
        <v>998</v>
      </c>
      <c r="Y279" t="s">
        <v>1002</v>
      </c>
      <c r="Z279">
        <v>2</v>
      </c>
      <c r="AA279">
        <v>6</v>
      </c>
      <c r="AB279" s="4">
        <f>Table1[[#This Row],[Total_Price]]*(1-Table1[[#This Row],[Discount 2]])</f>
        <v>16497957.168</v>
      </c>
      <c r="AC279" s="4" t="str" cm="1">
        <f t="array" ref="AC279">_xlfn.IFS(Table1[[#This Row],[Revenue]]&gt;=30000000,"High Value",Table1[[#This Row],[Revenue]]&gt;=10000000,"Moderate Value",TRUE,"Low Value")</f>
        <v>Moderate Value</v>
      </c>
      <c r="AD279" t="str">
        <f>IF(Table1[[#This Row],[Discount 2]]&gt;=5%, "YES", "NO")</f>
        <v>YES</v>
      </c>
      <c r="AE279" t="str" cm="1">
        <f t="array" ref="AE279">_xlfn.IFS(Table1[[#This Row],[Revenue]]&gt;=30000000,"High Spender",Table1[[#This Row],[Revenue]]&gt;=10000000,"Moderate Spender",TRUE,"Low Spender")</f>
        <v>Moderate Spender</v>
      </c>
      <c r="AF279" s="4" t="str" cm="1">
        <f t="array" ref="AF279">_xlfn.IFS(Table1[[#This Row],[Land_Size_SQM]]&gt;=730,"LARGE",Table1[[#This Row],[Land_Size_SQM]]&gt;=465,"MEDIUM",TRUE,"SMALL")</f>
        <v>LARGE</v>
      </c>
    </row>
    <row r="280" spans="1:32" x14ac:dyDescent="0.3">
      <c r="A280" t="s">
        <v>304</v>
      </c>
      <c r="B280" t="s">
        <v>537</v>
      </c>
      <c r="C280" t="s">
        <v>626</v>
      </c>
      <c r="D280">
        <v>58</v>
      </c>
      <c r="E280" t="s">
        <v>630</v>
      </c>
      <c r="F280">
        <v>894</v>
      </c>
      <c r="G280" s="4">
        <v>42137</v>
      </c>
      <c r="H280" s="4">
        <v>37670478</v>
      </c>
      <c r="I280" t="s">
        <v>633</v>
      </c>
      <c r="J280" t="s">
        <v>668</v>
      </c>
      <c r="K280" t="s">
        <v>675</v>
      </c>
      <c r="L280" t="s">
        <v>681</v>
      </c>
      <c r="M280" t="s">
        <v>686</v>
      </c>
      <c r="N280" t="s">
        <v>688</v>
      </c>
      <c r="O280" t="s">
        <v>693</v>
      </c>
      <c r="P280" s="4">
        <v>37670478</v>
      </c>
      <c r="Q280">
        <v>0</v>
      </c>
      <c r="R280" s="7">
        <v>4.17</v>
      </c>
      <c r="S280" s="8">
        <f>Table1[[#This Row],[Discount_%]]/100</f>
        <v>4.1700000000000001E-2</v>
      </c>
      <c r="T280" s="6" t="s">
        <v>901</v>
      </c>
      <c r="U280" t="s">
        <v>985</v>
      </c>
      <c r="V280">
        <v>2024</v>
      </c>
      <c r="W280" t="s">
        <v>996</v>
      </c>
      <c r="X280" t="s">
        <v>997</v>
      </c>
      <c r="Y280" t="s">
        <v>1000</v>
      </c>
      <c r="Z280">
        <v>5</v>
      </c>
      <c r="AA280">
        <v>35</v>
      </c>
      <c r="AB280" s="4">
        <f>Table1[[#This Row],[Total_Price]]*(1-Table1[[#This Row],[Discount 2]])</f>
        <v>36099619.067400001</v>
      </c>
      <c r="AC280" s="4" t="str" cm="1">
        <f t="array" ref="AC280">_xlfn.IFS(Table1[[#This Row],[Revenue]]&gt;=30000000,"High Value",Table1[[#This Row],[Revenue]]&gt;=10000000,"Moderate Value",TRUE,"Low Value")</f>
        <v>High Value</v>
      </c>
      <c r="AD280" t="str">
        <f>IF(Table1[[#This Row],[Discount 2]]&gt;=5%, "YES", "NO")</f>
        <v>NO</v>
      </c>
      <c r="AE280" t="str" cm="1">
        <f t="array" ref="AE280">_xlfn.IFS(Table1[[#This Row],[Revenue]]&gt;=30000000,"High Spender",Table1[[#This Row],[Revenue]]&gt;=10000000,"Moderate Spender",TRUE,"Low Spender")</f>
        <v>High Spender</v>
      </c>
      <c r="AF280" s="4" t="str" cm="1">
        <f t="array" ref="AF280">_xlfn.IFS(Table1[[#This Row],[Land_Size_SQM]]&gt;=730,"LARGE",Table1[[#This Row],[Land_Size_SQM]]&gt;=465,"MEDIUM",TRUE,"SMALL")</f>
        <v>LARGE</v>
      </c>
    </row>
    <row r="281" spans="1:32" x14ac:dyDescent="0.3">
      <c r="A281" t="s">
        <v>305</v>
      </c>
      <c r="B281" t="s">
        <v>595</v>
      </c>
      <c r="C281" t="s">
        <v>626</v>
      </c>
      <c r="D281">
        <v>24</v>
      </c>
      <c r="E281" t="s">
        <v>629</v>
      </c>
      <c r="F281">
        <v>516</v>
      </c>
      <c r="G281" s="4">
        <v>47123</v>
      </c>
      <c r="H281" s="4">
        <v>24315468</v>
      </c>
      <c r="I281" t="s">
        <v>653</v>
      </c>
      <c r="J281" t="s">
        <v>668</v>
      </c>
      <c r="K281" t="s">
        <v>638</v>
      </c>
      <c r="L281" t="s">
        <v>682</v>
      </c>
      <c r="M281" t="s">
        <v>685</v>
      </c>
      <c r="N281" t="s">
        <v>688</v>
      </c>
      <c r="O281" t="s">
        <v>693</v>
      </c>
      <c r="P281" s="4">
        <v>24315468</v>
      </c>
      <c r="Q281">
        <v>0</v>
      </c>
      <c r="R281" s="7">
        <v>4.3</v>
      </c>
      <c r="S281" s="8">
        <f>Table1[[#This Row],[Discount_%]]/100</f>
        <v>4.2999999999999997E-2</v>
      </c>
      <c r="T281" s="6" t="s">
        <v>748</v>
      </c>
      <c r="U281" t="s">
        <v>987</v>
      </c>
      <c r="V281">
        <v>2024</v>
      </c>
      <c r="W281" t="s">
        <v>994</v>
      </c>
      <c r="X281" t="s">
        <v>999</v>
      </c>
      <c r="Y281" t="s">
        <v>1001</v>
      </c>
      <c r="Z281">
        <v>1</v>
      </c>
      <c r="AA281">
        <v>49</v>
      </c>
      <c r="AB281" s="4">
        <f>Table1[[#This Row],[Total_Price]]*(1-Table1[[#This Row],[Discount 2]])</f>
        <v>23269902.875999998</v>
      </c>
      <c r="AC281" s="4" t="str" cm="1">
        <f t="array" ref="AC281">_xlfn.IFS(Table1[[#This Row],[Revenue]]&gt;=30000000,"High Value",Table1[[#This Row],[Revenue]]&gt;=10000000,"Moderate Value",TRUE,"Low Value")</f>
        <v>Moderate Value</v>
      </c>
      <c r="AD281" t="str">
        <f>IF(Table1[[#This Row],[Discount 2]]&gt;=5%, "YES", "NO")</f>
        <v>NO</v>
      </c>
      <c r="AE281" t="str" cm="1">
        <f t="array" ref="AE281">_xlfn.IFS(Table1[[#This Row],[Revenue]]&gt;=30000000,"High Spender",Table1[[#This Row],[Revenue]]&gt;=10000000,"Moderate Spender",TRUE,"Low Spender")</f>
        <v>Moderate Spender</v>
      </c>
      <c r="AF281" s="4" t="str" cm="1">
        <f t="array" ref="AF281">_xlfn.IFS(Table1[[#This Row],[Land_Size_SQM]]&gt;=730,"LARGE",Table1[[#This Row],[Land_Size_SQM]]&gt;=465,"MEDIUM",TRUE,"SMALL")</f>
        <v>MEDIUM</v>
      </c>
    </row>
    <row r="282" spans="1:32" x14ac:dyDescent="0.3">
      <c r="A282" t="s">
        <v>306</v>
      </c>
      <c r="B282" t="s">
        <v>582</v>
      </c>
      <c r="C282" t="s">
        <v>626</v>
      </c>
      <c r="D282">
        <v>58</v>
      </c>
      <c r="E282" t="s">
        <v>629</v>
      </c>
      <c r="F282">
        <v>510</v>
      </c>
      <c r="G282" s="4">
        <v>31032</v>
      </c>
      <c r="H282" s="4">
        <v>15826320</v>
      </c>
      <c r="I282" t="s">
        <v>639</v>
      </c>
      <c r="J282" t="s">
        <v>671</v>
      </c>
      <c r="K282" t="s">
        <v>640</v>
      </c>
      <c r="L282" t="s">
        <v>682</v>
      </c>
      <c r="M282" t="s">
        <v>683</v>
      </c>
      <c r="N282" t="s">
        <v>692</v>
      </c>
      <c r="O282" t="s">
        <v>694</v>
      </c>
      <c r="P282" s="4">
        <v>6864387</v>
      </c>
      <c r="Q282">
        <v>6</v>
      </c>
      <c r="R282" s="7">
        <v>1.07</v>
      </c>
      <c r="S282" s="8">
        <f>Table1[[#This Row],[Discount_%]]/100</f>
        <v>1.0700000000000001E-2</v>
      </c>
      <c r="T282" s="6" t="s">
        <v>902</v>
      </c>
      <c r="U282" t="s">
        <v>990</v>
      </c>
      <c r="V282">
        <v>2024</v>
      </c>
      <c r="W282" t="s">
        <v>996</v>
      </c>
      <c r="X282" t="s">
        <v>999</v>
      </c>
      <c r="Y282" t="s">
        <v>1001</v>
      </c>
      <c r="Z282">
        <v>1</v>
      </c>
      <c r="AA282">
        <v>23</v>
      </c>
      <c r="AB282" s="4">
        <f>Table1[[#This Row],[Total_Price]]*(1-Table1[[#This Row],[Discount 2]])</f>
        <v>15656978.376</v>
      </c>
      <c r="AC282" s="4" t="str" cm="1">
        <f t="array" ref="AC282">_xlfn.IFS(Table1[[#This Row],[Revenue]]&gt;=30000000,"High Value",Table1[[#This Row],[Revenue]]&gt;=10000000,"Moderate Value",TRUE,"Low Value")</f>
        <v>Moderate Value</v>
      </c>
      <c r="AD282" t="str">
        <f>IF(Table1[[#This Row],[Discount 2]]&gt;=5%, "YES", "NO")</f>
        <v>NO</v>
      </c>
      <c r="AE282" t="str" cm="1">
        <f t="array" ref="AE282">_xlfn.IFS(Table1[[#This Row],[Revenue]]&gt;=30000000,"High Spender",Table1[[#This Row],[Revenue]]&gt;=10000000,"Moderate Spender",TRUE,"Low Spender")</f>
        <v>Moderate Spender</v>
      </c>
      <c r="AF282" s="4" t="str" cm="1">
        <f t="array" ref="AF282">_xlfn.IFS(Table1[[#This Row],[Land_Size_SQM]]&gt;=730,"LARGE",Table1[[#This Row],[Land_Size_SQM]]&gt;=465,"MEDIUM",TRUE,"SMALL")</f>
        <v>MEDIUM</v>
      </c>
    </row>
    <row r="283" spans="1:32" x14ac:dyDescent="0.3">
      <c r="A283" t="s">
        <v>307</v>
      </c>
      <c r="B283" t="s">
        <v>534</v>
      </c>
      <c r="C283" t="s">
        <v>627</v>
      </c>
      <c r="D283">
        <v>34</v>
      </c>
      <c r="E283" t="s">
        <v>628</v>
      </c>
      <c r="F283">
        <v>337</v>
      </c>
      <c r="G283" s="4">
        <v>34920</v>
      </c>
      <c r="H283" s="4">
        <v>11768040</v>
      </c>
      <c r="I283" t="s">
        <v>662</v>
      </c>
      <c r="J283" t="s">
        <v>673</v>
      </c>
      <c r="K283" t="s">
        <v>678</v>
      </c>
      <c r="L283" t="s">
        <v>681</v>
      </c>
      <c r="M283" t="s">
        <v>685</v>
      </c>
      <c r="N283" t="s">
        <v>690</v>
      </c>
      <c r="O283" t="s">
        <v>694</v>
      </c>
      <c r="P283" s="4">
        <v>3003121</v>
      </c>
      <c r="Q283">
        <v>12</v>
      </c>
      <c r="R283" s="7">
        <v>3.87</v>
      </c>
      <c r="S283" s="8">
        <f>Table1[[#This Row],[Discount_%]]/100</f>
        <v>3.8699999999999998E-2</v>
      </c>
      <c r="T283" s="6" t="s">
        <v>903</v>
      </c>
      <c r="U283" t="s">
        <v>989</v>
      </c>
      <c r="V283">
        <v>2024</v>
      </c>
      <c r="W283" t="s">
        <v>995</v>
      </c>
      <c r="X283" t="s">
        <v>999</v>
      </c>
      <c r="Y283" t="s">
        <v>1001</v>
      </c>
      <c r="Z283">
        <v>2</v>
      </c>
      <c r="AA283">
        <v>49</v>
      </c>
      <c r="AB283" s="4">
        <f>Table1[[#This Row],[Total_Price]]*(1-Table1[[#This Row],[Discount 2]])</f>
        <v>11312616.852</v>
      </c>
      <c r="AC283" s="4" t="str" cm="1">
        <f t="array" ref="AC283">_xlfn.IFS(Table1[[#This Row],[Revenue]]&gt;=30000000,"High Value",Table1[[#This Row],[Revenue]]&gt;=10000000,"Moderate Value",TRUE,"Low Value")</f>
        <v>Moderate Value</v>
      </c>
      <c r="AD283" t="str">
        <f>IF(Table1[[#This Row],[Discount 2]]&gt;=5%, "YES", "NO")</f>
        <v>NO</v>
      </c>
      <c r="AE283" t="str" cm="1">
        <f t="array" ref="AE283">_xlfn.IFS(Table1[[#This Row],[Revenue]]&gt;=30000000,"High Spender",Table1[[#This Row],[Revenue]]&gt;=10000000,"Moderate Spender",TRUE,"Low Spender")</f>
        <v>Moderate Spender</v>
      </c>
      <c r="AF283" s="4" t="str" cm="1">
        <f t="array" ref="AF283">_xlfn.IFS(Table1[[#This Row],[Land_Size_SQM]]&gt;=730,"LARGE",Table1[[#This Row],[Land_Size_SQM]]&gt;=465,"MEDIUM",TRUE,"SMALL")</f>
        <v>SMALL</v>
      </c>
    </row>
    <row r="284" spans="1:32" x14ac:dyDescent="0.3">
      <c r="A284" t="s">
        <v>308</v>
      </c>
      <c r="B284" t="s">
        <v>538</v>
      </c>
      <c r="C284" t="s">
        <v>626</v>
      </c>
      <c r="D284">
        <v>40</v>
      </c>
      <c r="E284" t="s">
        <v>630</v>
      </c>
      <c r="F284">
        <v>649</v>
      </c>
      <c r="G284" s="4">
        <v>42439</v>
      </c>
      <c r="H284" s="4">
        <v>27542911</v>
      </c>
      <c r="I284" t="s">
        <v>649</v>
      </c>
      <c r="J284" t="s">
        <v>669</v>
      </c>
      <c r="K284" t="s">
        <v>638</v>
      </c>
      <c r="L284" t="s">
        <v>682</v>
      </c>
      <c r="M284" t="s">
        <v>686</v>
      </c>
      <c r="N284" t="s">
        <v>692</v>
      </c>
      <c r="O284" t="s">
        <v>694</v>
      </c>
      <c r="P284" s="4">
        <v>12670633</v>
      </c>
      <c r="Q284">
        <v>12</v>
      </c>
      <c r="R284" s="7">
        <v>8.8800000000000008</v>
      </c>
      <c r="S284" s="8">
        <f>Table1[[#This Row],[Discount_%]]/100</f>
        <v>8.8800000000000004E-2</v>
      </c>
      <c r="T284" s="6" t="s">
        <v>904</v>
      </c>
      <c r="U284" t="s">
        <v>989</v>
      </c>
      <c r="V284">
        <v>2024</v>
      </c>
      <c r="W284" t="s">
        <v>993</v>
      </c>
      <c r="X284" t="s">
        <v>997</v>
      </c>
      <c r="Y284" t="s">
        <v>1000</v>
      </c>
      <c r="Z284">
        <v>4</v>
      </c>
      <c r="AA284">
        <v>30</v>
      </c>
      <c r="AB284" s="4">
        <f>Table1[[#This Row],[Total_Price]]*(1-Table1[[#This Row],[Discount 2]])</f>
        <v>25097100.503200002</v>
      </c>
      <c r="AC284" s="4" t="str" cm="1">
        <f t="array" ref="AC284">_xlfn.IFS(Table1[[#This Row],[Revenue]]&gt;=30000000,"High Value",Table1[[#This Row],[Revenue]]&gt;=10000000,"Moderate Value",TRUE,"Low Value")</f>
        <v>Moderate Value</v>
      </c>
      <c r="AD284" t="str">
        <f>IF(Table1[[#This Row],[Discount 2]]&gt;=5%, "YES", "NO")</f>
        <v>YES</v>
      </c>
      <c r="AE284" t="str" cm="1">
        <f t="array" ref="AE284">_xlfn.IFS(Table1[[#This Row],[Revenue]]&gt;=30000000,"High Spender",Table1[[#This Row],[Revenue]]&gt;=10000000,"Moderate Spender",TRUE,"Low Spender")</f>
        <v>Moderate Spender</v>
      </c>
      <c r="AF284" s="4" t="str" cm="1">
        <f t="array" ref="AF284">_xlfn.IFS(Table1[[#This Row],[Land_Size_SQM]]&gt;=730,"LARGE",Table1[[#This Row],[Land_Size_SQM]]&gt;=465,"MEDIUM",TRUE,"SMALL")</f>
        <v>MEDIUM</v>
      </c>
    </row>
    <row r="285" spans="1:32" x14ac:dyDescent="0.3">
      <c r="A285" t="s">
        <v>309</v>
      </c>
      <c r="B285" t="s">
        <v>574</v>
      </c>
      <c r="C285" t="s">
        <v>626</v>
      </c>
      <c r="D285">
        <v>48</v>
      </c>
      <c r="E285" t="s">
        <v>630</v>
      </c>
      <c r="F285">
        <v>750</v>
      </c>
      <c r="G285" s="4">
        <v>27926</v>
      </c>
      <c r="H285" s="4">
        <v>20944500</v>
      </c>
      <c r="I285" t="s">
        <v>641</v>
      </c>
      <c r="J285" t="s">
        <v>673</v>
      </c>
      <c r="K285" t="s">
        <v>675</v>
      </c>
      <c r="L285" t="s">
        <v>681</v>
      </c>
      <c r="M285" t="s">
        <v>687</v>
      </c>
      <c r="N285" t="s">
        <v>691</v>
      </c>
      <c r="O285" t="s">
        <v>693</v>
      </c>
      <c r="P285" s="4">
        <v>20944500</v>
      </c>
      <c r="Q285">
        <v>0</v>
      </c>
      <c r="R285" s="7">
        <v>5.58</v>
      </c>
      <c r="S285" s="8">
        <f>Table1[[#This Row],[Discount_%]]/100</f>
        <v>5.5800000000000002E-2</v>
      </c>
      <c r="T285" s="6" t="s">
        <v>905</v>
      </c>
      <c r="U285" t="s">
        <v>986</v>
      </c>
      <c r="V285">
        <v>2024</v>
      </c>
      <c r="W285" t="s">
        <v>996</v>
      </c>
      <c r="X285" t="s">
        <v>998</v>
      </c>
      <c r="Y285" t="s">
        <v>1002</v>
      </c>
      <c r="Z285">
        <v>5</v>
      </c>
      <c r="AA285">
        <v>4</v>
      </c>
      <c r="AB285" s="4">
        <f>Table1[[#This Row],[Total_Price]]*(1-Table1[[#This Row],[Discount 2]])</f>
        <v>19775796.900000002</v>
      </c>
      <c r="AC285" s="4" t="str" cm="1">
        <f t="array" ref="AC285">_xlfn.IFS(Table1[[#This Row],[Revenue]]&gt;=30000000,"High Value",Table1[[#This Row],[Revenue]]&gt;=10000000,"Moderate Value",TRUE,"Low Value")</f>
        <v>Moderate Value</v>
      </c>
      <c r="AD285" t="str">
        <f>IF(Table1[[#This Row],[Discount 2]]&gt;=5%, "YES", "NO")</f>
        <v>YES</v>
      </c>
      <c r="AE285" t="str" cm="1">
        <f t="array" ref="AE285">_xlfn.IFS(Table1[[#This Row],[Revenue]]&gt;=30000000,"High Spender",Table1[[#This Row],[Revenue]]&gt;=10000000,"Moderate Spender",TRUE,"Low Spender")</f>
        <v>Moderate Spender</v>
      </c>
      <c r="AF285" s="4" t="str" cm="1">
        <f t="array" ref="AF285">_xlfn.IFS(Table1[[#This Row],[Land_Size_SQM]]&gt;=730,"LARGE",Table1[[#This Row],[Land_Size_SQM]]&gt;=465,"MEDIUM",TRUE,"SMALL")</f>
        <v>LARGE</v>
      </c>
    </row>
    <row r="286" spans="1:32" x14ac:dyDescent="0.3">
      <c r="A286" t="s">
        <v>310</v>
      </c>
      <c r="B286" t="s">
        <v>619</v>
      </c>
      <c r="C286" t="s">
        <v>626</v>
      </c>
      <c r="D286">
        <v>46</v>
      </c>
      <c r="E286" t="s">
        <v>630</v>
      </c>
      <c r="F286">
        <v>674</v>
      </c>
      <c r="G286" s="4">
        <v>44342</v>
      </c>
      <c r="H286" s="4">
        <v>29886508</v>
      </c>
      <c r="I286" t="s">
        <v>644</v>
      </c>
      <c r="J286" t="s">
        <v>668</v>
      </c>
      <c r="K286" t="s">
        <v>638</v>
      </c>
      <c r="L286" t="s">
        <v>681</v>
      </c>
      <c r="M286" t="s">
        <v>685</v>
      </c>
      <c r="N286" t="s">
        <v>688</v>
      </c>
      <c r="O286" t="s">
        <v>694</v>
      </c>
      <c r="P286" s="4">
        <v>12456518</v>
      </c>
      <c r="Q286">
        <v>3</v>
      </c>
      <c r="R286" s="7">
        <v>1.1299999999999999</v>
      </c>
      <c r="S286" s="8">
        <f>Table1[[#This Row],[Discount_%]]/100</f>
        <v>1.1299999999999999E-2</v>
      </c>
      <c r="T286" s="6" t="s">
        <v>906</v>
      </c>
      <c r="U286" t="s">
        <v>985</v>
      </c>
      <c r="V286">
        <v>2024</v>
      </c>
      <c r="W286" t="s">
        <v>995</v>
      </c>
      <c r="X286" t="s">
        <v>997</v>
      </c>
      <c r="Y286" t="s">
        <v>1001</v>
      </c>
      <c r="Z286">
        <v>2</v>
      </c>
      <c r="AA286">
        <v>30</v>
      </c>
      <c r="AB286" s="4">
        <f>Table1[[#This Row],[Total_Price]]*(1-Table1[[#This Row],[Discount 2]])</f>
        <v>29548790.459600002</v>
      </c>
      <c r="AC286" s="4" t="str" cm="1">
        <f t="array" ref="AC286">_xlfn.IFS(Table1[[#This Row],[Revenue]]&gt;=30000000,"High Value",Table1[[#This Row],[Revenue]]&gt;=10000000,"Moderate Value",TRUE,"Low Value")</f>
        <v>Moderate Value</v>
      </c>
      <c r="AD286" t="str">
        <f>IF(Table1[[#This Row],[Discount 2]]&gt;=5%, "YES", "NO")</f>
        <v>NO</v>
      </c>
      <c r="AE286" t="str" cm="1">
        <f t="array" ref="AE286">_xlfn.IFS(Table1[[#This Row],[Revenue]]&gt;=30000000,"High Spender",Table1[[#This Row],[Revenue]]&gt;=10000000,"Moderate Spender",TRUE,"Low Spender")</f>
        <v>Moderate Spender</v>
      </c>
      <c r="AF286" s="4" t="str" cm="1">
        <f t="array" ref="AF286">_xlfn.IFS(Table1[[#This Row],[Land_Size_SQM]]&gt;=730,"LARGE",Table1[[#This Row],[Land_Size_SQM]]&gt;=465,"MEDIUM",TRUE,"SMALL")</f>
        <v>MEDIUM</v>
      </c>
    </row>
    <row r="287" spans="1:32" x14ac:dyDescent="0.3">
      <c r="A287" t="s">
        <v>311</v>
      </c>
      <c r="B287" t="s">
        <v>569</v>
      </c>
      <c r="C287" t="s">
        <v>626</v>
      </c>
      <c r="D287">
        <v>60</v>
      </c>
      <c r="E287" t="s">
        <v>630</v>
      </c>
      <c r="F287">
        <v>908</v>
      </c>
      <c r="G287" s="4">
        <v>44505</v>
      </c>
      <c r="H287" s="4">
        <v>40410540</v>
      </c>
      <c r="I287" t="s">
        <v>646</v>
      </c>
      <c r="J287" t="s">
        <v>673</v>
      </c>
      <c r="K287" t="s">
        <v>651</v>
      </c>
      <c r="L287" t="s">
        <v>680</v>
      </c>
      <c r="M287" t="s">
        <v>686</v>
      </c>
      <c r="N287" t="s">
        <v>691</v>
      </c>
      <c r="O287" t="s">
        <v>693</v>
      </c>
      <c r="P287" s="4">
        <v>40410540</v>
      </c>
      <c r="Q287">
        <v>0</v>
      </c>
      <c r="R287" s="7">
        <v>7.18</v>
      </c>
      <c r="S287" s="8">
        <f>Table1[[#This Row],[Discount_%]]/100</f>
        <v>7.1800000000000003E-2</v>
      </c>
      <c r="T287" s="6" t="s">
        <v>907</v>
      </c>
      <c r="U287" t="s">
        <v>987</v>
      </c>
      <c r="V287">
        <v>2024</v>
      </c>
      <c r="W287" t="s">
        <v>996</v>
      </c>
      <c r="X287" t="s">
        <v>998</v>
      </c>
      <c r="Y287" t="s">
        <v>1001</v>
      </c>
      <c r="Z287">
        <v>4</v>
      </c>
      <c r="AA287">
        <v>3</v>
      </c>
      <c r="AB287" s="4">
        <f>Table1[[#This Row],[Total_Price]]*(1-Table1[[#This Row],[Discount 2]])</f>
        <v>37509063.228</v>
      </c>
      <c r="AC287" s="4" t="str" cm="1">
        <f t="array" ref="AC287">_xlfn.IFS(Table1[[#This Row],[Revenue]]&gt;=30000000,"High Value",Table1[[#This Row],[Revenue]]&gt;=10000000,"Moderate Value",TRUE,"Low Value")</f>
        <v>High Value</v>
      </c>
      <c r="AD287" t="str">
        <f>IF(Table1[[#This Row],[Discount 2]]&gt;=5%, "YES", "NO")</f>
        <v>YES</v>
      </c>
      <c r="AE287" t="str" cm="1">
        <f t="array" ref="AE287">_xlfn.IFS(Table1[[#This Row],[Revenue]]&gt;=30000000,"High Spender",Table1[[#This Row],[Revenue]]&gt;=10000000,"Moderate Spender",TRUE,"Low Spender")</f>
        <v>High Spender</v>
      </c>
      <c r="AF287" s="4" t="str" cm="1">
        <f t="array" ref="AF287">_xlfn.IFS(Table1[[#This Row],[Land_Size_SQM]]&gt;=730,"LARGE",Table1[[#This Row],[Land_Size_SQM]]&gt;=465,"MEDIUM",TRUE,"SMALL")</f>
        <v>LARGE</v>
      </c>
    </row>
    <row r="288" spans="1:32" x14ac:dyDescent="0.3">
      <c r="A288" t="s">
        <v>312</v>
      </c>
      <c r="B288" t="s">
        <v>576</v>
      </c>
      <c r="C288" t="s">
        <v>626</v>
      </c>
      <c r="D288">
        <v>39</v>
      </c>
      <c r="E288" t="s">
        <v>629</v>
      </c>
      <c r="F288">
        <v>875</v>
      </c>
      <c r="G288" s="4">
        <v>11836</v>
      </c>
      <c r="H288" s="4">
        <v>10356500</v>
      </c>
      <c r="I288" t="s">
        <v>651</v>
      </c>
      <c r="J288" t="s">
        <v>669</v>
      </c>
      <c r="K288" t="s">
        <v>674</v>
      </c>
      <c r="L288" t="s">
        <v>681</v>
      </c>
      <c r="M288" t="s">
        <v>687</v>
      </c>
      <c r="N288" t="s">
        <v>688</v>
      </c>
      <c r="O288" t="s">
        <v>693</v>
      </c>
      <c r="P288" s="4">
        <v>10356500</v>
      </c>
      <c r="Q288">
        <v>0</v>
      </c>
      <c r="R288" s="7">
        <v>8.69</v>
      </c>
      <c r="S288" s="8">
        <f>Table1[[#This Row],[Discount_%]]/100</f>
        <v>8.6899999999999991E-2</v>
      </c>
      <c r="T288" s="6" t="s">
        <v>864</v>
      </c>
      <c r="U288" t="s">
        <v>990</v>
      </c>
      <c r="V288">
        <v>2024</v>
      </c>
      <c r="W288" t="s">
        <v>993</v>
      </c>
      <c r="X288" t="s">
        <v>999</v>
      </c>
      <c r="Y288" t="s">
        <v>1000</v>
      </c>
      <c r="Z288">
        <v>1</v>
      </c>
      <c r="AA288">
        <v>40</v>
      </c>
      <c r="AB288" s="4">
        <f>Table1[[#This Row],[Total_Price]]*(1-Table1[[#This Row],[Discount 2]])</f>
        <v>9456520.1500000004</v>
      </c>
      <c r="AC288" s="4" t="str" cm="1">
        <f t="array" ref="AC288">_xlfn.IFS(Table1[[#This Row],[Revenue]]&gt;=30000000,"High Value",Table1[[#This Row],[Revenue]]&gt;=10000000,"Moderate Value",TRUE,"Low Value")</f>
        <v>Low Value</v>
      </c>
      <c r="AD288" t="str">
        <f>IF(Table1[[#This Row],[Discount 2]]&gt;=5%, "YES", "NO")</f>
        <v>YES</v>
      </c>
      <c r="AE288" t="str" cm="1">
        <f t="array" ref="AE288">_xlfn.IFS(Table1[[#This Row],[Revenue]]&gt;=30000000,"High Spender",Table1[[#This Row],[Revenue]]&gt;=10000000,"Moderate Spender",TRUE,"Low Spender")</f>
        <v>Low Spender</v>
      </c>
      <c r="AF288" s="4" t="str" cm="1">
        <f t="array" ref="AF288">_xlfn.IFS(Table1[[#This Row],[Land_Size_SQM]]&gt;=730,"LARGE",Table1[[#This Row],[Land_Size_SQM]]&gt;=465,"MEDIUM",TRUE,"SMALL")</f>
        <v>LARGE</v>
      </c>
    </row>
    <row r="289" spans="1:32" x14ac:dyDescent="0.3">
      <c r="A289" t="s">
        <v>313</v>
      </c>
      <c r="B289" t="s">
        <v>592</v>
      </c>
      <c r="C289" t="s">
        <v>626</v>
      </c>
      <c r="D289">
        <v>49</v>
      </c>
      <c r="E289" t="s">
        <v>630</v>
      </c>
      <c r="F289">
        <v>709</v>
      </c>
      <c r="G289" s="4">
        <v>34679</v>
      </c>
      <c r="H289" s="4">
        <v>24587411</v>
      </c>
      <c r="I289" t="s">
        <v>643</v>
      </c>
      <c r="J289" t="s">
        <v>671</v>
      </c>
      <c r="K289" t="s">
        <v>678</v>
      </c>
      <c r="L289" t="s">
        <v>681</v>
      </c>
      <c r="M289" t="s">
        <v>685</v>
      </c>
      <c r="N289" t="s">
        <v>692</v>
      </c>
      <c r="O289" t="s">
        <v>693</v>
      </c>
      <c r="P289" s="4">
        <v>24587411</v>
      </c>
      <c r="Q289">
        <v>0</v>
      </c>
      <c r="R289" s="7">
        <v>6.08</v>
      </c>
      <c r="S289" s="8">
        <f>Table1[[#This Row],[Discount_%]]/100</f>
        <v>6.08E-2</v>
      </c>
      <c r="T289" s="6" t="s">
        <v>908</v>
      </c>
      <c r="U289" t="s">
        <v>986</v>
      </c>
      <c r="V289">
        <v>2024</v>
      </c>
      <c r="W289" t="s">
        <v>993</v>
      </c>
      <c r="X289" t="s">
        <v>999</v>
      </c>
      <c r="Y289" t="s">
        <v>1001</v>
      </c>
      <c r="Z289">
        <v>3</v>
      </c>
      <c r="AA289">
        <v>40</v>
      </c>
      <c r="AB289" s="4">
        <f>Table1[[#This Row],[Total_Price]]*(1-Table1[[#This Row],[Discount 2]])</f>
        <v>23092496.411200002</v>
      </c>
      <c r="AC289" s="4" t="str" cm="1">
        <f t="array" ref="AC289">_xlfn.IFS(Table1[[#This Row],[Revenue]]&gt;=30000000,"High Value",Table1[[#This Row],[Revenue]]&gt;=10000000,"Moderate Value",TRUE,"Low Value")</f>
        <v>Moderate Value</v>
      </c>
      <c r="AD289" t="str">
        <f>IF(Table1[[#This Row],[Discount 2]]&gt;=5%, "YES", "NO")</f>
        <v>YES</v>
      </c>
      <c r="AE289" t="str" cm="1">
        <f t="array" ref="AE289">_xlfn.IFS(Table1[[#This Row],[Revenue]]&gt;=30000000,"High Spender",Table1[[#This Row],[Revenue]]&gt;=10000000,"Moderate Spender",TRUE,"Low Spender")</f>
        <v>Moderate Spender</v>
      </c>
      <c r="AF289" s="4" t="str" cm="1">
        <f t="array" ref="AF289">_xlfn.IFS(Table1[[#This Row],[Land_Size_SQM]]&gt;=730,"LARGE",Table1[[#This Row],[Land_Size_SQM]]&gt;=465,"MEDIUM",TRUE,"SMALL")</f>
        <v>MEDIUM</v>
      </c>
    </row>
    <row r="290" spans="1:32" x14ac:dyDescent="0.3">
      <c r="A290" t="s">
        <v>314</v>
      </c>
      <c r="B290" t="s">
        <v>606</v>
      </c>
      <c r="C290" t="s">
        <v>627</v>
      </c>
      <c r="D290">
        <v>62</v>
      </c>
      <c r="E290" t="s">
        <v>629</v>
      </c>
      <c r="F290">
        <v>250</v>
      </c>
      <c r="G290" s="4">
        <v>14113</v>
      </c>
      <c r="H290" s="4">
        <v>3528250</v>
      </c>
      <c r="I290" t="s">
        <v>644</v>
      </c>
      <c r="J290" t="s">
        <v>668</v>
      </c>
      <c r="K290" t="s">
        <v>679</v>
      </c>
      <c r="L290" t="s">
        <v>682</v>
      </c>
      <c r="M290" t="s">
        <v>687</v>
      </c>
      <c r="N290" t="s">
        <v>690</v>
      </c>
      <c r="O290" t="s">
        <v>693</v>
      </c>
      <c r="P290" s="4">
        <v>3528250</v>
      </c>
      <c r="Q290">
        <v>0</v>
      </c>
      <c r="R290" s="7">
        <v>0.55000000000000004</v>
      </c>
      <c r="S290" s="8">
        <f>Table1[[#This Row],[Discount_%]]/100</f>
        <v>5.5000000000000005E-3</v>
      </c>
      <c r="T290" s="6" t="s">
        <v>765</v>
      </c>
      <c r="U290" t="s">
        <v>982</v>
      </c>
      <c r="V290">
        <v>2024</v>
      </c>
      <c r="W290" t="s">
        <v>993</v>
      </c>
      <c r="X290" t="s">
        <v>999</v>
      </c>
      <c r="Y290" t="s">
        <v>1000</v>
      </c>
      <c r="Z290">
        <v>4</v>
      </c>
      <c r="AA290">
        <v>12</v>
      </c>
      <c r="AB290" s="4">
        <f>Table1[[#This Row],[Total_Price]]*(1-Table1[[#This Row],[Discount 2]])</f>
        <v>3508844.625</v>
      </c>
      <c r="AC290" s="4" t="str" cm="1">
        <f t="array" ref="AC290">_xlfn.IFS(Table1[[#This Row],[Revenue]]&gt;=30000000,"High Value",Table1[[#This Row],[Revenue]]&gt;=10000000,"Moderate Value",TRUE,"Low Value")</f>
        <v>Low Value</v>
      </c>
      <c r="AD290" t="str">
        <f>IF(Table1[[#This Row],[Discount 2]]&gt;=5%, "YES", "NO")</f>
        <v>NO</v>
      </c>
      <c r="AE290" t="str" cm="1">
        <f t="array" ref="AE290">_xlfn.IFS(Table1[[#This Row],[Revenue]]&gt;=30000000,"High Spender",Table1[[#This Row],[Revenue]]&gt;=10000000,"Moderate Spender",TRUE,"Low Spender")</f>
        <v>Low Spender</v>
      </c>
      <c r="AF290" s="4" t="str" cm="1">
        <f t="array" ref="AF290">_xlfn.IFS(Table1[[#This Row],[Land_Size_SQM]]&gt;=730,"LARGE",Table1[[#This Row],[Land_Size_SQM]]&gt;=465,"MEDIUM",TRUE,"SMALL")</f>
        <v>SMALL</v>
      </c>
    </row>
    <row r="291" spans="1:32" x14ac:dyDescent="0.3">
      <c r="A291" t="s">
        <v>315</v>
      </c>
      <c r="B291" t="s">
        <v>542</v>
      </c>
      <c r="C291" t="s">
        <v>627</v>
      </c>
      <c r="D291">
        <v>39</v>
      </c>
      <c r="E291" t="s">
        <v>630</v>
      </c>
      <c r="F291">
        <v>876</v>
      </c>
      <c r="G291" s="4">
        <v>47319</v>
      </c>
      <c r="H291" s="4">
        <v>41451444</v>
      </c>
      <c r="I291" t="s">
        <v>651</v>
      </c>
      <c r="J291" t="s">
        <v>669</v>
      </c>
      <c r="K291" t="s">
        <v>674</v>
      </c>
      <c r="L291" t="s">
        <v>681</v>
      </c>
      <c r="M291" t="s">
        <v>684</v>
      </c>
      <c r="N291" t="s">
        <v>689</v>
      </c>
      <c r="O291" t="s">
        <v>693</v>
      </c>
      <c r="P291" s="4">
        <v>41451444</v>
      </c>
      <c r="Q291">
        <v>0</v>
      </c>
      <c r="R291" s="7">
        <v>9.66</v>
      </c>
      <c r="S291" s="8">
        <f>Table1[[#This Row],[Discount_%]]/100</f>
        <v>9.6600000000000005E-2</v>
      </c>
      <c r="T291" s="6" t="s">
        <v>909</v>
      </c>
      <c r="U291" t="s">
        <v>985</v>
      </c>
      <c r="V291">
        <v>2024</v>
      </c>
      <c r="W291" t="s">
        <v>995</v>
      </c>
      <c r="X291" t="s">
        <v>997</v>
      </c>
      <c r="Y291" t="s">
        <v>1000</v>
      </c>
      <c r="Z291">
        <v>3</v>
      </c>
      <c r="AA291">
        <v>31</v>
      </c>
      <c r="AB291" s="4">
        <f>Table1[[#This Row],[Total_Price]]*(1-Table1[[#This Row],[Discount 2]])</f>
        <v>37447234.509599999</v>
      </c>
      <c r="AC291" s="4" t="str" cm="1">
        <f t="array" ref="AC291">_xlfn.IFS(Table1[[#This Row],[Revenue]]&gt;=30000000,"High Value",Table1[[#This Row],[Revenue]]&gt;=10000000,"Moderate Value",TRUE,"Low Value")</f>
        <v>High Value</v>
      </c>
      <c r="AD291" t="str">
        <f>IF(Table1[[#This Row],[Discount 2]]&gt;=5%, "YES", "NO")</f>
        <v>YES</v>
      </c>
      <c r="AE291" t="str" cm="1">
        <f t="array" ref="AE291">_xlfn.IFS(Table1[[#This Row],[Revenue]]&gt;=30000000,"High Spender",Table1[[#This Row],[Revenue]]&gt;=10000000,"Moderate Spender",TRUE,"Low Spender")</f>
        <v>High Spender</v>
      </c>
      <c r="AF291" s="4" t="str" cm="1">
        <f t="array" ref="AF291">_xlfn.IFS(Table1[[#This Row],[Land_Size_SQM]]&gt;=730,"LARGE",Table1[[#This Row],[Land_Size_SQM]]&gt;=465,"MEDIUM",TRUE,"SMALL")</f>
        <v>LARGE</v>
      </c>
    </row>
    <row r="292" spans="1:32" x14ac:dyDescent="0.3">
      <c r="A292" t="s">
        <v>316</v>
      </c>
      <c r="B292" t="s">
        <v>535</v>
      </c>
      <c r="C292" t="s">
        <v>627</v>
      </c>
      <c r="D292">
        <v>50</v>
      </c>
      <c r="E292" t="s">
        <v>629</v>
      </c>
      <c r="F292">
        <v>537</v>
      </c>
      <c r="G292" s="4">
        <v>36540</v>
      </c>
      <c r="H292" s="4">
        <v>19621980</v>
      </c>
      <c r="I292" t="s">
        <v>649</v>
      </c>
      <c r="J292" t="s">
        <v>669</v>
      </c>
      <c r="K292" t="s">
        <v>677</v>
      </c>
      <c r="L292" t="s">
        <v>682</v>
      </c>
      <c r="M292" t="s">
        <v>686</v>
      </c>
      <c r="N292" t="s">
        <v>690</v>
      </c>
      <c r="O292" t="s">
        <v>694</v>
      </c>
      <c r="P292" s="4">
        <v>8020462</v>
      </c>
      <c r="Q292">
        <v>6</v>
      </c>
      <c r="R292" s="7">
        <v>6.12</v>
      </c>
      <c r="S292" s="8">
        <f>Table1[[#This Row],[Discount_%]]/100</f>
        <v>6.1200000000000004E-2</v>
      </c>
      <c r="T292" s="6" t="s">
        <v>910</v>
      </c>
      <c r="U292" t="s">
        <v>981</v>
      </c>
      <c r="V292">
        <v>2024</v>
      </c>
      <c r="W292" t="s">
        <v>995</v>
      </c>
      <c r="X292" t="s">
        <v>997</v>
      </c>
      <c r="Y292" t="s">
        <v>1002</v>
      </c>
      <c r="Z292">
        <v>3</v>
      </c>
      <c r="AA292">
        <v>34</v>
      </c>
      <c r="AB292" s="4">
        <f>Table1[[#This Row],[Total_Price]]*(1-Table1[[#This Row],[Discount 2]])</f>
        <v>18421114.824000001</v>
      </c>
      <c r="AC292" s="4" t="str" cm="1">
        <f t="array" ref="AC292">_xlfn.IFS(Table1[[#This Row],[Revenue]]&gt;=30000000,"High Value",Table1[[#This Row],[Revenue]]&gt;=10000000,"Moderate Value",TRUE,"Low Value")</f>
        <v>Moderate Value</v>
      </c>
      <c r="AD292" t="str">
        <f>IF(Table1[[#This Row],[Discount 2]]&gt;=5%, "YES", "NO")</f>
        <v>YES</v>
      </c>
      <c r="AE292" t="str" cm="1">
        <f t="array" ref="AE292">_xlfn.IFS(Table1[[#This Row],[Revenue]]&gt;=30000000,"High Spender",Table1[[#This Row],[Revenue]]&gt;=10000000,"Moderate Spender",TRUE,"Low Spender")</f>
        <v>Moderate Spender</v>
      </c>
      <c r="AF292" s="4" t="str" cm="1">
        <f t="array" ref="AF292">_xlfn.IFS(Table1[[#This Row],[Land_Size_SQM]]&gt;=730,"LARGE",Table1[[#This Row],[Land_Size_SQM]]&gt;=465,"MEDIUM",TRUE,"SMALL")</f>
        <v>MEDIUM</v>
      </c>
    </row>
    <row r="293" spans="1:32" x14ac:dyDescent="0.3">
      <c r="A293" t="s">
        <v>317</v>
      </c>
      <c r="B293" t="s">
        <v>546</v>
      </c>
      <c r="C293" t="s">
        <v>627</v>
      </c>
      <c r="D293">
        <v>20</v>
      </c>
      <c r="E293" t="s">
        <v>628</v>
      </c>
      <c r="F293">
        <v>332</v>
      </c>
      <c r="G293" s="4">
        <v>42258</v>
      </c>
      <c r="H293" s="4">
        <v>14029656</v>
      </c>
      <c r="I293" t="s">
        <v>665</v>
      </c>
      <c r="J293" t="s">
        <v>672</v>
      </c>
      <c r="K293" t="s">
        <v>651</v>
      </c>
      <c r="L293" t="s">
        <v>680</v>
      </c>
      <c r="M293" t="s">
        <v>684</v>
      </c>
      <c r="N293" t="s">
        <v>689</v>
      </c>
      <c r="O293" t="s">
        <v>694</v>
      </c>
      <c r="P293" s="4">
        <v>4878832</v>
      </c>
      <c r="Q293">
        <v>24</v>
      </c>
      <c r="R293" s="7">
        <v>1.8</v>
      </c>
      <c r="S293" s="8">
        <f>Table1[[#This Row],[Discount_%]]/100</f>
        <v>1.8000000000000002E-2</v>
      </c>
      <c r="T293" s="6" t="s">
        <v>763</v>
      </c>
      <c r="U293" t="s">
        <v>983</v>
      </c>
      <c r="V293">
        <v>2024</v>
      </c>
      <c r="W293" t="s">
        <v>996</v>
      </c>
      <c r="X293" t="s">
        <v>997</v>
      </c>
      <c r="Y293" t="s">
        <v>1002</v>
      </c>
      <c r="Z293">
        <v>4</v>
      </c>
      <c r="AA293">
        <v>3</v>
      </c>
      <c r="AB293" s="4">
        <f>Table1[[#This Row],[Total_Price]]*(1-Table1[[#This Row],[Discount 2]])</f>
        <v>13777122.192</v>
      </c>
      <c r="AC293" s="4" t="str" cm="1">
        <f t="array" ref="AC293">_xlfn.IFS(Table1[[#This Row],[Revenue]]&gt;=30000000,"High Value",Table1[[#This Row],[Revenue]]&gt;=10000000,"Moderate Value",TRUE,"Low Value")</f>
        <v>Moderate Value</v>
      </c>
      <c r="AD293" t="str">
        <f>IF(Table1[[#This Row],[Discount 2]]&gt;=5%, "YES", "NO")</f>
        <v>NO</v>
      </c>
      <c r="AE293" t="str" cm="1">
        <f t="array" ref="AE293">_xlfn.IFS(Table1[[#This Row],[Revenue]]&gt;=30000000,"High Spender",Table1[[#This Row],[Revenue]]&gt;=10000000,"Moderate Spender",TRUE,"Low Spender")</f>
        <v>Moderate Spender</v>
      </c>
      <c r="AF293" s="4" t="str" cm="1">
        <f t="array" ref="AF293">_xlfn.IFS(Table1[[#This Row],[Land_Size_SQM]]&gt;=730,"LARGE",Table1[[#This Row],[Land_Size_SQM]]&gt;=465,"MEDIUM",TRUE,"SMALL")</f>
        <v>SMALL</v>
      </c>
    </row>
    <row r="294" spans="1:32" x14ac:dyDescent="0.3">
      <c r="A294" t="s">
        <v>318</v>
      </c>
      <c r="B294" t="s">
        <v>575</v>
      </c>
      <c r="C294" t="s">
        <v>627</v>
      </c>
      <c r="D294">
        <v>39</v>
      </c>
      <c r="E294" t="s">
        <v>630</v>
      </c>
      <c r="F294">
        <v>852</v>
      </c>
      <c r="G294" s="4">
        <v>15915</v>
      </c>
      <c r="H294" s="4">
        <v>13559580</v>
      </c>
      <c r="I294" t="s">
        <v>657</v>
      </c>
      <c r="J294" t="s">
        <v>671</v>
      </c>
      <c r="K294" t="s">
        <v>675</v>
      </c>
      <c r="L294" t="s">
        <v>682</v>
      </c>
      <c r="M294" t="s">
        <v>686</v>
      </c>
      <c r="N294" t="s">
        <v>690</v>
      </c>
      <c r="O294" t="s">
        <v>693</v>
      </c>
      <c r="P294" s="4">
        <v>13559580</v>
      </c>
      <c r="Q294">
        <v>0</v>
      </c>
      <c r="R294" s="7">
        <v>6.41</v>
      </c>
      <c r="S294" s="8">
        <f>Table1[[#This Row],[Discount_%]]/100</f>
        <v>6.4100000000000004E-2</v>
      </c>
      <c r="T294" s="6" t="s">
        <v>836</v>
      </c>
      <c r="U294" t="s">
        <v>984</v>
      </c>
      <c r="V294">
        <v>2024</v>
      </c>
      <c r="W294" t="s">
        <v>993</v>
      </c>
      <c r="X294" t="s">
        <v>999</v>
      </c>
      <c r="Y294" t="s">
        <v>1001</v>
      </c>
      <c r="Z294">
        <v>3</v>
      </c>
      <c r="AA294">
        <v>22</v>
      </c>
      <c r="AB294" s="4">
        <f>Table1[[#This Row],[Total_Price]]*(1-Table1[[#This Row],[Discount 2]])</f>
        <v>12690410.922</v>
      </c>
      <c r="AC294" s="4" t="str" cm="1">
        <f t="array" ref="AC294">_xlfn.IFS(Table1[[#This Row],[Revenue]]&gt;=30000000,"High Value",Table1[[#This Row],[Revenue]]&gt;=10000000,"Moderate Value",TRUE,"Low Value")</f>
        <v>Moderate Value</v>
      </c>
      <c r="AD294" t="str">
        <f>IF(Table1[[#This Row],[Discount 2]]&gt;=5%, "YES", "NO")</f>
        <v>YES</v>
      </c>
      <c r="AE294" t="str" cm="1">
        <f t="array" ref="AE294">_xlfn.IFS(Table1[[#This Row],[Revenue]]&gt;=30000000,"High Spender",Table1[[#This Row],[Revenue]]&gt;=10000000,"Moderate Spender",TRUE,"Low Spender")</f>
        <v>Moderate Spender</v>
      </c>
      <c r="AF294" s="4" t="str" cm="1">
        <f t="array" ref="AF294">_xlfn.IFS(Table1[[#This Row],[Land_Size_SQM]]&gt;=730,"LARGE",Table1[[#This Row],[Land_Size_SQM]]&gt;=465,"MEDIUM",TRUE,"SMALL")</f>
        <v>LARGE</v>
      </c>
    </row>
    <row r="295" spans="1:32" x14ac:dyDescent="0.3">
      <c r="A295" t="s">
        <v>319</v>
      </c>
      <c r="B295" t="s">
        <v>555</v>
      </c>
      <c r="C295" t="s">
        <v>627</v>
      </c>
      <c r="D295">
        <v>61</v>
      </c>
      <c r="E295" t="s">
        <v>628</v>
      </c>
      <c r="F295">
        <v>830</v>
      </c>
      <c r="G295" s="4">
        <v>3908</v>
      </c>
      <c r="H295" s="4">
        <v>3243640</v>
      </c>
      <c r="I295" t="s">
        <v>634</v>
      </c>
      <c r="J295" t="s">
        <v>670</v>
      </c>
      <c r="K295" t="s">
        <v>674</v>
      </c>
      <c r="L295" t="s">
        <v>681</v>
      </c>
      <c r="M295" t="s">
        <v>683</v>
      </c>
      <c r="N295" t="s">
        <v>691</v>
      </c>
      <c r="O295" t="s">
        <v>693</v>
      </c>
      <c r="P295" s="4">
        <v>3243640</v>
      </c>
      <c r="Q295">
        <v>0</v>
      </c>
      <c r="R295" s="7">
        <v>1.94</v>
      </c>
      <c r="S295" s="8">
        <f>Table1[[#This Row],[Discount_%]]/100</f>
        <v>1.9400000000000001E-2</v>
      </c>
      <c r="T295" s="6" t="s">
        <v>911</v>
      </c>
      <c r="U295" t="s">
        <v>982</v>
      </c>
      <c r="V295">
        <v>2024</v>
      </c>
      <c r="W295" t="s">
        <v>994</v>
      </c>
      <c r="X295" t="s">
        <v>998</v>
      </c>
      <c r="Y295" t="s">
        <v>1002</v>
      </c>
      <c r="Z295">
        <v>1</v>
      </c>
      <c r="AA295">
        <v>34</v>
      </c>
      <c r="AB295" s="4">
        <f>Table1[[#This Row],[Total_Price]]*(1-Table1[[#This Row],[Discount 2]])</f>
        <v>3180713.3840000001</v>
      </c>
      <c r="AC295" s="4" t="str" cm="1">
        <f t="array" ref="AC295">_xlfn.IFS(Table1[[#This Row],[Revenue]]&gt;=30000000,"High Value",Table1[[#This Row],[Revenue]]&gt;=10000000,"Moderate Value",TRUE,"Low Value")</f>
        <v>Low Value</v>
      </c>
      <c r="AD295" t="str">
        <f>IF(Table1[[#This Row],[Discount 2]]&gt;=5%, "YES", "NO")</f>
        <v>NO</v>
      </c>
      <c r="AE295" t="str" cm="1">
        <f t="array" ref="AE295">_xlfn.IFS(Table1[[#This Row],[Revenue]]&gt;=30000000,"High Spender",Table1[[#This Row],[Revenue]]&gt;=10000000,"Moderate Spender",TRUE,"Low Spender")</f>
        <v>Low Spender</v>
      </c>
      <c r="AF295" s="4" t="str" cm="1">
        <f t="array" ref="AF295">_xlfn.IFS(Table1[[#This Row],[Land_Size_SQM]]&gt;=730,"LARGE",Table1[[#This Row],[Land_Size_SQM]]&gt;=465,"MEDIUM",TRUE,"SMALL")</f>
        <v>LARGE</v>
      </c>
    </row>
    <row r="296" spans="1:32" x14ac:dyDescent="0.3">
      <c r="A296" t="s">
        <v>320</v>
      </c>
      <c r="B296" t="s">
        <v>553</v>
      </c>
      <c r="C296" t="s">
        <v>627</v>
      </c>
      <c r="D296">
        <v>29</v>
      </c>
      <c r="E296" t="s">
        <v>630</v>
      </c>
      <c r="F296">
        <v>768</v>
      </c>
      <c r="G296" s="4">
        <v>37119</v>
      </c>
      <c r="H296" s="4">
        <v>28507392</v>
      </c>
      <c r="I296" t="s">
        <v>667</v>
      </c>
      <c r="J296" t="s">
        <v>671</v>
      </c>
      <c r="K296" t="s">
        <v>651</v>
      </c>
      <c r="L296" t="s">
        <v>680</v>
      </c>
      <c r="M296" t="s">
        <v>687</v>
      </c>
      <c r="N296" t="s">
        <v>691</v>
      </c>
      <c r="O296" t="s">
        <v>693</v>
      </c>
      <c r="P296" s="4">
        <v>28507392</v>
      </c>
      <c r="Q296">
        <v>0</v>
      </c>
      <c r="R296" s="7">
        <v>2.08</v>
      </c>
      <c r="S296" s="8">
        <f>Table1[[#This Row],[Discount_%]]/100</f>
        <v>2.0799999999999999E-2</v>
      </c>
      <c r="T296" s="6" t="s">
        <v>762</v>
      </c>
      <c r="U296" t="s">
        <v>984</v>
      </c>
      <c r="V296">
        <v>2024</v>
      </c>
      <c r="W296" t="s">
        <v>996</v>
      </c>
      <c r="X296" t="s">
        <v>997</v>
      </c>
      <c r="Y296" t="s">
        <v>1001</v>
      </c>
      <c r="Z296">
        <v>4</v>
      </c>
      <c r="AA296">
        <v>12</v>
      </c>
      <c r="AB296" s="4">
        <f>Table1[[#This Row],[Total_Price]]*(1-Table1[[#This Row],[Discount 2]])</f>
        <v>27914438.246399999</v>
      </c>
      <c r="AC296" s="4" t="str" cm="1">
        <f t="array" ref="AC296">_xlfn.IFS(Table1[[#This Row],[Revenue]]&gt;=30000000,"High Value",Table1[[#This Row],[Revenue]]&gt;=10000000,"Moderate Value",TRUE,"Low Value")</f>
        <v>Moderate Value</v>
      </c>
      <c r="AD296" t="str">
        <f>IF(Table1[[#This Row],[Discount 2]]&gt;=5%, "YES", "NO")</f>
        <v>NO</v>
      </c>
      <c r="AE296" t="str" cm="1">
        <f t="array" ref="AE296">_xlfn.IFS(Table1[[#This Row],[Revenue]]&gt;=30000000,"High Spender",Table1[[#This Row],[Revenue]]&gt;=10000000,"Moderate Spender",TRUE,"Low Spender")</f>
        <v>Moderate Spender</v>
      </c>
      <c r="AF296" s="4" t="str" cm="1">
        <f t="array" ref="AF296">_xlfn.IFS(Table1[[#This Row],[Land_Size_SQM]]&gt;=730,"LARGE",Table1[[#This Row],[Land_Size_SQM]]&gt;=465,"MEDIUM",TRUE,"SMALL")</f>
        <v>LARGE</v>
      </c>
    </row>
    <row r="297" spans="1:32" x14ac:dyDescent="0.3">
      <c r="A297" t="s">
        <v>321</v>
      </c>
      <c r="B297" t="s">
        <v>572</v>
      </c>
      <c r="C297" t="s">
        <v>626</v>
      </c>
      <c r="D297">
        <v>48</v>
      </c>
      <c r="E297" t="s">
        <v>630</v>
      </c>
      <c r="F297">
        <v>922</v>
      </c>
      <c r="G297" s="4">
        <v>22611</v>
      </c>
      <c r="H297" s="4">
        <v>20847342</v>
      </c>
      <c r="I297" t="s">
        <v>638</v>
      </c>
      <c r="J297" t="s">
        <v>672</v>
      </c>
      <c r="K297" t="s">
        <v>677</v>
      </c>
      <c r="L297" t="s">
        <v>680</v>
      </c>
      <c r="M297" t="s">
        <v>686</v>
      </c>
      <c r="N297" t="s">
        <v>690</v>
      </c>
      <c r="O297" t="s">
        <v>693</v>
      </c>
      <c r="P297" s="4">
        <v>20847342</v>
      </c>
      <c r="Q297">
        <v>0</v>
      </c>
      <c r="R297" s="7">
        <v>2.71</v>
      </c>
      <c r="S297" s="8">
        <f>Table1[[#This Row],[Discount_%]]/100</f>
        <v>2.7099999999999999E-2</v>
      </c>
      <c r="T297" s="6" t="s">
        <v>726</v>
      </c>
      <c r="U297" t="s">
        <v>981</v>
      </c>
      <c r="V297">
        <v>2024</v>
      </c>
      <c r="W297" t="s">
        <v>996</v>
      </c>
      <c r="X297" t="s">
        <v>999</v>
      </c>
      <c r="Y297" t="s">
        <v>1002</v>
      </c>
      <c r="Z297">
        <v>1</v>
      </c>
      <c r="AA297">
        <v>50</v>
      </c>
      <c r="AB297" s="4">
        <f>Table1[[#This Row],[Total_Price]]*(1-Table1[[#This Row],[Discount 2]])</f>
        <v>20282379.031799998</v>
      </c>
      <c r="AC297" s="4" t="str" cm="1">
        <f t="array" ref="AC297">_xlfn.IFS(Table1[[#This Row],[Revenue]]&gt;=30000000,"High Value",Table1[[#This Row],[Revenue]]&gt;=10000000,"Moderate Value",TRUE,"Low Value")</f>
        <v>Moderate Value</v>
      </c>
      <c r="AD297" t="str">
        <f>IF(Table1[[#This Row],[Discount 2]]&gt;=5%, "YES", "NO")</f>
        <v>NO</v>
      </c>
      <c r="AE297" t="str" cm="1">
        <f t="array" ref="AE297">_xlfn.IFS(Table1[[#This Row],[Revenue]]&gt;=30000000,"High Spender",Table1[[#This Row],[Revenue]]&gt;=10000000,"Moderate Spender",TRUE,"Low Spender")</f>
        <v>Moderate Spender</v>
      </c>
      <c r="AF297" s="4" t="str" cm="1">
        <f t="array" ref="AF297">_xlfn.IFS(Table1[[#This Row],[Land_Size_SQM]]&gt;=730,"LARGE",Table1[[#This Row],[Land_Size_SQM]]&gt;=465,"MEDIUM",TRUE,"SMALL")</f>
        <v>LARGE</v>
      </c>
    </row>
    <row r="298" spans="1:32" x14ac:dyDescent="0.3">
      <c r="A298" t="s">
        <v>322</v>
      </c>
      <c r="B298" t="s">
        <v>532</v>
      </c>
      <c r="C298" t="s">
        <v>627</v>
      </c>
      <c r="D298">
        <v>26</v>
      </c>
      <c r="E298" t="s">
        <v>629</v>
      </c>
      <c r="F298">
        <v>718</v>
      </c>
      <c r="G298" s="4">
        <v>3634</v>
      </c>
      <c r="H298" s="4">
        <v>2609212</v>
      </c>
      <c r="I298" t="s">
        <v>649</v>
      </c>
      <c r="J298" t="s">
        <v>669</v>
      </c>
      <c r="K298" t="s">
        <v>678</v>
      </c>
      <c r="L298" t="s">
        <v>682</v>
      </c>
      <c r="M298" t="s">
        <v>683</v>
      </c>
      <c r="N298" t="s">
        <v>688</v>
      </c>
      <c r="O298" t="s">
        <v>694</v>
      </c>
      <c r="P298" s="4">
        <v>670733</v>
      </c>
      <c r="Q298">
        <v>6</v>
      </c>
      <c r="R298" s="7">
        <v>9.24</v>
      </c>
      <c r="S298" s="8">
        <f>Table1[[#This Row],[Discount_%]]/100</f>
        <v>9.2399999999999996E-2</v>
      </c>
      <c r="T298" s="6" t="s">
        <v>912</v>
      </c>
      <c r="U298" t="s">
        <v>986</v>
      </c>
      <c r="V298">
        <v>2024</v>
      </c>
      <c r="W298" t="s">
        <v>993</v>
      </c>
      <c r="X298" t="s">
        <v>998</v>
      </c>
      <c r="Y298" t="s">
        <v>1002</v>
      </c>
      <c r="Z298">
        <v>5</v>
      </c>
      <c r="AA298">
        <v>8</v>
      </c>
      <c r="AB298" s="4">
        <f>Table1[[#This Row],[Total_Price]]*(1-Table1[[#This Row],[Discount 2]])</f>
        <v>2368120.8111999999</v>
      </c>
      <c r="AC298" s="4" t="str" cm="1">
        <f t="array" ref="AC298">_xlfn.IFS(Table1[[#This Row],[Revenue]]&gt;=30000000,"High Value",Table1[[#This Row],[Revenue]]&gt;=10000000,"Moderate Value",TRUE,"Low Value")</f>
        <v>Low Value</v>
      </c>
      <c r="AD298" t="str">
        <f>IF(Table1[[#This Row],[Discount 2]]&gt;=5%, "YES", "NO")</f>
        <v>YES</v>
      </c>
      <c r="AE298" t="str" cm="1">
        <f t="array" ref="AE298">_xlfn.IFS(Table1[[#This Row],[Revenue]]&gt;=30000000,"High Spender",Table1[[#This Row],[Revenue]]&gt;=10000000,"Moderate Spender",TRUE,"Low Spender")</f>
        <v>Low Spender</v>
      </c>
      <c r="AF298" s="4" t="str" cm="1">
        <f t="array" ref="AF298">_xlfn.IFS(Table1[[#This Row],[Land_Size_SQM]]&gt;=730,"LARGE",Table1[[#This Row],[Land_Size_SQM]]&gt;=465,"MEDIUM",TRUE,"SMALL")</f>
        <v>MEDIUM</v>
      </c>
    </row>
    <row r="299" spans="1:32" x14ac:dyDescent="0.3">
      <c r="A299" t="s">
        <v>323</v>
      </c>
      <c r="B299" t="s">
        <v>540</v>
      </c>
      <c r="C299" t="s">
        <v>626</v>
      </c>
      <c r="D299">
        <v>21</v>
      </c>
      <c r="E299" t="s">
        <v>629</v>
      </c>
      <c r="F299">
        <v>903</v>
      </c>
      <c r="G299" s="4">
        <v>40947</v>
      </c>
      <c r="H299" s="4">
        <v>36975141</v>
      </c>
      <c r="I299" t="s">
        <v>646</v>
      </c>
      <c r="J299" t="s">
        <v>673</v>
      </c>
      <c r="K299" t="s">
        <v>664</v>
      </c>
      <c r="L299" t="s">
        <v>681</v>
      </c>
      <c r="M299" t="s">
        <v>683</v>
      </c>
      <c r="N299" t="s">
        <v>690</v>
      </c>
      <c r="O299" t="s">
        <v>693</v>
      </c>
      <c r="P299" s="4">
        <v>36975141</v>
      </c>
      <c r="Q299">
        <v>0</v>
      </c>
      <c r="R299" s="7">
        <v>3.33</v>
      </c>
      <c r="S299" s="8">
        <f>Table1[[#This Row],[Discount_%]]/100</f>
        <v>3.3300000000000003E-2</v>
      </c>
      <c r="T299" s="6" t="s">
        <v>842</v>
      </c>
      <c r="U299" t="s">
        <v>988</v>
      </c>
      <c r="V299">
        <v>2024</v>
      </c>
      <c r="W299" t="s">
        <v>996</v>
      </c>
      <c r="X299" t="s">
        <v>999</v>
      </c>
      <c r="Y299" t="s">
        <v>1002</v>
      </c>
      <c r="Z299">
        <v>3</v>
      </c>
      <c r="AA299">
        <v>35</v>
      </c>
      <c r="AB299" s="4">
        <f>Table1[[#This Row],[Total_Price]]*(1-Table1[[#This Row],[Discount 2]])</f>
        <v>35743868.804700002</v>
      </c>
      <c r="AC299" s="4" t="str" cm="1">
        <f t="array" ref="AC299">_xlfn.IFS(Table1[[#This Row],[Revenue]]&gt;=30000000,"High Value",Table1[[#This Row],[Revenue]]&gt;=10000000,"Moderate Value",TRUE,"Low Value")</f>
        <v>High Value</v>
      </c>
      <c r="AD299" t="str">
        <f>IF(Table1[[#This Row],[Discount 2]]&gt;=5%, "YES", "NO")</f>
        <v>NO</v>
      </c>
      <c r="AE299" t="str" cm="1">
        <f t="array" ref="AE299">_xlfn.IFS(Table1[[#This Row],[Revenue]]&gt;=30000000,"High Spender",Table1[[#This Row],[Revenue]]&gt;=10000000,"Moderate Spender",TRUE,"Low Spender")</f>
        <v>High Spender</v>
      </c>
      <c r="AF299" s="4" t="str" cm="1">
        <f t="array" ref="AF299">_xlfn.IFS(Table1[[#This Row],[Land_Size_SQM]]&gt;=730,"LARGE",Table1[[#This Row],[Land_Size_SQM]]&gt;=465,"MEDIUM",TRUE,"SMALL")</f>
        <v>LARGE</v>
      </c>
    </row>
    <row r="300" spans="1:32" x14ac:dyDescent="0.3">
      <c r="A300" t="s">
        <v>324</v>
      </c>
      <c r="B300" t="s">
        <v>535</v>
      </c>
      <c r="C300" t="s">
        <v>627</v>
      </c>
      <c r="D300">
        <v>33</v>
      </c>
      <c r="E300" t="s">
        <v>629</v>
      </c>
      <c r="F300">
        <v>479</v>
      </c>
      <c r="G300" s="4">
        <v>11785</v>
      </c>
      <c r="H300" s="4">
        <v>5645015</v>
      </c>
      <c r="I300" t="s">
        <v>639</v>
      </c>
      <c r="J300" t="s">
        <v>671</v>
      </c>
      <c r="K300" t="s">
        <v>676</v>
      </c>
      <c r="L300" t="s">
        <v>681</v>
      </c>
      <c r="M300" t="s">
        <v>686</v>
      </c>
      <c r="N300" t="s">
        <v>690</v>
      </c>
      <c r="O300" t="s">
        <v>693</v>
      </c>
      <c r="P300" s="4">
        <v>5645015</v>
      </c>
      <c r="Q300">
        <v>0</v>
      </c>
      <c r="R300" s="7">
        <v>2.74</v>
      </c>
      <c r="S300" s="8">
        <f>Table1[[#This Row],[Discount_%]]/100</f>
        <v>2.7400000000000001E-2</v>
      </c>
      <c r="T300" s="6" t="s">
        <v>913</v>
      </c>
      <c r="U300" t="s">
        <v>988</v>
      </c>
      <c r="V300">
        <v>2024</v>
      </c>
      <c r="W300" t="s">
        <v>994</v>
      </c>
      <c r="X300" t="s">
        <v>999</v>
      </c>
      <c r="Y300" t="s">
        <v>1001</v>
      </c>
      <c r="Z300">
        <v>3</v>
      </c>
      <c r="AA300">
        <v>37</v>
      </c>
      <c r="AB300" s="4">
        <f>Table1[[#This Row],[Total_Price]]*(1-Table1[[#This Row],[Discount 2]])</f>
        <v>5490341.5889999997</v>
      </c>
      <c r="AC300" s="4" t="str" cm="1">
        <f t="array" ref="AC300">_xlfn.IFS(Table1[[#This Row],[Revenue]]&gt;=30000000,"High Value",Table1[[#This Row],[Revenue]]&gt;=10000000,"Moderate Value",TRUE,"Low Value")</f>
        <v>Low Value</v>
      </c>
      <c r="AD300" t="str">
        <f>IF(Table1[[#This Row],[Discount 2]]&gt;=5%, "YES", "NO")</f>
        <v>NO</v>
      </c>
      <c r="AE300" t="str" cm="1">
        <f t="array" ref="AE300">_xlfn.IFS(Table1[[#This Row],[Revenue]]&gt;=30000000,"High Spender",Table1[[#This Row],[Revenue]]&gt;=10000000,"Moderate Spender",TRUE,"Low Spender")</f>
        <v>Low Spender</v>
      </c>
      <c r="AF300" s="4" t="str" cm="1">
        <f t="array" ref="AF300">_xlfn.IFS(Table1[[#This Row],[Land_Size_SQM]]&gt;=730,"LARGE",Table1[[#This Row],[Land_Size_SQM]]&gt;=465,"MEDIUM",TRUE,"SMALL")</f>
        <v>MEDIUM</v>
      </c>
    </row>
    <row r="301" spans="1:32" x14ac:dyDescent="0.3">
      <c r="A301" t="s">
        <v>325</v>
      </c>
      <c r="B301" t="s">
        <v>620</v>
      </c>
      <c r="C301" t="s">
        <v>626</v>
      </c>
      <c r="D301">
        <v>23</v>
      </c>
      <c r="E301" t="s">
        <v>628</v>
      </c>
      <c r="F301">
        <v>518</v>
      </c>
      <c r="G301" s="4">
        <v>42190</v>
      </c>
      <c r="H301" s="4">
        <v>21854420</v>
      </c>
      <c r="I301" t="s">
        <v>654</v>
      </c>
      <c r="J301" t="s">
        <v>669</v>
      </c>
      <c r="K301" t="s">
        <v>676</v>
      </c>
      <c r="L301" t="s">
        <v>681</v>
      </c>
      <c r="M301" t="s">
        <v>684</v>
      </c>
      <c r="N301" t="s">
        <v>688</v>
      </c>
      <c r="O301" t="s">
        <v>694</v>
      </c>
      <c r="P301" s="4">
        <v>4703461</v>
      </c>
      <c r="Q301">
        <v>24</v>
      </c>
      <c r="R301" s="7">
        <v>0.28999999999999998</v>
      </c>
      <c r="S301" s="8">
        <f>Table1[[#This Row],[Discount_%]]/100</f>
        <v>2.8999999999999998E-3</v>
      </c>
      <c r="T301" s="6" t="s">
        <v>914</v>
      </c>
      <c r="U301" t="s">
        <v>984</v>
      </c>
      <c r="V301">
        <v>2024</v>
      </c>
      <c r="W301" t="s">
        <v>995</v>
      </c>
      <c r="X301" t="s">
        <v>997</v>
      </c>
      <c r="Y301" t="s">
        <v>1002</v>
      </c>
      <c r="Z301">
        <v>3</v>
      </c>
      <c r="AA301">
        <v>22</v>
      </c>
      <c r="AB301" s="4">
        <f>Table1[[#This Row],[Total_Price]]*(1-Table1[[#This Row],[Discount 2]])</f>
        <v>21791042.182</v>
      </c>
      <c r="AC301" s="4" t="str" cm="1">
        <f t="array" ref="AC301">_xlfn.IFS(Table1[[#This Row],[Revenue]]&gt;=30000000,"High Value",Table1[[#This Row],[Revenue]]&gt;=10000000,"Moderate Value",TRUE,"Low Value")</f>
        <v>Moderate Value</v>
      </c>
      <c r="AD301" t="str">
        <f>IF(Table1[[#This Row],[Discount 2]]&gt;=5%, "YES", "NO")</f>
        <v>NO</v>
      </c>
      <c r="AE301" t="str" cm="1">
        <f t="array" ref="AE301">_xlfn.IFS(Table1[[#This Row],[Revenue]]&gt;=30000000,"High Spender",Table1[[#This Row],[Revenue]]&gt;=10000000,"Moderate Spender",TRUE,"Low Spender")</f>
        <v>Moderate Spender</v>
      </c>
      <c r="AF301" s="4" t="str" cm="1">
        <f t="array" ref="AF301">_xlfn.IFS(Table1[[#This Row],[Land_Size_SQM]]&gt;=730,"LARGE",Table1[[#This Row],[Land_Size_SQM]]&gt;=465,"MEDIUM",TRUE,"SMALL")</f>
        <v>MEDIUM</v>
      </c>
    </row>
    <row r="302" spans="1:32" x14ac:dyDescent="0.3">
      <c r="A302" t="s">
        <v>326</v>
      </c>
      <c r="B302" t="s">
        <v>531</v>
      </c>
      <c r="C302" t="s">
        <v>626</v>
      </c>
      <c r="D302">
        <v>39</v>
      </c>
      <c r="E302" t="s">
        <v>629</v>
      </c>
      <c r="F302">
        <v>973</v>
      </c>
      <c r="G302" s="4">
        <v>32519</v>
      </c>
      <c r="H302" s="4">
        <v>31640987</v>
      </c>
      <c r="I302" t="s">
        <v>656</v>
      </c>
      <c r="J302" t="s">
        <v>669</v>
      </c>
      <c r="K302" t="s">
        <v>676</v>
      </c>
      <c r="L302" t="s">
        <v>682</v>
      </c>
      <c r="M302" t="s">
        <v>684</v>
      </c>
      <c r="N302" t="s">
        <v>691</v>
      </c>
      <c r="O302" t="s">
        <v>693</v>
      </c>
      <c r="P302" s="4">
        <v>31640987</v>
      </c>
      <c r="Q302">
        <v>0</v>
      </c>
      <c r="R302" s="7">
        <v>0.93</v>
      </c>
      <c r="S302" s="8">
        <f>Table1[[#This Row],[Discount_%]]/100</f>
        <v>9.300000000000001E-3</v>
      </c>
      <c r="T302" s="6" t="s">
        <v>737</v>
      </c>
      <c r="U302" t="s">
        <v>984</v>
      </c>
      <c r="V302">
        <v>2024</v>
      </c>
      <c r="W302" t="s">
        <v>996</v>
      </c>
      <c r="X302" t="s">
        <v>999</v>
      </c>
      <c r="Y302" t="s">
        <v>1000</v>
      </c>
      <c r="Z302">
        <v>5</v>
      </c>
      <c r="AA302">
        <v>17</v>
      </c>
      <c r="AB302" s="4">
        <f>Table1[[#This Row],[Total_Price]]*(1-Table1[[#This Row],[Discount 2]])</f>
        <v>31346725.820900001</v>
      </c>
      <c r="AC302" s="4" t="str" cm="1">
        <f t="array" ref="AC302">_xlfn.IFS(Table1[[#This Row],[Revenue]]&gt;=30000000,"High Value",Table1[[#This Row],[Revenue]]&gt;=10000000,"Moderate Value",TRUE,"Low Value")</f>
        <v>High Value</v>
      </c>
      <c r="AD302" t="str">
        <f>IF(Table1[[#This Row],[Discount 2]]&gt;=5%, "YES", "NO")</f>
        <v>NO</v>
      </c>
      <c r="AE302" t="str" cm="1">
        <f t="array" ref="AE302">_xlfn.IFS(Table1[[#This Row],[Revenue]]&gt;=30000000,"High Spender",Table1[[#This Row],[Revenue]]&gt;=10000000,"Moderate Spender",TRUE,"Low Spender")</f>
        <v>High Spender</v>
      </c>
      <c r="AF302" s="4" t="str" cm="1">
        <f t="array" ref="AF302">_xlfn.IFS(Table1[[#This Row],[Land_Size_SQM]]&gt;=730,"LARGE",Table1[[#This Row],[Land_Size_SQM]]&gt;=465,"MEDIUM",TRUE,"SMALL")</f>
        <v>LARGE</v>
      </c>
    </row>
    <row r="303" spans="1:32" x14ac:dyDescent="0.3">
      <c r="A303" t="s">
        <v>327</v>
      </c>
      <c r="B303" t="s">
        <v>571</v>
      </c>
      <c r="C303" t="s">
        <v>626</v>
      </c>
      <c r="D303">
        <v>49</v>
      </c>
      <c r="E303" t="s">
        <v>628</v>
      </c>
      <c r="F303">
        <v>916</v>
      </c>
      <c r="G303" s="4">
        <v>45593</v>
      </c>
      <c r="H303" s="4">
        <v>41763188</v>
      </c>
      <c r="I303" t="s">
        <v>639</v>
      </c>
      <c r="J303" t="s">
        <v>671</v>
      </c>
      <c r="K303" t="s">
        <v>638</v>
      </c>
      <c r="L303" t="s">
        <v>681</v>
      </c>
      <c r="M303" t="s">
        <v>687</v>
      </c>
      <c r="N303" t="s">
        <v>692</v>
      </c>
      <c r="O303" t="s">
        <v>694</v>
      </c>
      <c r="P303" s="4">
        <v>14031801</v>
      </c>
      <c r="Q303">
        <v>12</v>
      </c>
      <c r="R303" s="7">
        <v>0.3</v>
      </c>
      <c r="S303" s="8">
        <f>Table1[[#This Row],[Discount_%]]/100</f>
        <v>3.0000000000000001E-3</v>
      </c>
      <c r="T303" s="6" t="s">
        <v>915</v>
      </c>
      <c r="U303" t="s">
        <v>989</v>
      </c>
      <c r="V303">
        <v>2024</v>
      </c>
      <c r="W303" t="s">
        <v>996</v>
      </c>
      <c r="X303" t="s">
        <v>997</v>
      </c>
      <c r="Y303" t="s">
        <v>1000</v>
      </c>
      <c r="Z303">
        <v>4</v>
      </c>
      <c r="AA303">
        <v>46</v>
      </c>
      <c r="AB303" s="4">
        <f>Table1[[#This Row],[Total_Price]]*(1-Table1[[#This Row],[Discount 2]])</f>
        <v>41637898.435999997</v>
      </c>
      <c r="AC303" s="4" t="str" cm="1">
        <f t="array" ref="AC303">_xlfn.IFS(Table1[[#This Row],[Revenue]]&gt;=30000000,"High Value",Table1[[#This Row],[Revenue]]&gt;=10000000,"Moderate Value",TRUE,"Low Value")</f>
        <v>High Value</v>
      </c>
      <c r="AD303" t="str">
        <f>IF(Table1[[#This Row],[Discount 2]]&gt;=5%, "YES", "NO")</f>
        <v>NO</v>
      </c>
      <c r="AE303" t="str" cm="1">
        <f t="array" ref="AE303">_xlfn.IFS(Table1[[#This Row],[Revenue]]&gt;=30000000,"High Spender",Table1[[#This Row],[Revenue]]&gt;=10000000,"Moderate Spender",TRUE,"Low Spender")</f>
        <v>High Spender</v>
      </c>
      <c r="AF303" s="4" t="str" cm="1">
        <f t="array" ref="AF303">_xlfn.IFS(Table1[[#This Row],[Land_Size_SQM]]&gt;=730,"LARGE",Table1[[#This Row],[Land_Size_SQM]]&gt;=465,"MEDIUM",TRUE,"SMALL")</f>
        <v>LARGE</v>
      </c>
    </row>
    <row r="304" spans="1:32" x14ac:dyDescent="0.3">
      <c r="A304" t="s">
        <v>328</v>
      </c>
      <c r="B304" t="s">
        <v>583</v>
      </c>
      <c r="C304" t="s">
        <v>627</v>
      </c>
      <c r="D304">
        <v>50</v>
      </c>
      <c r="E304" t="s">
        <v>630</v>
      </c>
      <c r="F304">
        <v>865</v>
      </c>
      <c r="G304" s="4">
        <v>6648</v>
      </c>
      <c r="H304" s="4">
        <v>5750520</v>
      </c>
      <c r="I304" t="s">
        <v>646</v>
      </c>
      <c r="J304" t="s">
        <v>673</v>
      </c>
      <c r="K304" t="s">
        <v>675</v>
      </c>
      <c r="L304" t="s">
        <v>680</v>
      </c>
      <c r="M304" t="s">
        <v>687</v>
      </c>
      <c r="N304" t="s">
        <v>688</v>
      </c>
      <c r="O304" t="s">
        <v>694</v>
      </c>
      <c r="P304" s="4">
        <v>1841575</v>
      </c>
      <c r="Q304">
        <v>24</v>
      </c>
      <c r="R304" s="7">
        <v>4.13</v>
      </c>
      <c r="S304" s="8">
        <f>Table1[[#This Row],[Discount_%]]/100</f>
        <v>4.1299999999999996E-2</v>
      </c>
      <c r="T304" s="6" t="s">
        <v>916</v>
      </c>
      <c r="U304" t="s">
        <v>983</v>
      </c>
      <c r="V304">
        <v>2024</v>
      </c>
      <c r="W304" t="s">
        <v>995</v>
      </c>
      <c r="X304" t="s">
        <v>998</v>
      </c>
      <c r="Y304" t="s">
        <v>1001</v>
      </c>
      <c r="Z304">
        <v>3</v>
      </c>
      <c r="AA304">
        <v>35</v>
      </c>
      <c r="AB304" s="4">
        <f>Table1[[#This Row],[Total_Price]]*(1-Table1[[#This Row],[Discount 2]])</f>
        <v>5513023.5240000002</v>
      </c>
      <c r="AC304" s="4" t="str" cm="1">
        <f t="array" ref="AC304">_xlfn.IFS(Table1[[#This Row],[Revenue]]&gt;=30000000,"High Value",Table1[[#This Row],[Revenue]]&gt;=10000000,"Moderate Value",TRUE,"Low Value")</f>
        <v>Low Value</v>
      </c>
      <c r="AD304" t="str">
        <f>IF(Table1[[#This Row],[Discount 2]]&gt;=5%, "YES", "NO")</f>
        <v>NO</v>
      </c>
      <c r="AE304" t="str" cm="1">
        <f t="array" ref="AE304">_xlfn.IFS(Table1[[#This Row],[Revenue]]&gt;=30000000,"High Spender",Table1[[#This Row],[Revenue]]&gt;=10000000,"Moderate Spender",TRUE,"Low Spender")</f>
        <v>Low Spender</v>
      </c>
      <c r="AF304" s="4" t="str" cm="1">
        <f t="array" ref="AF304">_xlfn.IFS(Table1[[#This Row],[Land_Size_SQM]]&gt;=730,"LARGE",Table1[[#This Row],[Land_Size_SQM]]&gt;=465,"MEDIUM",TRUE,"SMALL")</f>
        <v>LARGE</v>
      </c>
    </row>
    <row r="305" spans="1:32" x14ac:dyDescent="0.3">
      <c r="A305" t="s">
        <v>329</v>
      </c>
      <c r="B305" t="s">
        <v>536</v>
      </c>
      <c r="C305" t="s">
        <v>627</v>
      </c>
      <c r="D305">
        <v>57</v>
      </c>
      <c r="E305" t="s">
        <v>629</v>
      </c>
      <c r="F305">
        <v>878</v>
      </c>
      <c r="G305" s="4">
        <v>45883</v>
      </c>
      <c r="H305" s="4">
        <v>40285274</v>
      </c>
      <c r="I305" t="s">
        <v>653</v>
      </c>
      <c r="J305" t="s">
        <v>668</v>
      </c>
      <c r="K305" t="s">
        <v>638</v>
      </c>
      <c r="L305" t="s">
        <v>681</v>
      </c>
      <c r="M305" t="s">
        <v>687</v>
      </c>
      <c r="N305" t="s">
        <v>692</v>
      </c>
      <c r="O305" t="s">
        <v>693</v>
      </c>
      <c r="P305" s="4">
        <v>40285274</v>
      </c>
      <c r="Q305">
        <v>0</v>
      </c>
      <c r="R305" s="7">
        <v>7.39</v>
      </c>
      <c r="S305" s="8">
        <f>Table1[[#This Row],[Discount_%]]/100</f>
        <v>7.3899999999999993E-2</v>
      </c>
      <c r="T305" s="6" t="s">
        <v>917</v>
      </c>
      <c r="U305" t="s">
        <v>984</v>
      </c>
      <c r="V305">
        <v>2024</v>
      </c>
      <c r="W305" t="s">
        <v>993</v>
      </c>
      <c r="X305" t="s">
        <v>998</v>
      </c>
      <c r="Y305" t="s">
        <v>1000</v>
      </c>
      <c r="Z305">
        <v>3</v>
      </c>
      <c r="AA305">
        <v>26</v>
      </c>
      <c r="AB305" s="4">
        <f>Table1[[#This Row],[Total_Price]]*(1-Table1[[#This Row],[Discount 2]])</f>
        <v>37308192.251400001</v>
      </c>
      <c r="AC305" s="4" t="str" cm="1">
        <f t="array" ref="AC305">_xlfn.IFS(Table1[[#This Row],[Revenue]]&gt;=30000000,"High Value",Table1[[#This Row],[Revenue]]&gt;=10000000,"Moderate Value",TRUE,"Low Value")</f>
        <v>High Value</v>
      </c>
      <c r="AD305" t="str">
        <f>IF(Table1[[#This Row],[Discount 2]]&gt;=5%, "YES", "NO")</f>
        <v>YES</v>
      </c>
      <c r="AE305" t="str" cm="1">
        <f t="array" ref="AE305">_xlfn.IFS(Table1[[#This Row],[Revenue]]&gt;=30000000,"High Spender",Table1[[#This Row],[Revenue]]&gt;=10000000,"Moderate Spender",TRUE,"Low Spender")</f>
        <v>High Spender</v>
      </c>
      <c r="AF305" s="4" t="str" cm="1">
        <f t="array" ref="AF305">_xlfn.IFS(Table1[[#This Row],[Land_Size_SQM]]&gt;=730,"LARGE",Table1[[#This Row],[Land_Size_SQM]]&gt;=465,"MEDIUM",TRUE,"SMALL")</f>
        <v>LARGE</v>
      </c>
    </row>
    <row r="306" spans="1:32" x14ac:dyDescent="0.3">
      <c r="A306" t="s">
        <v>330</v>
      </c>
      <c r="B306" t="s">
        <v>613</v>
      </c>
      <c r="C306" t="s">
        <v>627</v>
      </c>
      <c r="D306">
        <v>29</v>
      </c>
      <c r="E306" t="s">
        <v>629</v>
      </c>
      <c r="F306">
        <v>901</v>
      </c>
      <c r="G306" s="4">
        <v>41086</v>
      </c>
      <c r="H306" s="4">
        <v>37018486</v>
      </c>
      <c r="I306" t="s">
        <v>642</v>
      </c>
      <c r="J306" t="s">
        <v>673</v>
      </c>
      <c r="K306" t="s">
        <v>676</v>
      </c>
      <c r="L306" t="s">
        <v>680</v>
      </c>
      <c r="M306" t="s">
        <v>684</v>
      </c>
      <c r="N306" t="s">
        <v>692</v>
      </c>
      <c r="O306" t="s">
        <v>694</v>
      </c>
      <c r="P306" s="4">
        <v>12893115</v>
      </c>
      <c r="Q306">
        <v>12</v>
      </c>
      <c r="R306" s="7">
        <v>6.6</v>
      </c>
      <c r="S306" s="8">
        <f>Table1[[#This Row],[Discount_%]]/100</f>
        <v>6.6000000000000003E-2</v>
      </c>
      <c r="T306" s="6" t="s">
        <v>918</v>
      </c>
      <c r="U306" t="s">
        <v>981</v>
      </c>
      <c r="V306">
        <v>2024</v>
      </c>
      <c r="W306" t="s">
        <v>994</v>
      </c>
      <c r="X306" t="s">
        <v>998</v>
      </c>
      <c r="Y306" t="s">
        <v>1001</v>
      </c>
      <c r="Z306">
        <v>5</v>
      </c>
      <c r="AA306">
        <v>29</v>
      </c>
      <c r="AB306" s="4">
        <f>Table1[[#This Row],[Total_Price]]*(1-Table1[[#This Row],[Discount 2]])</f>
        <v>34575265.923999995</v>
      </c>
      <c r="AC306" s="4" t="str" cm="1">
        <f t="array" ref="AC306">_xlfn.IFS(Table1[[#This Row],[Revenue]]&gt;=30000000,"High Value",Table1[[#This Row],[Revenue]]&gt;=10000000,"Moderate Value",TRUE,"Low Value")</f>
        <v>High Value</v>
      </c>
      <c r="AD306" t="str">
        <f>IF(Table1[[#This Row],[Discount 2]]&gt;=5%, "YES", "NO")</f>
        <v>YES</v>
      </c>
      <c r="AE306" t="str" cm="1">
        <f t="array" ref="AE306">_xlfn.IFS(Table1[[#This Row],[Revenue]]&gt;=30000000,"High Spender",Table1[[#This Row],[Revenue]]&gt;=10000000,"Moderate Spender",TRUE,"Low Spender")</f>
        <v>High Spender</v>
      </c>
      <c r="AF306" s="4" t="str" cm="1">
        <f t="array" ref="AF306">_xlfn.IFS(Table1[[#This Row],[Land_Size_SQM]]&gt;=730,"LARGE",Table1[[#This Row],[Land_Size_SQM]]&gt;=465,"MEDIUM",TRUE,"SMALL")</f>
        <v>LARGE</v>
      </c>
    </row>
    <row r="307" spans="1:32" x14ac:dyDescent="0.3">
      <c r="A307" t="s">
        <v>331</v>
      </c>
      <c r="B307" t="s">
        <v>547</v>
      </c>
      <c r="C307" t="s">
        <v>626</v>
      </c>
      <c r="D307">
        <v>28</v>
      </c>
      <c r="E307" t="s">
        <v>630</v>
      </c>
      <c r="F307">
        <v>506</v>
      </c>
      <c r="G307" s="4">
        <v>39373</v>
      </c>
      <c r="H307" s="4">
        <v>19922738</v>
      </c>
      <c r="I307" t="s">
        <v>654</v>
      </c>
      <c r="J307" t="s">
        <v>669</v>
      </c>
      <c r="K307" t="s">
        <v>651</v>
      </c>
      <c r="L307" t="s">
        <v>680</v>
      </c>
      <c r="M307" t="s">
        <v>687</v>
      </c>
      <c r="N307" t="s">
        <v>692</v>
      </c>
      <c r="O307" t="s">
        <v>694</v>
      </c>
      <c r="P307" s="4">
        <v>8274658</v>
      </c>
      <c r="Q307">
        <v>24</v>
      </c>
      <c r="R307" s="7">
        <v>9.15</v>
      </c>
      <c r="S307" s="8">
        <f>Table1[[#This Row],[Discount_%]]/100</f>
        <v>9.1499999999999998E-2</v>
      </c>
      <c r="T307" s="6" t="s">
        <v>919</v>
      </c>
      <c r="U307" t="s">
        <v>981</v>
      </c>
      <c r="V307">
        <v>2024</v>
      </c>
      <c r="W307" t="s">
        <v>993</v>
      </c>
      <c r="X307" t="s">
        <v>999</v>
      </c>
      <c r="Y307" t="s">
        <v>1001</v>
      </c>
      <c r="Z307">
        <v>5</v>
      </c>
      <c r="AA307">
        <v>23</v>
      </c>
      <c r="AB307" s="4">
        <f>Table1[[#This Row],[Total_Price]]*(1-Table1[[#This Row],[Discount 2]])</f>
        <v>18099807.473000001</v>
      </c>
      <c r="AC307" s="4" t="str" cm="1">
        <f t="array" ref="AC307">_xlfn.IFS(Table1[[#This Row],[Revenue]]&gt;=30000000,"High Value",Table1[[#This Row],[Revenue]]&gt;=10000000,"Moderate Value",TRUE,"Low Value")</f>
        <v>Moderate Value</v>
      </c>
      <c r="AD307" t="str">
        <f>IF(Table1[[#This Row],[Discount 2]]&gt;=5%, "YES", "NO")</f>
        <v>YES</v>
      </c>
      <c r="AE307" t="str" cm="1">
        <f t="array" ref="AE307">_xlfn.IFS(Table1[[#This Row],[Revenue]]&gt;=30000000,"High Spender",Table1[[#This Row],[Revenue]]&gt;=10000000,"Moderate Spender",TRUE,"Low Spender")</f>
        <v>Moderate Spender</v>
      </c>
      <c r="AF307" s="4" t="str" cm="1">
        <f t="array" ref="AF307">_xlfn.IFS(Table1[[#This Row],[Land_Size_SQM]]&gt;=730,"LARGE",Table1[[#This Row],[Land_Size_SQM]]&gt;=465,"MEDIUM",TRUE,"SMALL")</f>
        <v>MEDIUM</v>
      </c>
    </row>
    <row r="308" spans="1:32" x14ac:dyDescent="0.3">
      <c r="A308" t="s">
        <v>332</v>
      </c>
      <c r="B308" t="s">
        <v>570</v>
      </c>
      <c r="C308" t="s">
        <v>627</v>
      </c>
      <c r="D308">
        <v>50</v>
      </c>
      <c r="E308" t="s">
        <v>628</v>
      </c>
      <c r="F308">
        <v>440</v>
      </c>
      <c r="G308" s="4">
        <v>30292</v>
      </c>
      <c r="H308" s="4">
        <v>13328480</v>
      </c>
      <c r="I308" t="s">
        <v>646</v>
      </c>
      <c r="J308" t="s">
        <v>673</v>
      </c>
      <c r="K308" t="s">
        <v>664</v>
      </c>
      <c r="L308" t="s">
        <v>680</v>
      </c>
      <c r="M308" t="s">
        <v>686</v>
      </c>
      <c r="N308" t="s">
        <v>691</v>
      </c>
      <c r="O308" t="s">
        <v>694</v>
      </c>
      <c r="P308" s="4">
        <v>5511754</v>
      </c>
      <c r="Q308">
        <v>12</v>
      </c>
      <c r="R308" s="7">
        <v>4.0599999999999996</v>
      </c>
      <c r="S308" s="8">
        <f>Table1[[#This Row],[Discount_%]]/100</f>
        <v>4.0599999999999997E-2</v>
      </c>
      <c r="T308" s="6" t="s">
        <v>817</v>
      </c>
      <c r="U308" t="s">
        <v>989</v>
      </c>
      <c r="V308">
        <v>2024</v>
      </c>
      <c r="W308" t="s">
        <v>994</v>
      </c>
      <c r="X308" t="s">
        <v>998</v>
      </c>
      <c r="Y308" t="s">
        <v>1000</v>
      </c>
      <c r="Z308">
        <v>3</v>
      </c>
      <c r="AA308">
        <v>43</v>
      </c>
      <c r="AB308" s="4">
        <f>Table1[[#This Row],[Total_Price]]*(1-Table1[[#This Row],[Discount 2]])</f>
        <v>12787343.712000001</v>
      </c>
      <c r="AC308" s="4" t="str" cm="1">
        <f t="array" ref="AC308">_xlfn.IFS(Table1[[#This Row],[Revenue]]&gt;=30000000,"High Value",Table1[[#This Row],[Revenue]]&gt;=10000000,"Moderate Value",TRUE,"Low Value")</f>
        <v>Moderate Value</v>
      </c>
      <c r="AD308" t="str">
        <f>IF(Table1[[#This Row],[Discount 2]]&gt;=5%, "YES", "NO")</f>
        <v>NO</v>
      </c>
      <c r="AE308" t="str" cm="1">
        <f t="array" ref="AE308">_xlfn.IFS(Table1[[#This Row],[Revenue]]&gt;=30000000,"High Spender",Table1[[#This Row],[Revenue]]&gt;=10000000,"Moderate Spender",TRUE,"Low Spender")</f>
        <v>Moderate Spender</v>
      </c>
      <c r="AF308" s="4" t="str" cm="1">
        <f t="array" ref="AF308">_xlfn.IFS(Table1[[#This Row],[Land_Size_SQM]]&gt;=730,"LARGE",Table1[[#This Row],[Land_Size_SQM]]&gt;=465,"MEDIUM",TRUE,"SMALL")</f>
        <v>SMALL</v>
      </c>
    </row>
    <row r="309" spans="1:32" x14ac:dyDescent="0.3">
      <c r="A309" t="s">
        <v>333</v>
      </c>
      <c r="B309" t="s">
        <v>564</v>
      </c>
      <c r="C309" t="s">
        <v>627</v>
      </c>
      <c r="D309">
        <v>28</v>
      </c>
      <c r="E309" t="s">
        <v>629</v>
      </c>
      <c r="F309">
        <v>273</v>
      </c>
      <c r="G309" s="4">
        <v>44492</v>
      </c>
      <c r="H309" s="4">
        <v>12146316</v>
      </c>
      <c r="I309" t="s">
        <v>654</v>
      </c>
      <c r="J309" t="s">
        <v>669</v>
      </c>
      <c r="K309" t="s">
        <v>664</v>
      </c>
      <c r="L309" t="s">
        <v>681</v>
      </c>
      <c r="M309" t="s">
        <v>684</v>
      </c>
      <c r="N309" t="s">
        <v>692</v>
      </c>
      <c r="O309" t="s">
        <v>693</v>
      </c>
      <c r="P309" s="4">
        <v>12146316</v>
      </c>
      <c r="Q309">
        <v>0</v>
      </c>
      <c r="R309" s="7">
        <v>1.44</v>
      </c>
      <c r="S309" s="8">
        <f>Table1[[#This Row],[Discount_%]]/100</f>
        <v>1.44E-2</v>
      </c>
      <c r="T309" s="6" t="s">
        <v>739</v>
      </c>
      <c r="U309" t="s">
        <v>986</v>
      </c>
      <c r="V309">
        <v>2024</v>
      </c>
      <c r="W309" t="s">
        <v>995</v>
      </c>
      <c r="X309" t="s">
        <v>997</v>
      </c>
      <c r="Y309" t="s">
        <v>1000</v>
      </c>
      <c r="Z309">
        <v>4</v>
      </c>
      <c r="AA309">
        <v>33</v>
      </c>
      <c r="AB309" s="4">
        <f>Table1[[#This Row],[Total_Price]]*(1-Table1[[#This Row],[Discount 2]])</f>
        <v>11971409.0496</v>
      </c>
      <c r="AC309" s="4" t="str" cm="1">
        <f t="array" ref="AC309">_xlfn.IFS(Table1[[#This Row],[Revenue]]&gt;=30000000,"High Value",Table1[[#This Row],[Revenue]]&gt;=10000000,"Moderate Value",TRUE,"Low Value")</f>
        <v>Moderate Value</v>
      </c>
      <c r="AD309" t="str">
        <f>IF(Table1[[#This Row],[Discount 2]]&gt;=5%, "YES", "NO")</f>
        <v>NO</v>
      </c>
      <c r="AE309" t="str" cm="1">
        <f t="array" ref="AE309">_xlfn.IFS(Table1[[#This Row],[Revenue]]&gt;=30000000,"High Spender",Table1[[#This Row],[Revenue]]&gt;=10000000,"Moderate Spender",TRUE,"Low Spender")</f>
        <v>Moderate Spender</v>
      </c>
      <c r="AF309" s="4" t="str" cm="1">
        <f t="array" ref="AF309">_xlfn.IFS(Table1[[#This Row],[Land_Size_SQM]]&gt;=730,"LARGE",Table1[[#This Row],[Land_Size_SQM]]&gt;=465,"MEDIUM",TRUE,"SMALL")</f>
        <v>SMALL</v>
      </c>
    </row>
    <row r="310" spans="1:32" x14ac:dyDescent="0.3">
      <c r="A310" t="s">
        <v>334</v>
      </c>
      <c r="B310" t="s">
        <v>582</v>
      </c>
      <c r="C310" t="s">
        <v>626</v>
      </c>
      <c r="D310">
        <v>35</v>
      </c>
      <c r="E310" t="s">
        <v>629</v>
      </c>
      <c r="F310">
        <v>593</v>
      </c>
      <c r="G310" s="4">
        <v>25285</v>
      </c>
      <c r="H310" s="4">
        <v>14994005</v>
      </c>
      <c r="I310" t="s">
        <v>647</v>
      </c>
      <c r="J310" t="s">
        <v>670</v>
      </c>
      <c r="K310" t="s">
        <v>678</v>
      </c>
      <c r="L310" t="s">
        <v>682</v>
      </c>
      <c r="M310" t="s">
        <v>687</v>
      </c>
      <c r="N310" t="s">
        <v>691</v>
      </c>
      <c r="O310" t="s">
        <v>693</v>
      </c>
      <c r="P310" s="4">
        <v>14994005</v>
      </c>
      <c r="Q310">
        <v>0</v>
      </c>
      <c r="R310" s="7">
        <v>1.86</v>
      </c>
      <c r="S310" s="8">
        <f>Table1[[#This Row],[Discount_%]]/100</f>
        <v>1.8600000000000002E-2</v>
      </c>
      <c r="T310" s="6" t="s">
        <v>764</v>
      </c>
      <c r="U310" t="s">
        <v>983</v>
      </c>
      <c r="V310">
        <v>2024</v>
      </c>
      <c r="W310" t="s">
        <v>994</v>
      </c>
      <c r="X310" t="s">
        <v>999</v>
      </c>
      <c r="Y310" t="s">
        <v>1000</v>
      </c>
      <c r="Z310">
        <v>5</v>
      </c>
      <c r="AA310">
        <v>31</v>
      </c>
      <c r="AB310" s="4">
        <f>Table1[[#This Row],[Total_Price]]*(1-Table1[[#This Row],[Discount 2]])</f>
        <v>14715116.507000001</v>
      </c>
      <c r="AC310" s="4" t="str" cm="1">
        <f t="array" ref="AC310">_xlfn.IFS(Table1[[#This Row],[Revenue]]&gt;=30000000,"High Value",Table1[[#This Row],[Revenue]]&gt;=10000000,"Moderate Value",TRUE,"Low Value")</f>
        <v>Moderate Value</v>
      </c>
      <c r="AD310" t="str">
        <f>IF(Table1[[#This Row],[Discount 2]]&gt;=5%, "YES", "NO")</f>
        <v>NO</v>
      </c>
      <c r="AE310" t="str" cm="1">
        <f t="array" ref="AE310">_xlfn.IFS(Table1[[#This Row],[Revenue]]&gt;=30000000,"High Spender",Table1[[#This Row],[Revenue]]&gt;=10000000,"Moderate Spender",TRUE,"Low Spender")</f>
        <v>Moderate Spender</v>
      </c>
      <c r="AF310" s="4" t="str" cm="1">
        <f t="array" ref="AF310">_xlfn.IFS(Table1[[#This Row],[Land_Size_SQM]]&gt;=730,"LARGE",Table1[[#This Row],[Land_Size_SQM]]&gt;=465,"MEDIUM",TRUE,"SMALL")</f>
        <v>MEDIUM</v>
      </c>
    </row>
    <row r="311" spans="1:32" x14ac:dyDescent="0.3">
      <c r="A311" t="s">
        <v>335</v>
      </c>
      <c r="B311" t="s">
        <v>551</v>
      </c>
      <c r="C311" t="s">
        <v>627</v>
      </c>
      <c r="D311">
        <v>53</v>
      </c>
      <c r="E311" t="s">
        <v>629</v>
      </c>
      <c r="F311">
        <v>794</v>
      </c>
      <c r="G311" s="4">
        <v>33557</v>
      </c>
      <c r="H311" s="4">
        <v>26644258</v>
      </c>
      <c r="I311" t="s">
        <v>635</v>
      </c>
      <c r="J311" t="s">
        <v>668</v>
      </c>
      <c r="K311" t="s">
        <v>676</v>
      </c>
      <c r="L311" t="s">
        <v>680</v>
      </c>
      <c r="M311" t="s">
        <v>683</v>
      </c>
      <c r="N311" t="s">
        <v>691</v>
      </c>
      <c r="O311" t="s">
        <v>693</v>
      </c>
      <c r="P311" s="4">
        <v>26644258</v>
      </c>
      <c r="Q311">
        <v>0</v>
      </c>
      <c r="R311" s="7">
        <v>1.42</v>
      </c>
      <c r="S311" s="8">
        <f>Table1[[#This Row],[Discount_%]]/100</f>
        <v>1.4199999999999999E-2</v>
      </c>
      <c r="T311" s="6" t="s">
        <v>920</v>
      </c>
      <c r="U311" t="s">
        <v>986</v>
      </c>
      <c r="V311">
        <v>2024</v>
      </c>
      <c r="W311" t="s">
        <v>993</v>
      </c>
      <c r="X311" t="s">
        <v>997</v>
      </c>
      <c r="Y311" t="s">
        <v>1001</v>
      </c>
      <c r="Z311">
        <v>5</v>
      </c>
      <c r="AA311">
        <v>38</v>
      </c>
      <c r="AB311" s="4">
        <f>Table1[[#This Row],[Total_Price]]*(1-Table1[[#This Row],[Discount 2]])</f>
        <v>26265909.536400001</v>
      </c>
      <c r="AC311" s="4" t="str" cm="1">
        <f t="array" ref="AC311">_xlfn.IFS(Table1[[#This Row],[Revenue]]&gt;=30000000,"High Value",Table1[[#This Row],[Revenue]]&gt;=10000000,"Moderate Value",TRUE,"Low Value")</f>
        <v>Moderate Value</v>
      </c>
      <c r="AD311" t="str">
        <f>IF(Table1[[#This Row],[Discount 2]]&gt;=5%, "YES", "NO")</f>
        <v>NO</v>
      </c>
      <c r="AE311" t="str" cm="1">
        <f t="array" ref="AE311">_xlfn.IFS(Table1[[#This Row],[Revenue]]&gt;=30000000,"High Spender",Table1[[#This Row],[Revenue]]&gt;=10000000,"Moderate Spender",TRUE,"Low Spender")</f>
        <v>Moderate Spender</v>
      </c>
      <c r="AF311" s="4" t="str" cm="1">
        <f t="array" ref="AF311">_xlfn.IFS(Table1[[#This Row],[Land_Size_SQM]]&gt;=730,"LARGE",Table1[[#This Row],[Land_Size_SQM]]&gt;=465,"MEDIUM",TRUE,"SMALL")</f>
        <v>LARGE</v>
      </c>
    </row>
    <row r="312" spans="1:32" x14ac:dyDescent="0.3">
      <c r="A312" t="s">
        <v>336</v>
      </c>
      <c r="B312" t="s">
        <v>596</v>
      </c>
      <c r="C312" t="s">
        <v>626</v>
      </c>
      <c r="D312">
        <v>46</v>
      </c>
      <c r="E312" t="s">
        <v>630</v>
      </c>
      <c r="F312">
        <v>551</v>
      </c>
      <c r="G312" s="4">
        <v>37063</v>
      </c>
      <c r="H312" s="4">
        <v>20421713</v>
      </c>
      <c r="I312" t="s">
        <v>667</v>
      </c>
      <c r="J312" t="s">
        <v>671</v>
      </c>
      <c r="K312" t="s">
        <v>664</v>
      </c>
      <c r="L312" t="s">
        <v>681</v>
      </c>
      <c r="M312" t="s">
        <v>687</v>
      </c>
      <c r="N312" t="s">
        <v>688</v>
      </c>
      <c r="O312" t="s">
        <v>693</v>
      </c>
      <c r="P312" s="4">
        <v>20421713</v>
      </c>
      <c r="Q312">
        <v>0</v>
      </c>
      <c r="R312" s="7">
        <v>4.6900000000000004</v>
      </c>
      <c r="S312" s="8">
        <f>Table1[[#This Row],[Discount_%]]/100</f>
        <v>4.6900000000000004E-2</v>
      </c>
      <c r="T312" s="6" t="s">
        <v>788</v>
      </c>
      <c r="U312" t="s">
        <v>986</v>
      </c>
      <c r="V312">
        <v>2024</v>
      </c>
      <c r="W312" t="s">
        <v>993</v>
      </c>
      <c r="X312" t="s">
        <v>997</v>
      </c>
      <c r="Y312" t="s">
        <v>1001</v>
      </c>
      <c r="Z312">
        <v>3</v>
      </c>
      <c r="AA312">
        <v>47</v>
      </c>
      <c r="AB312" s="4">
        <f>Table1[[#This Row],[Total_Price]]*(1-Table1[[#This Row],[Discount 2]])</f>
        <v>19463934.660299998</v>
      </c>
      <c r="AC312" s="4" t="str" cm="1">
        <f t="array" ref="AC312">_xlfn.IFS(Table1[[#This Row],[Revenue]]&gt;=30000000,"High Value",Table1[[#This Row],[Revenue]]&gt;=10000000,"Moderate Value",TRUE,"Low Value")</f>
        <v>Moderate Value</v>
      </c>
      <c r="AD312" t="str">
        <f>IF(Table1[[#This Row],[Discount 2]]&gt;=5%, "YES", "NO")</f>
        <v>NO</v>
      </c>
      <c r="AE312" t="str" cm="1">
        <f t="array" ref="AE312">_xlfn.IFS(Table1[[#This Row],[Revenue]]&gt;=30000000,"High Spender",Table1[[#This Row],[Revenue]]&gt;=10000000,"Moderate Spender",TRUE,"Low Spender")</f>
        <v>Moderate Spender</v>
      </c>
      <c r="AF312" s="4" t="str" cm="1">
        <f t="array" ref="AF312">_xlfn.IFS(Table1[[#This Row],[Land_Size_SQM]]&gt;=730,"LARGE",Table1[[#This Row],[Land_Size_SQM]]&gt;=465,"MEDIUM",TRUE,"SMALL")</f>
        <v>MEDIUM</v>
      </c>
    </row>
    <row r="313" spans="1:32" x14ac:dyDescent="0.3">
      <c r="A313" t="s">
        <v>337</v>
      </c>
      <c r="B313" t="s">
        <v>566</v>
      </c>
      <c r="C313" t="s">
        <v>627</v>
      </c>
      <c r="D313">
        <v>38</v>
      </c>
      <c r="E313" t="s">
        <v>630</v>
      </c>
      <c r="F313">
        <v>844</v>
      </c>
      <c r="G313" s="4">
        <v>33009</v>
      </c>
      <c r="H313" s="4">
        <v>27859596</v>
      </c>
      <c r="I313" t="s">
        <v>637</v>
      </c>
      <c r="J313" t="s">
        <v>672</v>
      </c>
      <c r="K313" t="s">
        <v>664</v>
      </c>
      <c r="L313" t="s">
        <v>680</v>
      </c>
      <c r="M313" t="s">
        <v>683</v>
      </c>
      <c r="N313" t="s">
        <v>692</v>
      </c>
      <c r="O313" t="s">
        <v>693</v>
      </c>
      <c r="P313" s="4">
        <v>27859596</v>
      </c>
      <c r="Q313">
        <v>0</v>
      </c>
      <c r="R313" s="7">
        <v>5.73</v>
      </c>
      <c r="S313" s="8">
        <f>Table1[[#This Row],[Discount_%]]/100</f>
        <v>5.7300000000000004E-2</v>
      </c>
      <c r="T313" s="6" t="s">
        <v>921</v>
      </c>
      <c r="U313" t="s">
        <v>984</v>
      </c>
      <c r="V313">
        <v>2024</v>
      </c>
      <c r="W313" t="s">
        <v>993</v>
      </c>
      <c r="X313" t="s">
        <v>998</v>
      </c>
      <c r="Y313" t="s">
        <v>1002</v>
      </c>
      <c r="Z313">
        <v>2</v>
      </c>
      <c r="AA313">
        <v>40</v>
      </c>
      <c r="AB313" s="4">
        <f>Table1[[#This Row],[Total_Price]]*(1-Table1[[#This Row],[Discount 2]])</f>
        <v>26263241.1492</v>
      </c>
      <c r="AC313" s="4" t="str" cm="1">
        <f t="array" ref="AC313">_xlfn.IFS(Table1[[#This Row],[Revenue]]&gt;=30000000,"High Value",Table1[[#This Row],[Revenue]]&gt;=10000000,"Moderate Value",TRUE,"Low Value")</f>
        <v>Moderate Value</v>
      </c>
      <c r="AD313" t="str">
        <f>IF(Table1[[#This Row],[Discount 2]]&gt;=5%, "YES", "NO")</f>
        <v>YES</v>
      </c>
      <c r="AE313" t="str" cm="1">
        <f t="array" ref="AE313">_xlfn.IFS(Table1[[#This Row],[Revenue]]&gt;=30000000,"High Spender",Table1[[#This Row],[Revenue]]&gt;=10000000,"Moderate Spender",TRUE,"Low Spender")</f>
        <v>Moderate Spender</v>
      </c>
      <c r="AF313" s="4" t="str" cm="1">
        <f t="array" ref="AF313">_xlfn.IFS(Table1[[#This Row],[Land_Size_SQM]]&gt;=730,"LARGE",Table1[[#This Row],[Land_Size_SQM]]&gt;=465,"MEDIUM",TRUE,"SMALL")</f>
        <v>LARGE</v>
      </c>
    </row>
    <row r="314" spans="1:32" x14ac:dyDescent="0.3">
      <c r="A314" t="s">
        <v>338</v>
      </c>
      <c r="B314" t="s">
        <v>594</v>
      </c>
      <c r="C314" t="s">
        <v>627</v>
      </c>
      <c r="D314">
        <v>36</v>
      </c>
      <c r="E314" t="s">
        <v>629</v>
      </c>
      <c r="F314">
        <v>214</v>
      </c>
      <c r="G314" s="4">
        <v>9310</v>
      </c>
      <c r="H314" s="4">
        <v>1992340</v>
      </c>
      <c r="I314" t="s">
        <v>657</v>
      </c>
      <c r="J314" t="s">
        <v>671</v>
      </c>
      <c r="K314" t="s">
        <v>677</v>
      </c>
      <c r="L314" t="s">
        <v>680</v>
      </c>
      <c r="M314" t="s">
        <v>684</v>
      </c>
      <c r="N314" t="s">
        <v>688</v>
      </c>
      <c r="O314" t="s">
        <v>693</v>
      </c>
      <c r="P314" s="4">
        <v>1992340</v>
      </c>
      <c r="Q314">
        <v>0</v>
      </c>
      <c r="R314" s="7">
        <v>9.1</v>
      </c>
      <c r="S314" s="8">
        <f>Table1[[#This Row],[Discount_%]]/100</f>
        <v>9.0999999999999998E-2</v>
      </c>
      <c r="T314" s="6" t="s">
        <v>814</v>
      </c>
      <c r="U314" t="s">
        <v>987</v>
      </c>
      <c r="V314">
        <v>2024</v>
      </c>
      <c r="W314" t="s">
        <v>993</v>
      </c>
      <c r="X314" t="s">
        <v>998</v>
      </c>
      <c r="Y314" t="s">
        <v>1000</v>
      </c>
      <c r="Z314">
        <v>2</v>
      </c>
      <c r="AA314">
        <v>39</v>
      </c>
      <c r="AB314" s="4">
        <f>Table1[[#This Row],[Total_Price]]*(1-Table1[[#This Row],[Discount 2]])</f>
        <v>1811037.06</v>
      </c>
      <c r="AC314" s="4" t="str" cm="1">
        <f t="array" ref="AC314">_xlfn.IFS(Table1[[#This Row],[Revenue]]&gt;=30000000,"High Value",Table1[[#This Row],[Revenue]]&gt;=10000000,"Moderate Value",TRUE,"Low Value")</f>
        <v>Low Value</v>
      </c>
      <c r="AD314" t="str">
        <f>IF(Table1[[#This Row],[Discount 2]]&gt;=5%, "YES", "NO")</f>
        <v>YES</v>
      </c>
      <c r="AE314" t="str" cm="1">
        <f t="array" ref="AE314">_xlfn.IFS(Table1[[#This Row],[Revenue]]&gt;=30000000,"High Spender",Table1[[#This Row],[Revenue]]&gt;=10000000,"Moderate Spender",TRUE,"Low Spender")</f>
        <v>Low Spender</v>
      </c>
      <c r="AF314" s="4" t="str" cm="1">
        <f t="array" ref="AF314">_xlfn.IFS(Table1[[#This Row],[Land_Size_SQM]]&gt;=730,"LARGE",Table1[[#This Row],[Land_Size_SQM]]&gt;=465,"MEDIUM",TRUE,"SMALL")</f>
        <v>SMALL</v>
      </c>
    </row>
    <row r="315" spans="1:32" x14ac:dyDescent="0.3">
      <c r="A315" t="s">
        <v>339</v>
      </c>
      <c r="B315" t="s">
        <v>590</v>
      </c>
      <c r="C315" t="s">
        <v>626</v>
      </c>
      <c r="D315">
        <v>23</v>
      </c>
      <c r="E315" t="s">
        <v>629</v>
      </c>
      <c r="F315">
        <v>988</v>
      </c>
      <c r="G315" s="4">
        <v>27111</v>
      </c>
      <c r="H315" s="4">
        <v>26785668</v>
      </c>
      <c r="I315" t="s">
        <v>632</v>
      </c>
      <c r="J315" t="s">
        <v>669</v>
      </c>
      <c r="K315" t="s">
        <v>640</v>
      </c>
      <c r="L315" t="s">
        <v>681</v>
      </c>
      <c r="M315" t="s">
        <v>685</v>
      </c>
      <c r="N315" t="s">
        <v>689</v>
      </c>
      <c r="O315" t="s">
        <v>693</v>
      </c>
      <c r="P315" s="4">
        <v>26785668</v>
      </c>
      <c r="Q315">
        <v>0</v>
      </c>
      <c r="R315" s="7">
        <v>6.61</v>
      </c>
      <c r="S315" s="8">
        <f>Table1[[#This Row],[Discount_%]]/100</f>
        <v>6.6100000000000006E-2</v>
      </c>
      <c r="T315" s="6" t="s">
        <v>922</v>
      </c>
      <c r="U315" t="s">
        <v>983</v>
      </c>
      <c r="V315">
        <v>2024</v>
      </c>
      <c r="W315" t="s">
        <v>996</v>
      </c>
      <c r="X315" t="s">
        <v>998</v>
      </c>
      <c r="Y315" t="s">
        <v>1002</v>
      </c>
      <c r="Z315">
        <v>4</v>
      </c>
      <c r="AA315">
        <v>20</v>
      </c>
      <c r="AB315" s="4">
        <f>Table1[[#This Row],[Total_Price]]*(1-Table1[[#This Row],[Discount 2]])</f>
        <v>25015135.345199998</v>
      </c>
      <c r="AC315" s="4" t="str" cm="1">
        <f t="array" ref="AC315">_xlfn.IFS(Table1[[#This Row],[Revenue]]&gt;=30000000,"High Value",Table1[[#This Row],[Revenue]]&gt;=10000000,"Moderate Value",TRUE,"Low Value")</f>
        <v>Moderate Value</v>
      </c>
      <c r="AD315" t="str">
        <f>IF(Table1[[#This Row],[Discount 2]]&gt;=5%, "YES", "NO")</f>
        <v>YES</v>
      </c>
      <c r="AE315" t="str" cm="1">
        <f t="array" ref="AE315">_xlfn.IFS(Table1[[#This Row],[Revenue]]&gt;=30000000,"High Spender",Table1[[#This Row],[Revenue]]&gt;=10000000,"Moderate Spender",TRUE,"Low Spender")</f>
        <v>Moderate Spender</v>
      </c>
      <c r="AF315" s="4" t="str" cm="1">
        <f t="array" ref="AF315">_xlfn.IFS(Table1[[#This Row],[Land_Size_SQM]]&gt;=730,"LARGE",Table1[[#This Row],[Land_Size_SQM]]&gt;=465,"MEDIUM",TRUE,"SMALL")</f>
        <v>LARGE</v>
      </c>
    </row>
    <row r="316" spans="1:32" x14ac:dyDescent="0.3">
      <c r="A316" t="s">
        <v>340</v>
      </c>
      <c r="B316" t="s">
        <v>591</v>
      </c>
      <c r="C316" t="s">
        <v>626</v>
      </c>
      <c r="D316">
        <v>44</v>
      </c>
      <c r="E316" t="s">
        <v>629</v>
      </c>
      <c r="F316">
        <v>439</v>
      </c>
      <c r="G316" s="4">
        <v>26890</v>
      </c>
      <c r="H316" s="4">
        <v>11804710</v>
      </c>
      <c r="I316" t="s">
        <v>634</v>
      </c>
      <c r="J316" t="s">
        <v>670</v>
      </c>
      <c r="K316" t="s">
        <v>675</v>
      </c>
      <c r="L316" t="s">
        <v>681</v>
      </c>
      <c r="M316" t="s">
        <v>686</v>
      </c>
      <c r="N316" t="s">
        <v>689</v>
      </c>
      <c r="O316" t="s">
        <v>694</v>
      </c>
      <c r="P316" s="4">
        <v>3291006</v>
      </c>
      <c r="Q316">
        <v>24</v>
      </c>
      <c r="R316" s="7">
        <v>5.3</v>
      </c>
      <c r="S316" s="8">
        <f>Table1[[#This Row],[Discount_%]]/100</f>
        <v>5.2999999999999999E-2</v>
      </c>
      <c r="T316" s="6" t="s">
        <v>817</v>
      </c>
      <c r="U316" t="s">
        <v>989</v>
      </c>
      <c r="V316">
        <v>2024</v>
      </c>
      <c r="W316" t="s">
        <v>993</v>
      </c>
      <c r="X316" t="s">
        <v>997</v>
      </c>
      <c r="Y316" t="s">
        <v>1001</v>
      </c>
      <c r="Z316">
        <v>3</v>
      </c>
      <c r="AA316">
        <v>28</v>
      </c>
      <c r="AB316" s="4">
        <f>Table1[[#This Row],[Total_Price]]*(1-Table1[[#This Row],[Discount 2]])</f>
        <v>11179060.369999999</v>
      </c>
      <c r="AC316" s="4" t="str" cm="1">
        <f t="array" ref="AC316">_xlfn.IFS(Table1[[#This Row],[Revenue]]&gt;=30000000,"High Value",Table1[[#This Row],[Revenue]]&gt;=10000000,"Moderate Value",TRUE,"Low Value")</f>
        <v>Moderate Value</v>
      </c>
      <c r="AD316" t="str">
        <f>IF(Table1[[#This Row],[Discount 2]]&gt;=5%, "YES", "NO")</f>
        <v>YES</v>
      </c>
      <c r="AE316" t="str" cm="1">
        <f t="array" ref="AE316">_xlfn.IFS(Table1[[#This Row],[Revenue]]&gt;=30000000,"High Spender",Table1[[#This Row],[Revenue]]&gt;=10000000,"Moderate Spender",TRUE,"Low Spender")</f>
        <v>Moderate Spender</v>
      </c>
      <c r="AF316" s="4" t="str" cm="1">
        <f t="array" ref="AF316">_xlfn.IFS(Table1[[#This Row],[Land_Size_SQM]]&gt;=730,"LARGE",Table1[[#This Row],[Land_Size_SQM]]&gt;=465,"MEDIUM",TRUE,"SMALL")</f>
        <v>SMALL</v>
      </c>
    </row>
    <row r="317" spans="1:32" x14ac:dyDescent="0.3">
      <c r="A317" t="s">
        <v>341</v>
      </c>
      <c r="B317" t="s">
        <v>562</v>
      </c>
      <c r="C317" t="s">
        <v>627</v>
      </c>
      <c r="D317">
        <v>53</v>
      </c>
      <c r="E317" t="s">
        <v>630</v>
      </c>
      <c r="F317">
        <v>543</v>
      </c>
      <c r="G317" s="4">
        <v>19716</v>
      </c>
      <c r="H317" s="4">
        <v>10705788</v>
      </c>
      <c r="I317" t="s">
        <v>655</v>
      </c>
      <c r="J317" t="s">
        <v>672</v>
      </c>
      <c r="K317" t="s">
        <v>677</v>
      </c>
      <c r="L317" t="s">
        <v>682</v>
      </c>
      <c r="M317" t="s">
        <v>683</v>
      </c>
      <c r="N317" t="s">
        <v>690</v>
      </c>
      <c r="O317" t="s">
        <v>694</v>
      </c>
      <c r="P317" s="4">
        <v>2961255</v>
      </c>
      <c r="Q317">
        <v>3</v>
      </c>
      <c r="R317" s="7">
        <v>5.84</v>
      </c>
      <c r="S317" s="8">
        <f>Table1[[#This Row],[Discount_%]]/100</f>
        <v>5.8400000000000001E-2</v>
      </c>
      <c r="T317" s="6" t="s">
        <v>923</v>
      </c>
      <c r="U317" t="s">
        <v>989</v>
      </c>
      <c r="V317">
        <v>2024</v>
      </c>
      <c r="W317" t="s">
        <v>993</v>
      </c>
      <c r="X317" t="s">
        <v>997</v>
      </c>
      <c r="Y317" t="s">
        <v>1000</v>
      </c>
      <c r="Z317">
        <v>1</v>
      </c>
      <c r="AA317">
        <v>1</v>
      </c>
      <c r="AB317" s="4">
        <f>Table1[[#This Row],[Total_Price]]*(1-Table1[[#This Row],[Discount 2]])</f>
        <v>10080569.980799999</v>
      </c>
      <c r="AC317" s="4" t="str" cm="1">
        <f t="array" ref="AC317">_xlfn.IFS(Table1[[#This Row],[Revenue]]&gt;=30000000,"High Value",Table1[[#This Row],[Revenue]]&gt;=10000000,"Moderate Value",TRUE,"Low Value")</f>
        <v>Moderate Value</v>
      </c>
      <c r="AD317" t="str">
        <f>IF(Table1[[#This Row],[Discount 2]]&gt;=5%, "YES", "NO")</f>
        <v>YES</v>
      </c>
      <c r="AE317" t="str" cm="1">
        <f t="array" ref="AE317">_xlfn.IFS(Table1[[#This Row],[Revenue]]&gt;=30000000,"High Spender",Table1[[#This Row],[Revenue]]&gt;=10000000,"Moderate Spender",TRUE,"Low Spender")</f>
        <v>Moderate Spender</v>
      </c>
      <c r="AF317" s="4" t="str" cm="1">
        <f t="array" ref="AF317">_xlfn.IFS(Table1[[#This Row],[Land_Size_SQM]]&gt;=730,"LARGE",Table1[[#This Row],[Land_Size_SQM]]&gt;=465,"MEDIUM",TRUE,"SMALL")</f>
        <v>MEDIUM</v>
      </c>
    </row>
    <row r="318" spans="1:32" x14ac:dyDescent="0.3">
      <c r="A318" t="s">
        <v>342</v>
      </c>
      <c r="B318" t="s">
        <v>610</v>
      </c>
      <c r="C318" t="s">
        <v>627</v>
      </c>
      <c r="D318">
        <v>23</v>
      </c>
      <c r="E318" t="s">
        <v>629</v>
      </c>
      <c r="F318">
        <v>306</v>
      </c>
      <c r="G318" s="4">
        <v>46924</v>
      </c>
      <c r="H318" s="4">
        <v>14358744</v>
      </c>
      <c r="I318" t="s">
        <v>663</v>
      </c>
      <c r="J318" t="s">
        <v>670</v>
      </c>
      <c r="K318" t="s">
        <v>675</v>
      </c>
      <c r="L318" t="s">
        <v>682</v>
      </c>
      <c r="M318" t="s">
        <v>683</v>
      </c>
      <c r="N318" t="s">
        <v>692</v>
      </c>
      <c r="O318" t="s">
        <v>694</v>
      </c>
      <c r="P318" s="4">
        <v>3816912</v>
      </c>
      <c r="Q318">
        <v>12</v>
      </c>
      <c r="R318" s="7">
        <v>2.83</v>
      </c>
      <c r="S318" s="8">
        <f>Table1[[#This Row],[Discount_%]]/100</f>
        <v>2.8300000000000002E-2</v>
      </c>
      <c r="T318" s="6" t="s">
        <v>859</v>
      </c>
      <c r="U318" t="s">
        <v>990</v>
      </c>
      <c r="V318">
        <v>2024</v>
      </c>
      <c r="W318" t="s">
        <v>993</v>
      </c>
      <c r="X318" t="s">
        <v>997</v>
      </c>
      <c r="Y318" t="s">
        <v>1000</v>
      </c>
      <c r="Z318">
        <v>1</v>
      </c>
      <c r="AA318">
        <v>39</v>
      </c>
      <c r="AB318" s="4">
        <f>Table1[[#This Row],[Total_Price]]*(1-Table1[[#This Row],[Discount 2]])</f>
        <v>13952391.5448</v>
      </c>
      <c r="AC318" s="4" t="str" cm="1">
        <f t="array" ref="AC318">_xlfn.IFS(Table1[[#This Row],[Revenue]]&gt;=30000000,"High Value",Table1[[#This Row],[Revenue]]&gt;=10000000,"Moderate Value",TRUE,"Low Value")</f>
        <v>Moderate Value</v>
      </c>
      <c r="AD318" t="str">
        <f>IF(Table1[[#This Row],[Discount 2]]&gt;=5%, "YES", "NO")</f>
        <v>NO</v>
      </c>
      <c r="AE318" t="str" cm="1">
        <f t="array" ref="AE318">_xlfn.IFS(Table1[[#This Row],[Revenue]]&gt;=30000000,"High Spender",Table1[[#This Row],[Revenue]]&gt;=10000000,"Moderate Spender",TRUE,"Low Spender")</f>
        <v>Moderate Spender</v>
      </c>
      <c r="AF318" s="4" t="str" cm="1">
        <f t="array" ref="AF318">_xlfn.IFS(Table1[[#This Row],[Land_Size_SQM]]&gt;=730,"LARGE",Table1[[#This Row],[Land_Size_SQM]]&gt;=465,"MEDIUM",TRUE,"SMALL")</f>
        <v>SMALL</v>
      </c>
    </row>
    <row r="319" spans="1:32" x14ac:dyDescent="0.3">
      <c r="A319" t="s">
        <v>343</v>
      </c>
      <c r="B319" t="s">
        <v>589</v>
      </c>
      <c r="C319" t="s">
        <v>626</v>
      </c>
      <c r="D319">
        <v>47</v>
      </c>
      <c r="E319" t="s">
        <v>629</v>
      </c>
      <c r="F319">
        <v>389</v>
      </c>
      <c r="G319" s="4">
        <v>9264</v>
      </c>
      <c r="H319" s="4">
        <v>3603696</v>
      </c>
      <c r="I319" t="s">
        <v>632</v>
      </c>
      <c r="J319" t="s">
        <v>669</v>
      </c>
      <c r="K319" t="s">
        <v>674</v>
      </c>
      <c r="L319" t="s">
        <v>682</v>
      </c>
      <c r="M319" t="s">
        <v>687</v>
      </c>
      <c r="N319" t="s">
        <v>690</v>
      </c>
      <c r="O319" t="s">
        <v>693</v>
      </c>
      <c r="P319" s="4">
        <v>3603696</v>
      </c>
      <c r="Q319">
        <v>0</v>
      </c>
      <c r="R319" s="7">
        <v>2.5299999999999998</v>
      </c>
      <c r="S319" s="8">
        <f>Table1[[#This Row],[Discount_%]]/100</f>
        <v>2.53E-2</v>
      </c>
      <c r="T319" s="6" t="s">
        <v>924</v>
      </c>
      <c r="U319" t="s">
        <v>989</v>
      </c>
      <c r="V319">
        <v>2024</v>
      </c>
      <c r="W319" t="s">
        <v>996</v>
      </c>
      <c r="X319" t="s">
        <v>999</v>
      </c>
      <c r="Y319" t="s">
        <v>1002</v>
      </c>
      <c r="Z319">
        <v>1</v>
      </c>
      <c r="AA319">
        <v>25</v>
      </c>
      <c r="AB319" s="4">
        <f>Table1[[#This Row],[Total_Price]]*(1-Table1[[#This Row],[Discount 2]])</f>
        <v>3512522.4912</v>
      </c>
      <c r="AC319" s="4" t="str" cm="1">
        <f t="array" ref="AC319">_xlfn.IFS(Table1[[#This Row],[Revenue]]&gt;=30000000,"High Value",Table1[[#This Row],[Revenue]]&gt;=10000000,"Moderate Value",TRUE,"Low Value")</f>
        <v>Low Value</v>
      </c>
      <c r="AD319" t="str">
        <f>IF(Table1[[#This Row],[Discount 2]]&gt;=5%, "YES", "NO")</f>
        <v>NO</v>
      </c>
      <c r="AE319" t="str" cm="1">
        <f t="array" ref="AE319">_xlfn.IFS(Table1[[#This Row],[Revenue]]&gt;=30000000,"High Spender",Table1[[#This Row],[Revenue]]&gt;=10000000,"Moderate Spender",TRUE,"Low Spender")</f>
        <v>Low Spender</v>
      </c>
      <c r="AF319" s="4" t="str" cm="1">
        <f t="array" ref="AF319">_xlfn.IFS(Table1[[#This Row],[Land_Size_SQM]]&gt;=730,"LARGE",Table1[[#This Row],[Land_Size_SQM]]&gt;=465,"MEDIUM",TRUE,"SMALL")</f>
        <v>SMALL</v>
      </c>
    </row>
    <row r="320" spans="1:32" x14ac:dyDescent="0.3">
      <c r="A320" t="s">
        <v>344</v>
      </c>
      <c r="B320" t="s">
        <v>562</v>
      </c>
      <c r="C320" t="s">
        <v>626</v>
      </c>
      <c r="D320">
        <v>31</v>
      </c>
      <c r="E320" t="s">
        <v>629</v>
      </c>
      <c r="F320">
        <v>464</v>
      </c>
      <c r="G320" s="4">
        <v>19345</v>
      </c>
      <c r="H320" s="4">
        <v>8976080</v>
      </c>
      <c r="I320" t="s">
        <v>645</v>
      </c>
      <c r="J320" t="s">
        <v>670</v>
      </c>
      <c r="K320" t="s">
        <v>664</v>
      </c>
      <c r="L320" t="s">
        <v>681</v>
      </c>
      <c r="M320" t="s">
        <v>685</v>
      </c>
      <c r="N320" t="s">
        <v>688</v>
      </c>
      <c r="O320" t="s">
        <v>693</v>
      </c>
      <c r="P320" s="4">
        <v>8976080</v>
      </c>
      <c r="Q320">
        <v>0</v>
      </c>
      <c r="R320" s="7">
        <v>4.41</v>
      </c>
      <c r="S320" s="8">
        <f>Table1[[#This Row],[Discount_%]]/100</f>
        <v>4.41E-2</v>
      </c>
      <c r="T320" s="6" t="s">
        <v>925</v>
      </c>
      <c r="U320" t="s">
        <v>986</v>
      </c>
      <c r="V320">
        <v>2024</v>
      </c>
      <c r="W320" t="s">
        <v>995</v>
      </c>
      <c r="X320" t="s">
        <v>999</v>
      </c>
      <c r="Y320" t="s">
        <v>1001</v>
      </c>
      <c r="Z320">
        <v>1</v>
      </c>
      <c r="AA320">
        <v>29</v>
      </c>
      <c r="AB320" s="4">
        <f>Table1[[#This Row],[Total_Price]]*(1-Table1[[#This Row],[Discount 2]])</f>
        <v>8580234.8719999995</v>
      </c>
      <c r="AC320" s="4" t="str" cm="1">
        <f t="array" ref="AC320">_xlfn.IFS(Table1[[#This Row],[Revenue]]&gt;=30000000,"High Value",Table1[[#This Row],[Revenue]]&gt;=10000000,"Moderate Value",TRUE,"Low Value")</f>
        <v>Low Value</v>
      </c>
      <c r="AD320" t="str">
        <f>IF(Table1[[#This Row],[Discount 2]]&gt;=5%, "YES", "NO")</f>
        <v>NO</v>
      </c>
      <c r="AE320" t="str" cm="1">
        <f t="array" ref="AE320">_xlfn.IFS(Table1[[#This Row],[Revenue]]&gt;=30000000,"High Spender",Table1[[#This Row],[Revenue]]&gt;=10000000,"Moderate Spender",TRUE,"Low Spender")</f>
        <v>Low Spender</v>
      </c>
      <c r="AF320" s="4" t="str" cm="1">
        <f t="array" ref="AF320">_xlfn.IFS(Table1[[#This Row],[Land_Size_SQM]]&gt;=730,"LARGE",Table1[[#This Row],[Land_Size_SQM]]&gt;=465,"MEDIUM",TRUE,"SMALL")</f>
        <v>SMALL</v>
      </c>
    </row>
    <row r="321" spans="1:32" x14ac:dyDescent="0.3">
      <c r="A321" t="s">
        <v>345</v>
      </c>
      <c r="B321" t="s">
        <v>605</v>
      </c>
      <c r="C321" t="s">
        <v>626</v>
      </c>
      <c r="D321">
        <v>29</v>
      </c>
      <c r="E321" t="s">
        <v>629</v>
      </c>
      <c r="F321">
        <v>235</v>
      </c>
      <c r="G321" s="4">
        <v>6778</v>
      </c>
      <c r="H321" s="4">
        <v>1592830</v>
      </c>
      <c r="I321" t="s">
        <v>635</v>
      </c>
      <c r="J321" t="s">
        <v>668</v>
      </c>
      <c r="K321" t="s">
        <v>676</v>
      </c>
      <c r="L321" t="s">
        <v>682</v>
      </c>
      <c r="M321" t="s">
        <v>685</v>
      </c>
      <c r="N321" t="s">
        <v>689</v>
      </c>
      <c r="O321" t="s">
        <v>693</v>
      </c>
      <c r="P321" s="4">
        <v>1592830</v>
      </c>
      <c r="Q321">
        <v>0</v>
      </c>
      <c r="R321" s="7">
        <v>5.71</v>
      </c>
      <c r="S321" s="8">
        <f>Table1[[#This Row],[Discount_%]]/100</f>
        <v>5.7099999999999998E-2</v>
      </c>
      <c r="T321" s="6" t="s">
        <v>883</v>
      </c>
      <c r="U321" t="s">
        <v>992</v>
      </c>
      <c r="V321">
        <v>2024</v>
      </c>
      <c r="W321" t="s">
        <v>995</v>
      </c>
      <c r="X321" t="s">
        <v>998</v>
      </c>
      <c r="Y321" t="s">
        <v>1000</v>
      </c>
      <c r="Z321">
        <v>3</v>
      </c>
      <c r="AA321">
        <v>26</v>
      </c>
      <c r="AB321" s="4">
        <f>Table1[[#This Row],[Total_Price]]*(1-Table1[[#This Row],[Discount 2]])</f>
        <v>1501879.4069999999</v>
      </c>
      <c r="AC321" s="4" t="str" cm="1">
        <f t="array" ref="AC321">_xlfn.IFS(Table1[[#This Row],[Revenue]]&gt;=30000000,"High Value",Table1[[#This Row],[Revenue]]&gt;=10000000,"Moderate Value",TRUE,"Low Value")</f>
        <v>Low Value</v>
      </c>
      <c r="AD321" t="str">
        <f>IF(Table1[[#This Row],[Discount 2]]&gt;=5%, "YES", "NO")</f>
        <v>YES</v>
      </c>
      <c r="AE321" t="str" cm="1">
        <f t="array" ref="AE321">_xlfn.IFS(Table1[[#This Row],[Revenue]]&gt;=30000000,"High Spender",Table1[[#This Row],[Revenue]]&gt;=10000000,"Moderate Spender",TRUE,"Low Spender")</f>
        <v>Low Spender</v>
      </c>
      <c r="AF321" s="4" t="str" cm="1">
        <f t="array" ref="AF321">_xlfn.IFS(Table1[[#This Row],[Land_Size_SQM]]&gt;=730,"LARGE",Table1[[#This Row],[Land_Size_SQM]]&gt;=465,"MEDIUM",TRUE,"SMALL")</f>
        <v>SMALL</v>
      </c>
    </row>
    <row r="322" spans="1:32" x14ac:dyDescent="0.3">
      <c r="A322" t="s">
        <v>346</v>
      </c>
      <c r="B322" t="s">
        <v>570</v>
      </c>
      <c r="C322" t="s">
        <v>627</v>
      </c>
      <c r="D322">
        <v>44</v>
      </c>
      <c r="E322" t="s">
        <v>629</v>
      </c>
      <c r="F322">
        <v>924</v>
      </c>
      <c r="G322" s="4">
        <v>34157</v>
      </c>
      <c r="H322" s="4">
        <v>31561068</v>
      </c>
      <c r="I322" t="s">
        <v>638</v>
      </c>
      <c r="J322" t="s">
        <v>672</v>
      </c>
      <c r="K322" t="s">
        <v>675</v>
      </c>
      <c r="L322" t="s">
        <v>681</v>
      </c>
      <c r="M322" t="s">
        <v>685</v>
      </c>
      <c r="N322" t="s">
        <v>692</v>
      </c>
      <c r="O322" t="s">
        <v>694</v>
      </c>
      <c r="P322" s="4">
        <v>10136589</v>
      </c>
      <c r="Q322">
        <v>24</v>
      </c>
      <c r="R322" s="7">
        <v>7.28</v>
      </c>
      <c r="S322" s="8">
        <f>Table1[[#This Row],[Discount_%]]/100</f>
        <v>7.2800000000000004E-2</v>
      </c>
      <c r="T322" s="6" t="s">
        <v>871</v>
      </c>
      <c r="U322" t="s">
        <v>981</v>
      </c>
      <c r="V322">
        <v>2024</v>
      </c>
      <c r="W322" t="s">
        <v>994</v>
      </c>
      <c r="X322" t="s">
        <v>998</v>
      </c>
      <c r="Y322" t="s">
        <v>1001</v>
      </c>
      <c r="Z322">
        <v>3</v>
      </c>
      <c r="AA322">
        <v>26</v>
      </c>
      <c r="AB322" s="4">
        <f>Table1[[#This Row],[Total_Price]]*(1-Table1[[#This Row],[Discount 2]])</f>
        <v>29263422.249600001</v>
      </c>
      <c r="AC322" s="4" t="str" cm="1">
        <f t="array" ref="AC322">_xlfn.IFS(Table1[[#This Row],[Revenue]]&gt;=30000000,"High Value",Table1[[#This Row],[Revenue]]&gt;=10000000,"Moderate Value",TRUE,"Low Value")</f>
        <v>Moderate Value</v>
      </c>
      <c r="AD322" t="str">
        <f>IF(Table1[[#This Row],[Discount 2]]&gt;=5%, "YES", "NO")</f>
        <v>YES</v>
      </c>
      <c r="AE322" t="str" cm="1">
        <f t="array" ref="AE322">_xlfn.IFS(Table1[[#This Row],[Revenue]]&gt;=30000000,"High Spender",Table1[[#This Row],[Revenue]]&gt;=10000000,"Moderate Spender",TRUE,"Low Spender")</f>
        <v>Moderate Spender</v>
      </c>
      <c r="AF322" s="4" t="str" cm="1">
        <f t="array" ref="AF322">_xlfn.IFS(Table1[[#This Row],[Land_Size_SQM]]&gt;=730,"LARGE",Table1[[#This Row],[Land_Size_SQM]]&gt;=465,"MEDIUM",TRUE,"SMALL")</f>
        <v>LARGE</v>
      </c>
    </row>
    <row r="323" spans="1:32" x14ac:dyDescent="0.3">
      <c r="A323" t="s">
        <v>347</v>
      </c>
      <c r="B323" t="s">
        <v>613</v>
      </c>
      <c r="C323" t="s">
        <v>627</v>
      </c>
      <c r="D323">
        <v>44</v>
      </c>
      <c r="E323" t="s">
        <v>629</v>
      </c>
      <c r="F323">
        <v>574</v>
      </c>
      <c r="G323" s="4">
        <v>37037</v>
      </c>
      <c r="H323" s="4">
        <v>21259238</v>
      </c>
      <c r="I323" t="s">
        <v>662</v>
      </c>
      <c r="J323" t="s">
        <v>673</v>
      </c>
      <c r="K323" t="s">
        <v>676</v>
      </c>
      <c r="L323" t="s">
        <v>680</v>
      </c>
      <c r="M323" t="s">
        <v>687</v>
      </c>
      <c r="N323" t="s">
        <v>691</v>
      </c>
      <c r="O323" t="s">
        <v>694</v>
      </c>
      <c r="P323" s="4">
        <v>9616711</v>
      </c>
      <c r="Q323">
        <v>3</v>
      </c>
      <c r="R323" s="7">
        <v>7.6</v>
      </c>
      <c r="S323" s="8">
        <f>Table1[[#This Row],[Discount_%]]/100</f>
        <v>7.5999999999999998E-2</v>
      </c>
      <c r="T323" s="6" t="s">
        <v>926</v>
      </c>
      <c r="U323" t="s">
        <v>992</v>
      </c>
      <c r="V323">
        <v>2024</v>
      </c>
      <c r="W323" t="s">
        <v>993</v>
      </c>
      <c r="X323" t="s">
        <v>997</v>
      </c>
      <c r="Y323" t="s">
        <v>1001</v>
      </c>
      <c r="Z323">
        <v>3</v>
      </c>
      <c r="AA323">
        <v>32</v>
      </c>
      <c r="AB323" s="4">
        <f>Table1[[#This Row],[Total_Price]]*(1-Table1[[#This Row],[Discount 2]])</f>
        <v>19643535.912</v>
      </c>
      <c r="AC323" s="4" t="str" cm="1">
        <f t="array" ref="AC323">_xlfn.IFS(Table1[[#This Row],[Revenue]]&gt;=30000000,"High Value",Table1[[#This Row],[Revenue]]&gt;=10000000,"Moderate Value",TRUE,"Low Value")</f>
        <v>Moderate Value</v>
      </c>
      <c r="AD323" t="str">
        <f>IF(Table1[[#This Row],[Discount 2]]&gt;=5%, "YES", "NO")</f>
        <v>YES</v>
      </c>
      <c r="AE323" t="str" cm="1">
        <f t="array" ref="AE323">_xlfn.IFS(Table1[[#This Row],[Revenue]]&gt;=30000000,"High Spender",Table1[[#This Row],[Revenue]]&gt;=10000000,"Moderate Spender",TRUE,"Low Spender")</f>
        <v>Moderate Spender</v>
      </c>
      <c r="AF323" s="4" t="str" cm="1">
        <f t="array" ref="AF323">_xlfn.IFS(Table1[[#This Row],[Land_Size_SQM]]&gt;=730,"LARGE",Table1[[#This Row],[Land_Size_SQM]]&gt;=465,"MEDIUM",TRUE,"SMALL")</f>
        <v>MEDIUM</v>
      </c>
    </row>
    <row r="324" spans="1:32" x14ac:dyDescent="0.3">
      <c r="A324" t="s">
        <v>348</v>
      </c>
      <c r="B324" t="s">
        <v>550</v>
      </c>
      <c r="C324" t="s">
        <v>626</v>
      </c>
      <c r="D324">
        <v>44</v>
      </c>
      <c r="E324" t="s">
        <v>628</v>
      </c>
      <c r="F324">
        <v>952</v>
      </c>
      <c r="G324" s="4">
        <v>14416</v>
      </c>
      <c r="H324" s="4">
        <v>13724032</v>
      </c>
      <c r="I324" t="s">
        <v>662</v>
      </c>
      <c r="J324" t="s">
        <v>673</v>
      </c>
      <c r="K324" t="s">
        <v>678</v>
      </c>
      <c r="L324" t="s">
        <v>682</v>
      </c>
      <c r="M324" t="s">
        <v>687</v>
      </c>
      <c r="N324" t="s">
        <v>691</v>
      </c>
      <c r="O324" t="s">
        <v>693</v>
      </c>
      <c r="P324" s="4">
        <v>13724032</v>
      </c>
      <c r="Q324">
        <v>0</v>
      </c>
      <c r="R324" s="7">
        <v>0.36</v>
      </c>
      <c r="S324" s="8">
        <f>Table1[[#This Row],[Discount_%]]/100</f>
        <v>3.5999999999999999E-3</v>
      </c>
      <c r="T324" s="6" t="s">
        <v>927</v>
      </c>
      <c r="U324" t="s">
        <v>988</v>
      </c>
      <c r="V324">
        <v>2024</v>
      </c>
      <c r="W324" t="s">
        <v>995</v>
      </c>
      <c r="X324" t="s">
        <v>999</v>
      </c>
      <c r="Y324" t="s">
        <v>1000</v>
      </c>
      <c r="Z324">
        <v>3</v>
      </c>
      <c r="AA324">
        <v>4</v>
      </c>
      <c r="AB324" s="4">
        <f>Table1[[#This Row],[Total_Price]]*(1-Table1[[#This Row],[Discount 2]])</f>
        <v>13674625.4848</v>
      </c>
      <c r="AC324" s="4" t="str" cm="1">
        <f t="array" ref="AC324">_xlfn.IFS(Table1[[#This Row],[Revenue]]&gt;=30000000,"High Value",Table1[[#This Row],[Revenue]]&gt;=10000000,"Moderate Value",TRUE,"Low Value")</f>
        <v>Moderate Value</v>
      </c>
      <c r="AD324" t="str">
        <f>IF(Table1[[#This Row],[Discount 2]]&gt;=5%, "YES", "NO")</f>
        <v>NO</v>
      </c>
      <c r="AE324" t="str" cm="1">
        <f t="array" ref="AE324">_xlfn.IFS(Table1[[#This Row],[Revenue]]&gt;=30000000,"High Spender",Table1[[#This Row],[Revenue]]&gt;=10000000,"Moderate Spender",TRUE,"Low Spender")</f>
        <v>Moderate Spender</v>
      </c>
      <c r="AF324" s="4" t="str" cm="1">
        <f t="array" ref="AF324">_xlfn.IFS(Table1[[#This Row],[Land_Size_SQM]]&gt;=730,"LARGE",Table1[[#This Row],[Land_Size_SQM]]&gt;=465,"MEDIUM",TRUE,"SMALL")</f>
        <v>LARGE</v>
      </c>
    </row>
    <row r="325" spans="1:32" x14ac:dyDescent="0.3">
      <c r="A325" t="s">
        <v>349</v>
      </c>
      <c r="B325" t="s">
        <v>621</v>
      </c>
      <c r="C325" t="s">
        <v>627</v>
      </c>
      <c r="D325">
        <v>57</v>
      </c>
      <c r="E325" t="s">
        <v>628</v>
      </c>
      <c r="F325">
        <v>615</v>
      </c>
      <c r="G325" s="4">
        <v>9745</v>
      </c>
      <c r="H325" s="4">
        <v>5993175</v>
      </c>
      <c r="I325" t="s">
        <v>636</v>
      </c>
      <c r="J325" t="s">
        <v>671</v>
      </c>
      <c r="K325" t="s">
        <v>664</v>
      </c>
      <c r="L325" t="s">
        <v>680</v>
      </c>
      <c r="M325" t="s">
        <v>685</v>
      </c>
      <c r="N325" t="s">
        <v>688</v>
      </c>
      <c r="O325" t="s">
        <v>693</v>
      </c>
      <c r="P325" s="4">
        <v>5993175</v>
      </c>
      <c r="Q325">
        <v>0</v>
      </c>
      <c r="R325" s="7">
        <v>8.07</v>
      </c>
      <c r="S325" s="8">
        <f>Table1[[#This Row],[Discount_%]]/100</f>
        <v>8.0700000000000008E-2</v>
      </c>
      <c r="T325" s="6" t="s">
        <v>719</v>
      </c>
      <c r="U325" t="s">
        <v>984</v>
      </c>
      <c r="V325">
        <v>2024</v>
      </c>
      <c r="W325" t="s">
        <v>995</v>
      </c>
      <c r="X325" t="s">
        <v>997</v>
      </c>
      <c r="Y325" t="s">
        <v>1000</v>
      </c>
      <c r="Z325">
        <v>4</v>
      </c>
      <c r="AA325">
        <v>40</v>
      </c>
      <c r="AB325" s="4">
        <f>Table1[[#This Row],[Total_Price]]*(1-Table1[[#This Row],[Discount 2]])</f>
        <v>5509525.7774999999</v>
      </c>
      <c r="AC325" s="4" t="str" cm="1">
        <f t="array" ref="AC325">_xlfn.IFS(Table1[[#This Row],[Revenue]]&gt;=30000000,"High Value",Table1[[#This Row],[Revenue]]&gt;=10000000,"Moderate Value",TRUE,"Low Value")</f>
        <v>Low Value</v>
      </c>
      <c r="AD325" t="str">
        <f>IF(Table1[[#This Row],[Discount 2]]&gt;=5%, "YES", "NO")</f>
        <v>YES</v>
      </c>
      <c r="AE325" t="str" cm="1">
        <f t="array" ref="AE325">_xlfn.IFS(Table1[[#This Row],[Revenue]]&gt;=30000000,"High Spender",Table1[[#This Row],[Revenue]]&gt;=10000000,"Moderate Spender",TRUE,"Low Spender")</f>
        <v>Low Spender</v>
      </c>
      <c r="AF325" s="4" t="str" cm="1">
        <f t="array" ref="AF325">_xlfn.IFS(Table1[[#This Row],[Land_Size_SQM]]&gt;=730,"LARGE",Table1[[#This Row],[Land_Size_SQM]]&gt;=465,"MEDIUM",TRUE,"SMALL")</f>
        <v>MEDIUM</v>
      </c>
    </row>
    <row r="326" spans="1:32" x14ac:dyDescent="0.3">
      <c r="A326" t="s">
        <v>350</v>
      </c>
      <c r="B326" t="s">
        <v>596</v>
      </c>
      <c r="C326" t="s">
        <v>627</v>
      </c>
      <c r="D326">
        <v>57</v>
      </c>
      <c r="E326" t="s">
        <v>628</v>
      </c>
      <c r="F326">
        <v>214</v>
      </c>
      <c r="G326" s="4">
        <v>13288</v>
      </c>
      <c r="H326" s="4">
        <v>2843632</v>
      </c>
      <c r="I326" t="s">
        <v>641</v>
      </c>
      <c r="J326" t="s">
        <v>673</v>
      </c>
      <c r="K326" t="s">
        <v>638</v>
      </c>
      <c r="L326" t="s">
        <v>680</v>
      </c>
      <c r="M326" t="s">
        <v>685</v>
      </c>
      <c r="N326" t="s">
        <v>691</v>
      </c>
      <c r="O326" t="s">
        <v>693</v>
      </c>
      <c r="P326" s="4">
        <v>2843632</v>
      </c>
      <c r="Q326">
        <v>0</v>
      </c>
      <c r="R326" s="7">
        <v>9.0500000000000007</v>
      </c>
      <c r="S326" s="8">
        <f>Table1[[#This Row],[Discount_%]]/100</f>
        <v>9.0500000000000011E-2</v>
      </c>
      <c r="T326" s="6" t="s">
        <v>928</v>
      </c>
      <c r="U326" t="s">
        <v>981</v>
      </c>
      <c r="V326">
        <v>2024</v>
      </c>
      <c r="W326" t="s">
        <v>996</v>
      </c>
      <c r="X326" t="s">
        <v>999</v>
      </c>
      <c r="Y326" t="s">
        <v>1000</v>
      </c>
      <c r="Z326">
        <v>4</v>
      </c>
      <c r="AA326">
        <v>22</v>
      </c>
      <c r="AB326" s="4">
        <f>Table1[[#This Row],[Total_Price]]*(1-Table1[[#This Row],[Discount 2]])</f>
        <v>2586283.304</v>
      </c>
      <c r="AC326" s="4" t="str" cm="1">
        <f t="array" ref="AC326">_xlfn.IFS(Table1[[#This Row],[Revenue]]&gt;=30000000,"High Value",Table1[[#This Row],[Revenue]]&gt;=10000000,"Moderate Value",TRUE,"Low Value")</f>
        <v>Low Value</v>
      </c>
      <c r="AD326" t="str">
        <f>IF(Table1[[#This Row],[Discount 2]]&gt;=5%, "YES", "NO")</f>
        <v>YES</v>
      </c>
      <c r="AE326" t="str" cm="1">
        <f t="array" ref="AE326">_xlfn.IFS(Table1[[#This Row],[Revenue]]&gt;=30000000,"High Spender",Table1[[#This Row],[Revenue]]&gt;=10000000,"Moderate Spender",TRUE,"Low Spender")</f>
        <v>Low Spender</v>
      </c>
      <c r="AF326" s="4" t="str" cm="1">
        <f t="array" ref="AF326">_xlfn.IFS(Table1[[#This Row],[Land_Size_SQM]]&gt;=730,"LARGE",Table1[[#This Row],[Land_Size_SQM]]&gt;=465,"MEDIUM",TRUE,"SMALL")</f>
        <v>SMALL</v>
      </c>
    </row>
    <row r="327" spans="1:32" x14ac:dyDescent="0.3">
      <c r="A327" t="s">
        <v>351</v>
      </c>
      <c r="B327" t="s">
        <v>582</v>
      </c>
      <c r="C327" t="s">
        <v>627</v>
      </c>
      <c r="D327">
        <v>41</v>
      </c>
      <c r="E327" t="s">
        <v>628</v>
      </c>
      <c r="F327">
        <v>532</v>
      </c>
      <c r="G327" s="4">
        <v>9916</v>
      </c>
      <c r="H327" s="4">
        <v>5275312</v>
      </c>
      <c r="I327" t="s">
        <v>659</v>
      </c>
      <c r="J327" t="s">
        <v>668</v>
      </c>
      <c r="K327" t="s">
        <v>640</v>
      </c>
      <c r="L327" t="s">
        <v>680</v>
      </c>
      <c r="M327" t="s">
        <v>687</v>
      </c>
      <c r="N327" t="s">
        <v>688</v>
      </c>
      <c r="O327" t="s">
        <v>693</v>
      </c>
      <c r="P327" s="4">
        <v>5275312</v>
      </c>
      <c r="Q327">
        <v>0</v>
      </c>
      <c r="R327" s="7">
        <v>3.22</v>
      </c>
      <c r="S327" s="8">
        <f>Table1[[#This Row],[Discount_%]]/100</f>
        <v>3.2199999999999999E-2</v>
      </c>
      <c r="T327" s="6" t="s">
        <v>710</v>
      </c>
      <c r="U327" t="s">
        <v>990</v>
      </c>
      <c r="V327">
        <v>2024</v>
      </c>
      <c r="W327" t="s">
        <v>995</v>
      </c>
      <c r="X327" t="s">
        <v>999</v>
      </c>
      <c r="Y327" t="s">
        <v>1001</v>
      </c>
      <c r="Z327">
        <v>3</v>
      </c>
      <c r="AA327">
        <v>36</v>
      </c>
      <c r="AB327" s="4">
        <f>Table1[[#This Row],[Total_Price]]*(1-Table1[[#This Row],[Discount 2]])</f>
        <v>5105446.9535999997</v>
      </c>
      <c r="AC327" s="4" t="str" cm="1">
        <f t="array" ref="AC327">_xlfn.IFS(Table1[[#This Row],[Revenue]]&gt;=30000000,"High Value",Table1[[#This Row],[Revenue]]&gt;=10000000,"Moderate Value",TRUE,"Low Value")</f>
        <v>Low Value</v>
      </c>
      <c r="AD327" t="str">
        <f>IF(Table1[[#This Row],[Discount 2]]&gt;=5%, "YES", "NO")</f>
        <v>NO</v>
      </c>
      <c r="AE327" t="str" cm="1">
        <f t="array" ref="AE327">_xlfn.IFS(Table1[[#This Row],[Revenue]]&gt;=30000000,"High Spender",Table1[[#This Row],[Revenue]]&gt;=10000000,"Moderate Spender",TRUE,"Low Spender")</f>
        <v>Low Spender</v>
      </c>
      <c r="AF327" s="4" t="str" cm="1">
        <f t="array" ref="AF327">_xlfn.IFS(Table1[[#This Row],[Land_Size_SQM]]&gt;=730,"LARGE",Table1[[#This Row],[Land_Size_SQM]]&gt;=465,"MEDIUM",TRUE,"SMALL")</f>
        <v>MEDIUM</v>
      </c>
    </row>
    <row r="328" spans="1:32" x14ac:dyDescent="0.3">
      <c r="A328" t="s">
        <v>352</v>
      </c>
      <c r="B328" t="s">
        <v>578</v>
      </c>
      <c r="C328" t="s">
        <v>627</v>
      </c>
      <c r="D328">
        <v>21</v>
      </c>
      <c r="E328" t="s">
        <v>630</v>
      </c>
      <c r="F328">
        <v>795</v>
      </c>
      <c r="G328" s="4">
        <v>4667</v>
      </c>
      <c r="H328" s="4">
        <v>3710265</v>
      </c>
      <c r="I328" t="s">
        <v>632</v>
      </c>
      <c r="J328" t="s">
        <v>669</v>
      </c>
      <c r="K328" t="s">
        <v>679</v>
      </c>
      <c r="L328" t="s">
        <v>680</v>
      </c>
      <c r="M328" t="s">
        <v>685</v>
      </c>
      <c r="N328" t="s">
        <v>689</v>
      </c>
      <c r="O328" t="s">
        <v>693</v>
      </c>
      <c r="P328" s="4">
        <v>3710265</v>
      </c>
      <c r="Q328">
        <v>0</v>
      </c>
      <c r="R328" s="7">
        <v>1</v>
      </c>
      <c r="S328" s="8">
        <f>Table1[[#This Row],[Discount_%]]/100</f>
        <v>0.01</v>
      </c>
      <c r="T328" s="6" t="s">
        <v>929</v>
      </c>
      <c r="U328" t="s">
        <v>983</v>
      </c>
      <c r="V328">
        <v>2024</v>
      </c>
      <c r="W328" t="s">
        <v>996</v>
      </c>
      <c r="X328" t="s">
        <v>999</v>
      </c>
      <c r="Y328" t="s">
        <v>1001</v>
      </c>
      <c r="Z328">
        <v>5</v>
      </c>
      <c r="AA328">
        <v>19</v>
      </c>
      <c r="AB328" s="4">
        <f>Table1[[#This Row],[Total_Price]]*(1-Table1[[#This Row],[Discount 2]])</f>
        <v>3673162.35</v>
      </c>
      <c r="AC328" s="4" t="str" cm="1">
        <f t="array" ref="AC328">_xlfn.IFS(Table1[[#This Row],[Revenue]]&gt;=30000000,"High Value",Table1[[#This Row],[Revenue]]&gt;=10000000,"Moderate Value",TRUE,"Low Value")</f>
        <v>Low Value</v>
      </c>
      <c r="AD328" t="str">
        <f>IF(Table1[[#This Row],[Discount 2]]&gt;=5%, "YES", "NO")</f>
        <v>NO</v>
      </c>
      <c r="AE328" t="str" cm="1">
        <f t="array" ref="AE328">_xlfn.IFS(Table1[[#This Row],[Revenue]]&gt;=30000000,"High Spender",Table1[[#This Row],[Revenue]]&gt;=10000000,"Moderate Spender",TRUE,"Low Spender")</f>
        <v>Low Spender</v>
      </c>
      <c r="AF328" s="4" t="str" cm="1">
        <f t="array" ref="AF328">_xlfn.IFS(Table1[[#This Row],[Land_Size_SQM]]&gt;=730,"LARGE",Table1[[#This Row],[Land_Size_SQM]]&gt;=465,"MEDIUM",TRUE,"SMALL")</f>
        <v>LARGE</v>
      </c>
    </row>
    <row r="329" spans="1:32" x14ac:dyDescent="0.3">
      <c r="A329" t="s">
        <v>353</v>
      </c>
      <c r="B329" t="s">
        <v>621</v>
      </c>
      <c r="C329" t="s">
        <v>626</v>
      </c>
      <c r="D329">
        <v>35</v>
      </c>
      <c r="E329" t="s">
        <v>628</v>
      </c>
      <c r="F329">
        <v>908</v>
      </c>
      <c r="G329" s="4">
        <v>10316</v>
      </c>
      <c r="H329" s="4">
        <v>9366928</v>
      </c>
      <c r="I329" t="s">
        <v>634</v>
      </c>
      <c r="J329" t="s">
        <v>670</v>
      </c>
      <c r="K329" t="s">
        <v>678</v>
      </c>
      <c r="L329" t="s">
        <v>682</v>
      </c>
      <c r="M329" t="s">
        <v>685</v>
      </c>
      <c r="N329" t="s">
        <v>692</v>
      </c>
      <c r="O329" t="s">
        <v>693</v>
      </c>
      <c r="P329" s="4">
        <v>9366928</v>
      </c>
      <c r="Q329">
        <v>0</v>
      </c>
      <c r="R329" s="7">
        <v>1.43</v>
      </c>
      <c r="S329" s="8">
        <f>Table1[[#This Row],[Discount_%]]/100</f>
        <v>1.43E-2</v>
      </c>
      <c r="T329" s="6" t="s">
        <v>930</v>
      </c>
      <c r="U329" t="s">
        <v>992</v>
      </c>
      <c r="V329">
        <v>2024</v>
      </c>
      <c r="W329" t="s">
        <v>996</v>
      </c>
      <c r="X329" t="s">
        <v>997</v>
      </c>
      <c r="Y329" t="s">
        <v>1002</v>
      </c>
      <c r="Z329">
        <v>5</v>
      </c>
      <c r="AA329">
        <v>6</v>
      </c>
      <c r="AB329" s="4">
        <f>Table1[[#This Row],[Total_Price]]*(1-Table1[[#This Row],[Discount 2]])</f>
        <v>9232980.9296000004</v>
      </c>
      <c r="AC329" s="4" t="str" cm="1">
        <f t="array" ref="AC329">_xlfn.IFS(Table1[[#This Row],[Revenue]]&gt;=30000000,"High Value",Table1[[#This Row],[Revenue]]&gt;=10000000,"Moderate Value",TRUE,"Low Value")</f>
        <v>Low Value</v>
      </c>
      <c r="AD329" t="str">
        <f>IF(Table1[[#This Row],[Discount 2]]&gt;=5%, "YES", "NO")</f>
        <v>NO</v>
      </c>
      <c r="AE329" t="str" cm="1">
        <f t="array" ref="AE329">_xlfn.IFS(Table1[[#This Row],[Revenue]]&gt;=30000000,"High Spender",Table1[[#This Row],[Revenue]]&gt;=10000000,"Moderate Spender",TRUE,"Low Spender")</f>
        <v>Low Spender</v>
      </c>
      <c r="AF329" s="4" t="str" cm="1">
        <f t="array" ref="AF329">_xlfn.IFS(Table1[[#This Row],[Land_Size_SQM]]&gt;=730,"LARGE",Table1[[#This Row],[Land_Size_SQM]]&gt;=465,"MEDIUM",TRUE,"SMALL")</f>
        <v>LARGE</v>
      </c>
    </row>
    <row r="330" spans="1:32" x14ac:dyDescent="0.3">
      <c r="A330" t="s">
        <v>354</v>
      </c>
      <c r="B330" t="s">
        <v>529</v>
      </c>
      <c r="C330" t="s">
        <v>626</v>
      </c>
      <c r="D330">
        <v>54</v>
      </c>
      <c r="E330" t="s">
        <v>629</v>
      </c>
      <c r="F330">
        <v>628</v>
      </c>
      <c r="G330" s="4">
        <v>2299</v>
      </c>
      <c r="H330" s="4">
        <v>1443772</v>
      </c>
      <c r="I330" t="s">
        <v>635</v>
      </c>
      <c r="J330" t="s">
        <v>668</v>
      </c>
      <c r="K330" t="s">
        <v>651</v>
      </c>
      <c r="L330" t="s">
        <v>680</v>
      </c>
      <c r="M330" t="s">
        <v>684</v>
      </c>
      <c r="N330" t="s">
        <v>688</v>
      </c>
      <c r="O330" t="s">
        <v>693</v>
      </c>
      <c r="P330" s="4">
        <v>1443772</v>
      </c>
      <c r="Q330">
        <v>0</v>
      </c>
      <c r="R330" s="7">
        <v>1.92</v>
      </c>
      <c r="S330" s="8">
        <f>Table1[[#This Row],[Discount_%]]/100</f>
        <v>1.9199999999999998E-2</v>
      </c>
      <c r="T330" s="6" t="s">
        <v>868</v>
      </c>
      <c r="U330" t="s">
        <v>986</v>
      </c>
      <c r="V330">
        <v>2024</v>
      </c>
      <c r="W330" t="s">
        <v>994</v>
      </c>
      <c r="X330" t="s">
        <v>999</v>
      </c>
      <c r="Y330" t="s">
        <v>1000</v>
      </c>
      <c r="Z330">
        <v>1</v>
      </c>
      <c r="AA330">
        <v>10</v>
      </c>
      <c r="AB330" s="4">
        <f>Table1[[#This Row],[Total_Price]]*(1-Table1[[#This Row],[Discount 2]])</f>
        <v>1416051.5776</v>
      </c>
      <c r="AC330" s="4" t="str" cm="1">
        <f t="array" ref="AC330">_xlfn.IFS(Table1[[#This Row],[Revenue]]&gt;=30000000,"High Value",Table1[[#This Row],[Revenue]]&gt;=10000000,"Moderate Value",TRUE,"Low Value")</f>
        <v>Low Value</v>
      </c>
      <c r="AD330" t="str">
        <f>IF(Table1[[#This Row],[Discount 2]]&gt;=5%, "YES", "NO")</f>
        <v>NO</v>
      </c>
      <c r="AE330" t="str" cm="1">
        <f t="array" ref="AE330">_xlfn.IFS(Table1[[#This Row],[Revenue]]&gt;=30000000,"High Spender",Table1[[#This Row],[Revenue]]&gt;=10000000,"Moderate Spender",TRUE,"Low Spender")</f>
        <v>Low Spender</v>
      </c>
      <c r="AF330" s="4" t="str" cm="1">
        <f t="array" ref="AF330">_xlfn.IFS(Table1[[#This Row],[Land_Size_SQM]]&gt;=730,"LARGE",Table1[[#This Row],[Land_Size_SQM]]&gt;=465,"MEDIUM",TRUE,"SMALL")</f>
        <v>MEDIUM</v>
      </c>
    </row>
    <row r="331" spans="1:32" x14ac:dyDescent="0.3">
      <c r="A331" t="s">
        <v>355</v>
      </c>
      <c r="B331" t="s">
        <v>609</v>
      </c>
      <c r="C331" t="s">
        <v>626</v>
      </c>
      <c r="D331">
        <v>36</v>
      </c>
      <c r="E331" t="s">
        <v>630</v>
      </c>
      <c r="F331">
        <v>380</v>
      </c>
      <c r="G331" s="4">
        <v>12470</v>
      </c>
      <c r="H331" s="4">
        <v>4738600</v>
      </c>
      <c r="I331" t="s">
        <v>633</v>
      </c>
      <c r="J331" t="s">
        <v>668</v>
      </c>
      <c r="K331" t="s">
        <v>678</v>
      </c>
      <c r="L331" t="s">
        <v>682</v>
      </c>
      <c r="M331" t="s">
        <v>684</v>
      </c>
      <c r="N331" t="s">
        <v>689</v>
      </c>
      <c r="O331" t="s">
        <v>693</v>
      </c>
      <c r="P331" s="4">
        <v>4738600</v>
      </c>
      <c r="Q331">
        <v>0</v>
      </c>
      <c r="R331" s="7">
        <v>0.54</v>
      </c>
      <c r="S331" s="8">
        <f>Table1[[#This Row],[Discount_%]]/100</f>
        <v>5.4000000000000003E-3</v>
      </c>
      <c r="T331" s="6" t="s">
        <v>802</v>
      </c>
      <c r="U331" t="s">
        <v>991</v>
      </c>
      <c r="V331">
        <v>2024</v>
      </c>
      <c r="W331" t="s">
        <v>993</v>
      </c>
      <c r="X331" t="s">
        <v>997</v>
      </c>
      <c r="Y331" t="s">
        <v>1000</v>
      </c>
      <c r="Z331">
        <v>5</v>
      </c>
      <c r="AA331">
        <v>12</v>
      </c>
      <c r="AB331" s="4">
        <f>Table1[[#This Row],[Total_Price]]*(1-Table1[[#This Row],[Discount 2]])</f>
        <v>4713011.5600000005</v>
      </c>
      <c r="AC331" s="4" t="str" cm="1">
        <f t="array" ref="AC331">_xlfn.IFS(Table1[[#This Row],[Revenue]]&gt;=30000000,"High Value",Table1[[#This Row],[Revenue]]&gt;=10000000,"Moderate Value",TRUE,"Low Value")</f>
        <v>Low Value</v>
      </c>
      <c r="AD331" t="str">
        <f>IF(Table1[[#This Row],[Discount 2]]&gt;=5%, "YES", "NO")</f>
        <v>NO</v>
      </c>
      <c r="AE331" t="str" cm="1">
        <f t="array" ref="AE331">_xlfn.IFS(Table1[[#This Row],[Revenue]]&gt;=30000000,"High Spender",Table1[[#This Row],[Revenue]]&gt;=10000000,"Moderate Spender",TRUE,"Low Spender")</f>
        <v>Low Spender</v>
      </c>
      <c r="AF331" s="4" t="str" cm="1">
        <f t="array" ref="AF331">_xlfn.IFS(Table1[[#This Row],[Land_Size_SQM]]&gt;=730,"LARGE",Table1[[#This Row],[Land_Size_SQM]]&gt;=465,"MEDIUM",TRUE,"SMALL")</f>
        <v>SMALL</v>
      </c>
    </row>
    <row r="332" spans="1:32" x14ac:dyDescent="0.3">
      <c r="A332" t="s">
        <v>356</v>
      </c>
      <c r="B332" t="s">
        <v>573</v>
      </c>
      <c r="C332" t="s">
        <v>626</v>
      </c>
      <c r="D332">
        <v>46</v>
      </c>
      <c r="E332" t="s">
        <v>628</v>
      </c>
      <c r="F332">
        <v>727</v>
      </c>
      <c r="G332" s="4">
        <v>9606</v>
      </c>
      <c r="H332" s="4">
        <v>6983562</v>
      </c>
      <c r="I332" t="s">
        <v>649</v>
      </c>
      <c r="J332" t="s">
        <v>669</v>
      </c>
      <c r="K332" t="s">
        <v>678</v>
      </c>
      <c r="L332" t="s">
        <v>682</v>
      </c>
      <c r="M332" t="s">
        <v>687</v>
      </c>
      <c r="N332" t="s">
        <v>688</v>
      </c>
      <c r="O332" t="s">
        <v>693</v>
      </c>
      <c r="P332" s="4">
        <v>6983562</v>
      </c>
      <c r="Q332">
        <v>0</v>
      </c>
      <c r="R332" s="7">
        <v>8.9499999999999993</v>
      </c>
      <c r="S332" s="8">
        <f>Table1[[#This Row],[Discount_%]]/100</f>
        <v>8.9499999999999996E-2</v>
      </c>
      <c r="T332" s="6" t="s">
        <v>750</v>
      </c>
      <c r="U332" t="s">
        <v>989</v>
      </c>
      <c r="V332">
        <v>2024</v>
      </c>
      <c r="W332" t="s">
        <v>993</v>
      </c>
      <c r="X332" t="s">
        <v>998</v>
      </c>
      <c r="Y332" t="s">
        <v>1000</v>
      </c>
      <c r="Z332">
        <v>1</v>
      </c>
      <c r="AA332">
        <v>16</v>
      </c>
      <c r="AB332" s="4">
        <f>Table1[[#This Row],[Total_Price]]*(1-Table1[[#This Row],[Discount 2]])</f>
        <v>6358533.2009999994</v>
      </c>
      <c r="AC332" s="4" t="str" cm="1">
        <f t="array" ref="AC332">_xlfn.IFS(Table1[[#This Row],[Revenue]]&gt;=30000000,"High Value",Table1[[#This Row],[Revenue]]&gt;=10000000,"Moderate Value",TRUE,"Low Value")</f>
        <v>Low Value</v>
      </c>
      <c r="AD332" t="str">
        <f>IF(Table1[[#This Row],[Discount 2]]&gt;=5%, "YES", "NO")</f>
        <v>YES</v>
      </c>
      <c r="AE332" t="str" cm="1">
        <f t="array" ref="AE332">_xlfn.IFS(Table1[[#This Row],[Revenue]]&gt;=30000000,"High Spender",Table1[[#This Row],[Revenue]]&gt;=10000000,"Moderate Spender",TRUE,"Low Spender")</f>
        <v>Low Spender</v>
      </c>
      <c r="AF332" s="4" t="str" cm="1">
        <f t="array" ref="AF332">_xlfn.IFS(Table1[[#This Row],[Land_Size_SQM]]&gt;=730,"LARGE",Table1[[#This Row],[Land_Size_SQM]]&gt;=465,"MEDIUM",TRUE,"SMALL")</f>
        <v>MEDIUM</v>
      </c>
    </row>
    <row r="333" spans="1:32" x14ac:dyDescent="0.3">
      <c r="A333" t="s">
        <v>357</v>
      </c>
      <c r="B333" t="s">
        <v>576</v>
      </c>
      <c r="C333" t="s">
        <v>627</v>
      </c>
      <c r="D333">
        <v>33</v>
      </c>
      <c r="E333" t="s">
        <v>629</v>
      </c>
      <c r="F333">
        <v>584</v>
      </c>
      <c r="G333" s="4">
        <v>16461</v>
      </c>
      <c r="H333" s="4">
        <v>9613224</v>
      </c>
      <c r="I333" t="s">
        <v>633</v>
      </c>
      <c r="J333" t="s">
        <v>668</v>
      </c>
      <c r="K333" t="s">
        <v>679</v>
      </c>
      <c r="L333" t="s">
        <v>681</v>
      </c>
      <c r="M333" t="s">
        <v>683</v>
      </c>
      <c r="N333" t="s">
        <v>691</v>
      </c>
      <c r="O333" t="s">
        <v>693</v>
      </c>
      <c r="P333" s="4">
        <v>9613224</v>
      </c>
      <c r="Q333">
        <v>0</v>
      </c>
      <c r="R333" s="7">
        <v>4.71</v>
      </c>
      <c r="S333" s="8">
        <f>Table1[[#This Row],[Discount_%]]/100</f>
        <v>4.7100000000000003E-2</v>
      </c>
      <c r="T333" s="6" t="s">
        <v>931</v>
      </c>
      <c r="U333" t="s">
        <v>986</v>
      </c>
      <c r="V333">
        <v>2024</v>
      </c>
      <c r="W333" t="s">
        <v>994</v>
      </c>
      <c r="X333" t="s">
        <v>999</v>
      </c>
      <c r="Y333" t="s">
        <v>1002</v>
      </c>
      <c r="Z333">
        <v>2</v>
      </c>
      <c r="AA333">
        <v>41</v>
      </c>
      <c r="AB333" s="4">
        <f>Table1[[#This Row],[Total_Price]]*(1-Table1[[#This Row],[Discount 2]])</f>
        <v>9160441.1495999992</v>
      </c>
      <c r="AC333" s="4" t="str" cm="1">
        <f t="array" ref="AC333">_xlfn.IFS(Table1[[#This Row],[Revenue]]&gt;=30000000,"High Value",Table1[[#This Row],[Revenue]]&gt;=10000000,"Moderate Value",TRUE,"Low Value")</f>
        <v>Low Value</v>
      </c>
      <c r="AD333" t="str">
        <f>IF(Table1[[#This Row],[Discount 2]]&gt;=5%, "YES", "NO")</f>
        <v>NO</v>
      </c>
      <c r="AE333" t="str" cm="1">
        <f t="array" ref="AE333">_xlfn.IFS(Table1[[#This Row],[Revenue]]&gt;=30000000,"High Spender",Table1[[#This Row],[Revenue]]&gt;=10000000,"Moderate Spender",TRUE,"Low Spender")</f>
        <v>Low Spender</v>
      </c>
      <c r="AF333" s="4" t="str" cm="1">
        <f t="array" ref="AF333">_xlfn.IFS(Table1[[#This Row],[Land_Size_SQM]]&gt;=730,"LARGE",Table1[[#This Row],[Land_Size_SQM]]&gt;=465,"MEDIUM",TRUE,"SMALL")</f>
        <v>MEDIUM</v>
      </c>
    </row>
    <row r="334" spans="1:32" x14ac:dyDescent="0.3">
      <c r="A334" t="s">
        <v>358</v>
      </c>
      <c r="B334" t="s">
        <v>527</v>
      </c>
      <c r="C334" t="s">
        <v>627</v>
      </c>
      <c r="D334">
        <v>49</v>
      </c>
      <c r="E334" t="s">
        <v>630</v>
      </c>
      <c r="F334">
        <v>543</v>
      </c>
      <c r="G334" s="4">
        <v>10336</v>
      </c>
      <c r="H334" s="4">
        <v>5612448</v>
      </c>
      <c r="I334" t="s">
        <v>657</v>
      </c>
      <c r="J334" t="s">
        <v>671</v>
      </c>
      <c r="K334" t="s">
        <v>679</v>
      </c>
      <c r="L334" t="s">
        <v>681</v>
      </c>
      <c r="M334" t="s">
        <v>683</v>
      </c>
      <c r="N334" t="s">
        <v>690</v>
      </c>
      <c r="O334" t="s">
        <v>693</v>
      </c>
      <c r="P334" s="4">
        <v>5612448</v>
      </c>
      <c r="Q334">
        <v>0</v>
      </c>
      <c r="R334" s="7">
        <v>6.92</v>
      </c>
      <c r="S334" s="8">
        <f>Table1[[#This Row],[Discount_%]]/100</f>
        <v>6.9199999999999998E-2</v>
      </c>
      <c r="T334" s="6" t="s">
        <v>789</v>
      </c>
      <c r="U334" t="s">
        <v>988</v>
      </c>
      <c r="V334">
        <v>2024</v>
      </c>
      <c r="W334" t="s">
        <v>996</v>
      </c>
      <c r="X334" t="s">
        <v>998</v>
      </c>
      <c r="Y334" t="s">
        <v>1001</v>
      </c>
      <c r="Z334">
        <v>2</v>
      </c>
      <c r="AA334">
        <v>41</v>
      </c>
      <c r="AB334" s="4">
        <f>Table1[[#This Row],[Total_Price]]*(1-Table1[[#This Row],[Discount 2]])</f>
        <v>5224066.5983999996</v>
      </c>
      <c r="AC334" s="4" t="str" cm="1">
        <f t="array" ref="AC334">_xlfn.IFS(Table1[[#This Row],[Revenue]]&gt;=30000000,"High Value",Table1[[#This Row],[Revenue]]&gt;=10000000,"Moderate Value",TRUE,"Low Value")</f>
        <v>Low Value</v>
      </c>
      <c r="AD334" t="str">
        <f>IF(Table1[[#This Row],[Discount 2]]&gt;=5%, "YES", "NO")</f>
        <v>YES</v>
      </c>
      <c r="AE334" t="str" cm="1">
        <f t="array" ref="AE334">_xlfn.IFS(Table1[[#This Row],[Revenue]]&gt;=30000000,"High Spender",Table1[[#This Row],[Revenue]]&gt;=10000000,"Moderate Spender",TRUE,"Low Spender")</f>
        <v>Low Spender</v>
      </c>
      <c r="AF334" s="4" t="str" cm="1">
        <f t="array" ref="AF334">_xlfn.IFS(Table1[[#This Row],[Land_Size_SQM]]&gt;=730,"LARGE",Table1[[#This Row],[Land_Size_SQM]]&gt;=465,"MEDIUM",TRUE,"SMALL")</f>
        <v>MEDIUM</v>
      </c>
    </row>
    <row r="335" spans="1:32" x14ac:dyDescent="0.3">
      <c r="A335" t="s">
        <v>359</v>
      </c>
      <c r="B335" t="s">
        <v>572</v>
      </c>
      <c r="C335" t="s">
        <v>626</v>
      </c>
      <c r="D335">
        <v>49</v>
      </c>
      <c r="E335" t="s">
        <v>630</v>
      </c>
      <c r="F335">
        <v>766</v>
      </c>
      <c r="G335" s="4">
        <v>17053</v>
      </c>
      <c r="H335" s="4">
        <v>13062598</v>
      </c>
      <c r="I335" t="s">
        <v>640</v>
      </c>
      <c r="J335" t="s">
        <v>672</v>
      </c>
      <c r="K335" t="s">
        <v>674</v>
      </c>
      <c r="L335" t="s">
        <v>680</v>
      </c>
      <c r="M335" t="s">
        <v>684</v>
      </c>
      <c r="N335" t="s">
        <v>688</v>
      </c>
      <c r="O335" t="s">
        <v>693</v>
      </c>
      <c r="P335" s="4">
        <v>13062598</v>
      </c>
      <c r="Q335">
        <v>0</v>
      </c>
      <c r="R335" s="7">
        <v>4.12</v>
      </c>
      <c r="S335" s="8">
        <f>Table1[[#This Row],[Discount_%]]/100</f>
        <v>4.1200000000000001E-2</v>
      </c>
      <c r="T335" s="6" t="s">
        <v>932</v>
      </c>
      <c r="U335" t="s">
        <v>986</v>
      </c>
      <c r="V335">
        <v>2024</v>
      </c>
      <c r="W335" t="s">
        <v>996</v>
      </c>
      <c r="X335" t="s">
        <v>998</v>
      </c>
      <c r="Y335" t="s">
        <v>1002</v>
      </c>
      <c r="Z335">
        <v>5</v>
      </c>
      <c r="AA335">
        <v>15</v>
      </c>
      <c r="AB335" s="4">
        <f>Table1[[#This Row],[Total_Price]]*(1-Table1[[#This Row],[Discount 2]])</f>
        <v>12524418.962400001</v>
      </c>
      <c r="AC335" s="4" t="str" cm="1">
        <f t="array" ref="AC335">_xlfn.IFS(Table1[[#This Row],[Revenue]]&gt;=30000000,"High Value",Table1[[#This Row],[Revenue]]&gt;=10000000,"Moderate Value",TRUE,"Low Value")</f>
        <v>Moderate Value</v>
      </c>
      <c r="AD335" t="str">
        <f>IF(Table1[[#This Row],[Discount 2]]&gt;=5%, "YES", "NO")</f>
        <v>NO</v>
      </c>
      <c r="AE335" t="str" cm="1">
        <f t="array" ref="AE335">_xlfn.IFS(Table1[[#This Row],[Revenue]]&gt;=30000000,"High Spender",Table1[[#This Row],[Revenue]]&gt;=10000000,"Moderate Spender",TRUE,"Low Spender")</f>
        <v>Moderate Spender</v>
      </c>
      <c r="AF335" s="4" t="str" cm="1">
        <f t="array" ref="AF335">_xlfn.IFS(Table1[[#This Row],[Land_Size_SQM]]&gt;=730,"LARGE",Table1[[#This Row],[Land_Size_SQM]]&gt;=465,"MEDIUM",TRUE,"SMALL")</f>
        <v>LARGE</v>
      </c>
    </row>
    <row r="336" spans="1:32" x14ac:dyDescent="0.3">
      <c r="A336" t="s">
        <v>360</v>
      </c>
      <c r="B336" t="s">
        <v>563</v>
      </c>
      <c r="C336" t="s">
        <v>626</v>
      </c>
      <c r="D336">
        <v>53</v>
      </c>
      <c r="E336" t="s">
        <v>630</v>
      </c>
      <c r="F336">
        <v>205</v>
      </c>
      <c r="G336" s="4">
        <v>29379</v>
      </c>
      <c r="H336" s="4">
        <v>6022695</v>
      </c>
      <c r="I336" t="s">
        <v>640</v>
      </c>
      <c r="J336" t="s">
        <v>672</v>
      </c>
      <c r="K336" t="s">
        <v>674</v>
      </c>
      <c r="L336" t="s">
        <v>681</v>
      </c>
      <c r="M336" t="s">
        <v>685</v>
      </c>
      <c r="N336" t="s">
        <v>691</v>
      </c>
      <c r="O336" t="s">
        <v>693</v>
      </c>
      <c r="P336" s="4">
        <v>6022695</v>
      </c>
      <c r="Q336">
        <v>0</v>
      </c>
      <c r="R336" s="7">
        <v>0.4</v>
      </c>
      <c r="S336" s="8">
        <f>Table1[[#This Row],[Discount_%]]/100</f>
        <v>4.0000000000000001E-3</v>
      </c>
      <c r="T336" s="6" t="s">
        <v>795</v>
      </c>
      <c r="U336" t="s">
        <v>989</v>
      </c>
      <c r="V336">
        <v>2024</v>
      </c>
      <c r="W336" t="s">
        <v>995</v>
      </c>
      <c r="X336" t="s">
        <v>999</v>
      </c>
      <c r="Y336" t="s">
        <v>1000</v>
      </c>
      <c r="Z336">
        <v>5</v>
      </c>
      <c r="AA336">
        <v>49</v>
      </c>
      <c r="AB336" s="4">
        <f>Table1[[#This Row],[Total_Price]]*(1-Table1[[#This Row],[Discount 2]])</f>
        <v>5998604.2199999997</v>
      </c>
      <c r="AC336" s="4" t="str" cm="1">
        <f t="array" ref="AC336">_xlfn.IFS(Table1[[#This Row],[Revenue]]&gt;=30000000,"High Value",Table1[[#This Row],[Revenue]]&gt;=10000000,"Moderate Value",TRUE,"Low Value")</f>
        <v>Low Value</v>
      </c>
      <c r="AD336" t="str">
        <f>IF(Table1[[#This Row],[Discount 2]]&gt;=5%, "YES", "NO")</f>
        <v>NO</v>
      </c>
      <c r="AE336" t="str" cm="1">
        <f t="array" ref="AE336">_xlfn.IFS(Table1[[#This Row],[Revenue]]&gt;=30000000,"High Spender",Table1[[#This Row],[Revenue]]&gt;=10000000,"Moderate Spender",TRUE,"Low Spender")</f>
        <v>Low Spender</v>
      </c>
      <c r="AF336" s="4" t="str" cm="1">
        <f t="array" ref="AF336">_xlfn.IFS(Table1[[#This Row],[Land_Size_SQM]]&gt;=730,"LARGE",Table1[[#This Row],[Land_Size_SQM]]&gt;=465,"MEDIUM",TRUE,"SMALL")</f>
        <v>SMALL</v>
      </c>
    </row>
    <row r="337" spans="1:32" x14ac:dyDescent="0.3">
      <c r="A337" t="s">
        <v>361</v>
      </c>
      <c r="B337" t="s">
        <v>558</v>
      </c>
      <c r="C337" t="s">
        <v>627</v>
      </c>
      <c r="D337">
        <v>65</v>
      </c>
      <c r="E337" t="s">
        <v>630</v>
      </c>
      <c r="F337">
        <v>423</v>
      </c>
      <c r="G337" s="4">
        <v>10697</v>
      </c>
      <c r="H337" s="4">
        <v>4524831</v>
      </c>
      <c r="I337" t="s">
        <v>662</v>
      </c>
      <c r="J337" t="s">
        <v>673</v>
      </c>
      <c r="K337" t="s">
        <v>640</v>
      </c>
      <c r="L337" t="s">
        <v>682</v>
      </c>
      <c r="M337" t="s">
        <v>686</v>
      </c>
      <c r="N337" t="s">
        <v>689</v>
      </c>
      <c r="O337" t="s">
        <v>694</v>
      </c>
      <c r="P337" s="4">
        <v>1229481</v>
      </c>
      <c r="Q337">
        <v>12</v>
      </c>
      <c r="R337" s="7">
        <v>9.99</v>
      </c>
      <c r="S337" s="8">
        <f>Table1[[#This Row],[Discount_%]]/100</f>
        <v>9.9900000000000003E-2</v>
      </c>
      <c r="T337" s="6" t="s">
        <v>933</v>
      </c>
      <c r="U337" t="s">
        <v>988</v>
      </c>
      <c r="V337">
        <v>2024</v>
      </c>
      <c r="W337" t="s">
        <v>995</v>
      </c>
      <c r="X337" t="s">
        <v>998</v>
      </c>
      <c r="Y337" t="s">
        <v>1000</v>
      </c>
      <c r="Z337">
        <v>4</v>
      </c>
      <c r="AA337">
        <v>12</v>
      </c>
      <c r="AB337" s="4">
        <f>Table1[[#This Row],[Total_Price]]*(1-Table1[[#This Row],[Discount 2]])</f>
        <v>4072800.3831000002</v>
      </c>
      <c r="AC337" s="4" t="str" cm="1">
        <f t="array" ref="AC337">_xlfn.IFS(Table1[[#This Row],[Revenue]]&gt;=30000000,"High Value",Table1[[#This Row],[Revenue]]&gt;=10000000,"Moderate Value",TRUE,"Low Value")</f>
        <v>Low Value</v>
      </c>
      <c r="AD337" t="str">
        <f>IF(Table1[[#This Row],[Discount 2]]&gt;=5%, "YES", "NO")</f>
        <v>YES</v>
      </c>
      <c r="AE337" t="str" cm="1">
        <f t="array" ref="AE337">_xlfn.IFS(Table1[[#This Row],[Revenue]]&gt;=30000000,"High Spender",Table1[[#This Row],[Revenue]]&gt;=10000000,"Moderate Spender",TRUE,"Low Spender")</f>
        <v>Low Spender</v>
      </c>
      <c r="AF337" s="4" t="str" cm="1">
        <f t="array" ref="AF337">_xlfn.IFS(Table1[[#This Row],[Land_Size_SQM]]&gt;=730,"LARGE",Table1[[#This Row],[Land_Size_SQM]]&gt;=465,"MEDIUM",TRUE,"SMALL")</f>
        <v>SMALL</v>
      </c>
    </row>
    <row r="338" spans="1:32" x14ac:dyDescent="0.3">
      <c r="A338" t="s">
        <v>362</v>
      </c>
      <c r="B338" t="s">
        <v>600</v>
      </c>
      <c r="C338" t="s">
        <v>627</v>
      </c>
      <c r="D338">
        <v>38</v>
      </c>
      <c r="E338" t="s">
        <v>630</v>
      </c>
      <c r="F338">
        <v>920</v>
      </c>
      <c r="G338" s="4">
        <v>43510</v>
      </c>
      <c r="H338" s="4">
        <v>40029200</v>
      </c>
      <c r="I338" t="s">
        <v>636</v>
      </c>
      <c r="J338" t="s">
        <v>671</v>
      </c>
      <c r="K338" t="s">
        <v>678</v>
      </c>
      <c r="L338" t="s">
        <v>681</v>
      </c>
      <c r="M338" t="s">
        <v>686</v>
      </c>
      <c r="N338" t="s">
        <v>692</v>
      </c>
      <c r="O338" t="s">
        <v>693</v>
      </c>
      <c r="P338" s="4">
        <v>40029200</v>
      </c>
      <c r="Q338">
        <v>0</v>
      </c>
      <c r="R338" s="7">
        <v>8.6</v>
      </c>
      <c r="S338" s="8">
        <f>Table1[[#This Row],[Discount_%]]/100</f>
        <v>8.5999999999999993E-2</v>
      </c>
      <c r="T338" s="6" t="s">
        <v>877</v>
      </c>
      <c r="U338" t="s">
        <v>981</v>
      </c>
      <c r="V338">
        <v>2024</v>
      </c>
      <c r="W338" t="s">
        <v>996</v>
      </c>
      <c r="X338" t="s">
        <v>997</v>
      </c>
      <c r="Y338" t="s">
        <v>1000</v>
      </c>
      <c r="Z338">
        <v>5</v>
      </c>
      <c r="AA338">
        <v>22</v>
      </c>
      <c r="AB338" s="4">
        <f>Table1[[#This Row],[Total_Price]]*(1-Table1[[#This Row],[Discount 2]])</f>
        <v>36586688.800000004</v>
      </c>
      <c r="AC338" s="4" t="str" cm="1">
        <f t="array" ref="AC338">_xlfn.IFS(Table1[[#This Row],[Revenue]]&gt;=30000000,"High Value",Table1[[#This Row],[Revenue]]&gt;=10000000,"Moderate Value",TRUE,"Low Value")</f>
        <v>High Value</v>
      </c>
      <c r="AD338" t="str">
        <f>IF(Table1[[#This Row],[Discount 2]]&gt;=5%, "YES", "NO")</f>
        <v>YES</v>
      </c>
      <c r="AE338" t="str" cm="1">
        <f t="array" ref="AE338">_xlfn.IFS(Table1[[#This Row],[Revenue]]&gt;=30000000,"High Spender",Table1[[#This Row],[Revenue]]&gt;=10000000,"Moderate Spender",TRUE,"Low Spender")</f>
        <v>High Spender</v>
      </c>
      <c r="AF338" s="4" t="str" cm="1">
        <f t="array" ref="AF338">_xlfn.IFS(Table1[[#This Row],[Land_Size_SQM]]&gt;=730,"LARGE",Table1[[#This Row],[Land_Size_SQM]]&gt;=465,"MEDIUM",TRUE,"SMALL")</f>
        <v>LARGE</v>
      </c>
    </row>
    <row r="339" spans="1:32" x14ac:dyDescent="0.3">
      <c r="A339" t="s">
        <v>363</v>
      </c>
      <c r="B339" t="s">
        <v>596</v>
      </c>
      <c r="C339" t="s">
        <v>627</v>
      </c>
      <c r="D339">
        <v>43</v>
      </c>
      <c r="E339" t="s">
        <v>630</v>
      </c>
      <c r="F339">
        <v>890</v>
      </c>
      <c r="G339" s="4">
        <v>25854</v>
      </c>
      <c r="H339" s="4">
        <v>23010060</v>
      </c>
      <c r="I339" t="s">
        <v>631</v>
      </c>
      <c r="J339" t="s">
        <v>668</v>
      </c>
      <c r="K339" t="s">
        <v>675</v>
      </c>
      <c r="L339" t="s">
        <v>680</v>
      </c>
      <c r="M339" t="s">
        <v>686</v>
      </c>
      <c r="N339" t="s">
        <v>689</v>
      </c>
      <c r="O339" t="s">
        <v>693</v>
      </c>
      <c r="P339" s="4">
        <v>23010060</v>
      </c>
      <c r="Q339">
        <v>0</v>
      </c>
      <c r="R339" s="7">
        <v>1.1100000000000001</v>
      </c>
      <c r="S339" s="8">
        <f>Table1[[#This Row],[Discount_%]]/100</f>
        <v>1.11E-2</v>
      </c>
      <c r="T339" s="6" t="s">
        <v>934</v>
      </c>
      <c r="U339" t="s">
        <v>991</v>
      </c>
      <c r="V339">
        <v>2024</v>
      </c>
      <c r="W339" t="s">
        <v>996</v>
      </c>
      <c r="X339" t="s">
        <v>999</v>
      </c>
      <c r="Y339" t="s">
        <v>1002</v>
      </c>
      <c r="Z339">
        <v>2</v>
      </c>
      <c r="AA339">
        <v>35</v>
      </c>
      <c r="AB339" s="4">
        <f>Table1[[#This Row],[Total_Price]]*(1-Table1[[#This Row],[Discount 2]])</f>
        <v>22754648.333999999</v>
      </c>
      <c r="AC339" s="4" t="str" cm="1">
        <f t="array" ref="AC339">_xlfn.IFS(Table1[[#This Row],[Revenue]]&gt;=30000000,"High Value",Table1[[#This Row],[Revenue]]&gt;=10000000,"Moderate Value",TRUE,"Low Value")</f>
        <v>Moderate Value</v>
      </c>
      <c r="AD339" t="str">
        <f>IF(Table1[[#This Row],[Discount 2]]&gt;=5%, "YES", "NO")</f>
        <v>NO</v>
      </c>
      <c r="AE339" t="str" cm="1">
        <f t="array" ref="AE339">_xlfn.IFS(Table1[[#This Row],[Revenue]]&gt;=30000000,"High Spender",Table1[[#This Row],[Revenue]]&gt;=10000000,"Moderate Spender",TRUE,"Low Spender")</f>
        <v>Moderate Spender</v>
      </c>
      <c r="AF339" s="4" t="str" cm="1">
        <f t="array" ref="AF339">_xlfn.IFS(Table1[[#This Row],[Land_Size_SQM]]&gt;=730,"LARGE",Table1[[#This Row],[Land_Size_SQM]]&gt;=465,"MEDIUM",TRUE,"SMALL")</f>
        <v>LARGE</v>
      </c>
    </row>
    <row r="340" spans="1:32" x14ac:dyDescent="0.3">
      <c r="A340" t="s">
        <v>364</v>
      </c>
      <c r="B340" t="s">
        <v>553</v>
      </c>
      <c r="C340" t="s">
        <v>626</v>
      </c>
      <c r="D340">
        <v>52</v>
      </c>
      <c r="E340" t="s">
        <v>629</v>
      </c>
      <c r="F340">
        <v>955</v>
      </c>
      <c r="G340" s="4">
        <v>40018</v>
      </c>
      <c r="H340" s="4">
        <v>38217190</v>
      </c>
      <c r="I340" t="s">
        <v>662</v>
      </c>
      <c r="J340" t="s">
        <v>673</v>
      </c>
      <c r="K340" t="s">
        <v>678</v>
      </c>
      <c r="L340" t="s">
        <v>681</v>
      </c>
      <c r="M340" t="s">
        <v>687</v>
      </c>
      <c r="N340" t="s">
        <v>689</v>
      </c>
      <c r="O340" t="s">
        <v>693</v>
      </c>
      <c r="P340" s="4">
        <v>38217190</v>
      </c>
      <c r="Q340">
        <v>0</v>
      </c>
      <c r="R340" s="7">
        <v>7.53</v>
      </c>
      <c r="S340" s="8">
        <f>Table1[[#This Row],[Discount_%]]/100</f>
        <v>7.5300000000000006E-2</v>
      </c>
      <c r="T340" s="6" t="s">
        <v>935</v>
      </c>
      <c r="U340" t="s">
        <v>990</v>
      </c>
      <c r="V340">
        <v>2024</v>
      </c>
      <c r="W340" t="s">
        <v>993</v>
      </c>
      <c r="X340" t="s">
        <v>998</v>
      </c>
      <c r="Y340" t="s">
        <v>1002</v>
      </c>
      <c r="Z340">
        <v>4</v>
      </c>
      <c r="AA340">
        <v>32</v>
      </c>
      <c r="AB340" s="4">
        <f>Table1[[#This Row],[Total_Price]]*(1-Table1[[#This Row],[Discount 2]])</f>
        <v>35339435.593000002</v>
      </c>
      <c r="AC340" s="4" t="str" cm="1">
        <f t="array" ref="AC340">_xlfn.IFS(Table1[[#This Row],[Revenue]]&gt;=30000000,"High Value",Table1[[#This Row],[Revenue]]&gt;=10000000,"Moderate Value",TRUE,"Low Value")</f>
        <v>High Value</v>
      </c>
      <c r="AD340" t="str">
        <f>IF(Table1[[#This Row],[Discount 2]]&gt;=5%, "YES", "NO")</f>
        <v>YES</v>
      </c>
      <c r="AE340" t="str" cm="1">
        <f t="array" ref="AE340">_xlfn.IFS(Table1[[#This Row],[Revenue]]&gt;=30000000,"High Spender",Table1[[#This Row],[Revenue]]&gt;=10000000,"Moderate Spender",TRUE,"Low Spender")</f>
        <v>High Spender</v>
      </c>
      <c r="AF340" s="4" t="str" cm="1">
        <f t="array" ref="AF340">_xlfn.IFS(Table1[[#This Row],[Land_Size_SQM]]&gt;=730,"LARGE",Table1[[#This Row],[Land_Size_SQM]]&gt;=465,"MEDIUM",TRUE,"SMALL")</f>
        <v>LARGE</v>
      </c>
    </row>
    <row r="341" spans="1:32" x14ac:dyDescent="0.3">
      <c r="A341" t="s">
        <v>365</v>
      </c>
      <c r="B341" t="s">
        <v>565</v>
      </c>
      <c r="C341" t="s">
        <v>626</v>
      </c>
      <c r="D341">
        <v>25</v>
      </c>
      <c r="E341" t="s">
        <v>628</v>
      </c>
      <c r="F341">
        <v>681</v>
      </c>
      <c r="G341" s="4">
        <v>48519</v>
      </c>
      <c r="H341" s="4">
        <v>33041439</v>
      </c>
      <c r="I341" t="s">
        <v>665</v>
      </c>
      <c r="J341" t="s">
        <v>672</v>
      </c>
      <c r="K341" t="s">
        <v>676</v>
      </c>
      <c r="L341" t="s">
        <v>681</v>
      </c>
      <c r="M341" t="s">
        <v>683</v>
      </c>
      <c r="N341" t="s">
        <v>690</v>
      </c>
      <c r="O341" t="s">
        <v>694</v>
      </c>
      <c r="P341" s="4">
        <v>12763425</v>
      </c>
      <c r="Q341">
        <v>24</v>
      </c>
      <c r="R341" s="7">
        <v>8</v>
      </c>
      <c r="S341" s="8">
        <f>Table1[[#This Row],[Discount_%]]/100</f>
        <v>0.08</v>
      </c>
      <c r="T341" s="6" t="s">
        <v>936</v>
      </c>
      <c r="U341" t="s">
        <v>984</v>
      </c>
      <c r="V341">
        <v>2024</v>
      </c>
      <c r="W341" t="s">
        <v>993</v>
      </c>
      <c r="X341" t="s">
        <v>999</v>
      </c>
      <c r="Y341" t="s">
        <v>1000</v>
      </c>
      <c r="Z341">
        <v>3</v>
      </c>
      <c r="AA341">
        <v>8</v>
      </c>
      <c r="AB341" s="4">
        <f>Table1[[#This Row],[Total_Price]]*(1-Table1[[#This Row],[Discount 2]])</f>
        <v>30398123.880000003</v>
      </c>
      <c r="AC341" s="4" t="str" cm="1">
        <f t="array" ref="AC341">_xlfn.IFS(Table1[[#This Row],[Revenue]]&gt;=30000000,"High Value",Table1[[#This Row],[Revenue]]&gt;=10000000,"Moderate Value",TRUE,"Low Value")</f>
        <v>High Value</v>
      </c>
      <c r="AD341" t="str">
        <f>IF(Table1[[#This Row],[Discount 2]]&gt;=5%, "YES", "NO")</f>
        <v>YES</v>
      </c>
      <c r="AE341" t="str" cm="1">
        <f t="array" ref="AE341">_xlfn.IFS(Table1[[#This Row],[Revenue]]&gt;=30000000,"High Spender",Table1[[#This Row],[Revenue]]&gt;=10000000,"Moderate Spender",TRUE,"Low Spender")</f>
        <v>High Spender</v>
      </c>
      <c r="AF341" s="4" t="str" cm="1">
        <f t="array" ref="AF341">_xlfn.IFS(Table1[[#This Row],[Land_Size_SQM]]&gt;=730,"LARGE",Table1[[#This Row],[Land_Size_SQM]]&gt;=465,"MEDIUM",TRUE,"SMALL")</f>
        <v>MEDIUM</v>
      </c>
    </row>
    <row r="342" spans="1:32" x14ac:dyDescent="0.3">
      <c r="A342" t="s">
        <v>366</v>
      </c>
      <c r="B342" t="s">
        <v>619</v>
      </c>
      <c r="C342" t="s">
        <v>626</v>
      </c>
      <c r="D342">
        <v>42</v>
      </c>
      <c r="E342" t="s">
        <v>630</v>
      </c>
      <c r="F342">
        <v>354</v>
      </c>
      <c r="G342" s="4">
        <v>15386</v>
      </c>
      <c r="H342" s="4">
        <v>5446644</v>
      </c>
      <c r="I342" t="s">
        <v>653</v>
      </c>
      <c r="J342" t="s">
        <v>668</v>
      </c>
      <c r="K342" t="s">
        <v>678</v>
      </c>
      <c r="L342" t="s">
        <v>681</v>
      </c>
      <c r="M342" t="s">
        <v>685</v>
      </c>
      <c r="N342" t="s">
        <v>690</v>
      </c>
      <c r="O342" t="s">
        <v>693</v>
      </c>
      <c r="P342" s="4">
        <v>5446644</v>
      </c>
      <c r="Q342">
        <v>0</v>
      </c>
      <c r="R342" s="7">
        <v>2.93</v>
      </c>
      <c r="S342" s="8">
        <f>Table1[[#This Row],[Discount_%]]/100</f>
        <v>2.9300000000000003E-2</v>
      </c>
      <c r="T342" s="6" t="s">
        <v>698</v>
      </c>
      <c r="U342" t="s">
        <v>984</v>
      </c>
      <c r="V342">
        <v>2024</v>
      </c>
      <c r="W342" t="s">
        <v>996</v>
      </c>
      <c r="X342" t="s">
        <v>999</v>
      </c>
      <c r="Y342" t="s">
        <v>1000</v>
      </c>
      <c r="Z342">
        <v>2</v>
      </c>
      <c r="AA342">
        <v>34</v>
      </c>
      <c r="AB342" s="4">
        <f>Table1[[#This Row],[Total_Price]]*(1-Table1[[#This Row],[Discount 2]])</f>
        <v>5287057.3307999996</v>
      </c>
      <c r="AC342" s="4" t="str" cm="1">
        <f t="array" ref="AC342">_xlfn.IFS(Table1[[#This Row],[Revenue]]&gt;=30000000,"High Value",Table1[[#This Row],[Revenue]]&gt;=10000000,"Moderate Value",TRUE,"Low Value")</f>
        <v>Low Value</v>
      </c>
      <c r="AD342" t="str">
        <f>IF(Table1[[#This Row],[Discount 2]]&gt;=5%, "YES", "NO")</f>
        <v>NO</v>
      </c>
      <c r="AE342" t="str" cm="1">
        <f t="array" ref="AE342">_xlfn.IFS(Table1[[#This Row],[Revenue]]&gt;=30000000,"High Spender",Table1[[#This Row],[Revenue]]&gt;=10000000,"Moderate Spender",TRUE,"Low Spender")</f>
        <v>Low Spender</v>
      </c>
      <c r="AF342" s="4" t="str" cm="1">
        <f t="array" ref="AF342">_xlfn.IFS(Table1[[#This Row],[Land_Size_SQM]]&gt;=730,"LARGE",Table1[[#This Row],[Land_Size_SQM]]&gt;=465,"MEDIUM",TRUE,"SMALL")</f>
        <v>SMALL</v>
      </c>
    </row>
    <row r="343" spans="1:32" x14ac:dyDescent="0.3">
      <c r="A343" t="s">
        <v>367</v>
      </c>
      <c r="B343" t="s">
        <v>555</v>
      </c>
      <c r="C343" t="s">
        <v>626</v>
      </c>
      <c r="D343">
        <v>56</v>
      </c>
      <c r="E343" t="s">
        <v>628</v>
      </c>
      <c r="F343">
        <v>792</v>
      </c>
      <c r="G343" s="4">
        <v>24465</v>
      </c>
      <c r="H343" s="4">
        <v>19376280</v>
      </c>
      <c r="I343" t="s">
        <v>635</v>
      </c>
      <c r="J343" t="s">
        <v>668</v>
      </c>
      <c r="K343" t="s">
        <v>640</v>
      </c>
      <c r="L343" t="s">
        <v>681</v>
      </c>
      <c r="M343" t="s">
        <v>683</v>
      </c>
      <c r="N343" t="s">
        <v>690</v>
      </c>
      <c r="O343" t="s">
        <v>694</v>
      </c>
      <c r="P343" s="4">
        <v>7324373</v>
      </c>
      <c r="Q343">
        <v>24</v>
      </c>
      <c r="R343" s="7">
        <v>6.97</v>
      </c>
      <c r="S343" s="8">
        <f>Table1[[#This Row],[Discount_%]]/100</f>
        <v>6.9699999999999998E-2</v>
      </c>
      <c r="T343" s="6" t="s">
        <v>937</v>
      </c>
      <c r="U343" t="s">
        <v>985</v>
      </c>
      <c r="V343">
        <v>2024</v>
      </c>
      <c r="W343" t="s">
        <v>996</v>
      </c>
      <c r="X343" t="s">
        <v>998</v>
      </c>
      <c r="Y343" t="s">
        <v>1002</v>
      </c>
      <c r="Z343">
        <v>3</v>
      </c>
      <c r="AA343">
        <v>50</v>
      </c>
      <c r="AB343" s="4">
        <f>Table1[[#This Row],[Total_Price]]*(1-Table1[[#This Row],[Discount 2]])</f>
        <v>18025753.284000002</v>
      </c>
      <c r="AC343" s="4" t="str" cm="1">
        <f t="array" ref="AC343">_xlfn.IFS(Table1[[#This Row],[Revenue]]&gt;=30000000,"High Value",Table1[[#This Row],[Revenue]]&gt;=10000000,"Moderate Value",TRUE,"Low Value")</f>
        <v>Moderate Value</v>
      </c>
      <c r="AD343" t="str">
        <f>IF(Table1[[#This Row],[Discount 2]]&gt;=5%, "YES", "NO")</f>
        <v>YES</v>
      </c>
      <c r="AE343" t="str" cm="1">
        <f t="array" ref="AE343">_xlfn.IFS(Table1[[#This Row],[Revenue]]&gt;=30000000,"High Spender",Table1[[#This Row],[Revenue]]&gt;=10000000,"Moderate Spender",TRUE,"Low Spender")</f>
        <v>Moderate Spender</v>
      </c>
      <c r="AF343" s="4" t="str" cm="1">
        <f t="array" ref="AF343">_xlfn.IFS(Table1[[#This Row],[Land_Size_SQM]]&gt;=730,"LARGE",Table1[[#This Row],[Land_Size_SQM]]&gt;=465,"MEDIUM",TRUE,"SMALL")</f>
        <v>LARGE</v>
      </c>
    </row>
    <row r="344" spans="1:32" x14ac:dyDescent="0.3">
      <c r="A344" t="s">
        <v>368</v>
      </c>
      <c r="B344" t="s">
        <v>539</v>
      </c>
      <c r="C344" t="s">
        <v>627</v>
      </c>
      <c r="D344">
        <v>31</v>
      </c>
      <c r="E344" t="s">
        <v>629</v>
      </c>
      <c r="F344">
        <v>491</v>
      </c>
      <c r="G344" s="4">
        <v>31879</v>
      </c>
      <c r="H344" s="4">
        <v>15652589</v>
      </c>
      <c r="I344" t="s">
        <v>641</v>
      </c>
      <c r="J344" t="s">
        <v>673</v>
      </c>
      <c r="K344" t="s">
        <v>651</v>
      </c>
      <c r="L344" t="s">
        <v>682</v>
      </c>
      <c r="M344" t="s">
        <v>683</v>
      </c>
      <c r="N344" t="s">
        <v>688</v>
      </c>
      <c r="O344" t="s">
        <v>693</v>
      </c>
      <c r="P344" s="4">
        <v>15652589</v>
      </c>
      <c r="Q344">
        <v>0</v>
      </c>
      <c r="R344" s="7">
        <v>6.19</v>
      </c>
      <c r="S344" s="8">
        <f>Table1[[#This Row],[Discount_%]]/100</f>
        <v>6.1900000000000004E-2</v>
      </c>
      <c r="T344" s="6" t="s">
        <v>702</v>
      </c>
      <c r="U344" t="s">
        <v>987</v>
      </c>
      <c r="V344">
        <v>2024</v>
      </c>
      <c r="W344" t="s">
        <v>996</v>
      </c>
      <c r="X344" t="s">
        <v>999</v>
      </c>
      <c r="Y344" t="s">
        <v>1000</v>
      </c>
      <c r="Z344">
        <v>3</v>
      </c>
      <c r="AA344">
        <v>37</v>
      </c>
      <c r="AB344" s="4">
        <f>Table1[[#This Row],[Total_Price]]*(1-Table1[[#This Row],[Discount 2]])</f>
        <v>14683693.740900001</v>
      </c>
      <c r="AC344" s="4" t="str" cm="1">
        <f t="array" ref="AC344">_xlfn.IFS(Table1[[#This Row],[Revenue]]&gt;=30000000,"High Value",Table1[[#This Row],[Revenue]]&gt;=10000000,"Moderate Value",TRUE,"Low Value")</f>
        <v>Moderate Value</v>
      </c>
      <c r="AD344" t="str">
        <f>IF(Table1[[#This Row],[Discount 2]]&gt;=5%, "YES", "NO")</f>
        <v>YES</v>
      </c>
      <c r="AE344" t="str" cm="1">
        <f t="array" ref="AE344">_xlfn.IFS(Table1[[#This Row],[Revenue]]&gt;=30000000,"High Spender",Table1[[#This Row],[Revenue]]&gt;=10000000,"Moderate Spender",TRUE,"Low Spender")</f>
        <v>Moderate Spender</v>
      </c>
      <c r="AF344" s="4" t="str" cm="1">
        <f t="array" ref="AF344">_xlfn.IFS(Table1[[#This Row],[Land_Size_SQM]]&gt;=730,"LARGE",Table1[[#This Row],[Land_Size_SQM]]&gt;=465,"MEDIUM",TRUE,"SMALL")</f>
        <v>MEDIUM</v>
      </c>
    </row>
    <row r="345" spans="1:32" x14ac:dyDescent="0.3">
      <c r="A345" t="s">
        <v>369</v>
      </c>
      <c r="B345" t="s">
        <v>553</v>
      </c>
      <c r="C345" t="s">
        <v>627</v>
      </c>
      <c r="D345">
        <v>43</v>
      </c>
      <c r="E345" t="s">
        <v>630</v>
      </c>
      <c r="F345">
        <v>578</v>
      </c>
      <c r="G345" s="4">
        <v>14091</v>
      </c>
      <c r="H345" s="4">
        <v>8144598</v>
      </c>
      <c r="I345" t="s">
        <v>632</v>
      </c>
      <c r="J345" t="s">
        <v>669</v>
      </c>
      <c r="K345" t="s">
        <v>677</v>
      </c>
      <c r="L345" t="s">
        <v>682</v>
      </c>
      <c r="M345" t="s">
        <v>683</v>
      </c>
      <c r="N345" t="s">
        <v>692</v>
      </c>
      <c r="O345" t="s">
        <v>693</v>
      </c>
      <c r="P345" s="4">
        <v>8144598</v>
      </c>
      <c r="Q345">
        <v>0</v>
      </c>
      <c r="R345" s="7">
        <v>5.62</v>
      </c>
      <c r="S345" s="8">
        <f>Table1[[#This Row],[Discount_%]]/100</f>
        <v>5.62E-2</v>
      </c>
      <c r="T345" s="6" t="s">
        <v>938</v>
      </c>
      <c r="U345" t="s">
        <v>988</v>
      </c>
      <c r="V345">
        <v>2024</v>
      </c>
      <c r="W345" t="s">
        <v>994</v>
      </c>
      <c r="X345" t="s">
        <v>999</v>
      </c>
      <c r="Y345" t="s">
        <v>1000</v>
      </c>
      <c r="Z345">
        <v>4</v>
      </c>
      <c r="AA345">
        <v>32</v>
      </c>
      <c r="AB345" s="4">
        <f>Table1[[#This Row],[Total_Price]]*(1-Table1[[#This Row],[Discount 2]])</f>
        <v>7686871.5923999995</v>
      </c>
      <c r="AC345" s="4" t="str" cm="1">
        <f t="array" ref="AC345">_xlfn.IFS(Table1[[#This Row],[Revenue]]&gt;=30000000,"High Value",Table1[[#This Row],[Revenue]]&gt;=10000000,"Moderate Value",TRUE,"Low Value")</f>
        <v>Low Value</v>
      </c>
      <c r="AD345" t="str">
        <f>IF(Table1[[#This Row],[Discount 2]]&gt;=5%, "YES", "NO")</f>
        <v>YES</v>
      </c>
      <c r="AE345" t="str" cm="1">
        <f t="array" ref="AE345">_xlfn.IFS(Table1[[#This Row],[Revenue]]&gt;=30000000,"High Spender",Table1[[#This Row],[Revenue]]&gt;=10000000,"Moderate Spender",TRUE,"Low Spender")</f>
        <v>Low Spender</v>
      </c>
      <c r="AF345" s="4" t="str" cm="1">
        <f t="array" ref="AF345">_xlfn.IFS(Table1[[#This Row],[Land_Size_SQM]]&gt;=730,"LARGE",Table1[[#This Row],[Land_Size_SQM]]&gt;=465,"MEDIUM",TRUE,"SMALL")</f>
        <v>MEDIUM</v>
      </c>
    </row>
    <row r="346" spans="1:32" x14ac:dyDescent="0.3">
      <c r="A346" t="s">
        <v>370</v>
      </c>
      <c r="B346" t="s">
        <v>543</v>
      </c>
      <c r="C346" t="s">
        <v>626</v>
      </c>
      <c r="D346">
        <v>41</v>
      </c>
      <c r="E346" t="s">
        <v>629</v>
      </c>
      <c r="F346">
        <v>359</v>
      </c>
      <c r="G346" s="4">
        <v>2281</v>
      </c>
      <c r="H346" s="4">
        <v>818879</v>
      </c>
      <c r="I346" t="s">
        <v>632</v>
      </c>
      <c r="J346" t="s">
        <v>669</v>
      </c>
      <c r="K346" t="s">
        <v>651</v>
      </c>
      <c r="L346" t="s">
        <v>680</v>
      </c>
      <c r="M346" t="s">
        <v>684</v>
      </c>
      <c r="N346" t="s">
        <v>689</v>
      </c>
      <c r="O346" t="s">
        <v>694</v>
      </c>
      <c r="P346" s="4">
        <v>280198</v>
      </c>
      <c r="Q346">
        <v>12</v>
      </c>
      <c r="R346" s="7">
        <v>2.9</v>
      </c>
      <c r="S346" s="8">
        <f>Table1[[#This Row],[Discount_%]]/100</f>
        <v>2.8999999999999998E-2</v>
      </c>
      <c r="T346" s="6" t="s">
        <v>901</v>
      </c>
      <c r="U346" t="s">
        <v>985</v>
      </c>
      <c r="V346">
        <v>2024</v>
      </c>
      <c r="W346" t="s">
        <v>996</v>
      </c>
      <c r="X346" t="s">
        <v>997</v>
      </c>
      <c r="Y346" t="s">
        <v>1001</v>
      </c>
      <c r="Z346">
        <v>1</v>
      </c>
      <c r="AA346">
        <v>20</v>
      </c>
      <c r="AB346" s="4">
        <f>Table1[[#This Row],[Total_Price]]*(1-Table1[[#This Row],[Discount 2]])</f>
        <v>795131.50899999996</v>
      </c>
      <c r="AC346" s="4" t="str" cm="1">
        <f t="array" ref="AC346">_xlfn.IFS(Table1[[#This Row],[Revenue]]&gt;=30000000,"High Value",Table1[[#This Row],[Revenue]]&gt;=10000000,"Moderate Value",TRUE,"Low Value")</f>
        <v>Low Value</v>
      </c>
      <c r="AD346" t="str">
        <f>IF(Table1[[#This Row],[Discount 2]]&gt;=5%, "YES", "NO")</f>
        <v>NO</v>
      </c>
      <c r="AE346" t="str" cm="1">
        <f t="array" ref="AE346">_xlfn.IFS(Table1[[#This Row],[Revenue]]&gt;=30000000,"High Spender",Table1[[#This Row],[Revenue]]&gt;=10000000,"Moderate Spender",TRUE,"Low Spender")</f>
        <v>Low Spender</v>
      </c>
      <c r="AF346" s="4" t="str" cm="1">
        <f t="array" ref="AF346">_xlfn.IFS(Table1[[#This Row],[Land_Size_SQM]]&gt;=730,"LARGE",Table1[[#This Row],[Land_Size_SQM]]&gt;=465,"MEDIUM",TRUE,"SMALL")</f>
        <v>SMALL</v>
      </c>
    </row>
    <row r="347" spans="1:32" x14ac:dyDescent="0.3">
      <c r="A347" t="s">
        <v>371</v>
      </c>
      <c r="B347" t="s">
        <v>535</v>
      </c>
      <c r="C347" t="s">
        <v>627</v>
      </c>
      <c r="D347">
        <v>37</v>
      </c>
      <c r="E347" t="s">
        <v>628</v>
      </c>
      <c r="F347">
        <v>425</v>
      </c>
      <c r="G347" s="4">
        <v>31227</v>
      </c>
      <c r="H347" s="4">
        <v>13271475</v>
      </c>
      <c r="I347" t="s">
        <v>661</v>
      </c>
      <c r="J347" t="s">
        <v>673</v>
      </c>
      <c r="K347" t="s">
        <v>674</v>
      </c>
      <c r="L347" t="s">
        <v>680</v>
      </c>
      <c r="M347" t="s">
        <v>685</v>
      </c>
      <c r="N347" t="s">
        <v>692</v>
      </c>
      <c r="O347" t="s">
        <v>694</v>
      </c>
      <c r="P347" s="4">
        <v>3953704</v>
      </c>
      <c r="Q347">
        <v>3</v>
      </c>
      <c r="R347" s="7">
        <v>6.08</v>
      </c>
      <c r="S347" s="8">
        <f>Table1[[#This Row],[Discount_%]]/100</f>
        <v>6.08E-2</v>
      </c>
      <c r="T347" s="6" t="s">
        <v>939</v>
      </c>
      <c r="U347" t="s">
        <v>990</v>
      </c>
      <c r="V347">
        <v>2024</v>
      </c>
      <c r="W347" t="s">
        <v>995</v>
      </c>
      <c r="X347" t="s">
        <v>997</v>
      </c>
      <c r="Y347" t="s">
        <v>1001</v>
      </c>
      <c r="Z347">
        <v>1</v>
      </c>
      <c r="AA347">
        <v>33</v>
      </c>
      <c r="AB347" s="4">
        <f>Table1[[#This Row],[Total_Price]]*(1-Table1[[#This Row],[Discount 2]])</f>
        <v>12464569.32</v>
      </c>
      <c r="AC347" s="4" t="str" cm="1">
        <f t="array" ref="AC347">_xlfn.IFS(Table1[[#This Row],[Revenue]]&gt;=30000000,"High Value",Table1[[#This Row],[Revenue]]&gt;=10000000,"Moderate Value",TRUE,"Low Value")</f>
        <v>Moderate Value</v>
      </c>
      <c r="AD347" t="str">
        <f>IF(Table1[[#This Row],[Discount 2]]&gt;=5%, "YES", "NO")</f>
        <v>YES</v>
      </c>
      <c r="AE347" t="str" cm="1">
        <f t="array" ref="AE347">_xlfn.IFS(Table1[[#This Row],[Revenue]]&gt;=30000000,"High Spender",Table1[[#This Row],[Revenue]]&gt;=10000000,"Moderate Spender",TRUE,"Low Spender")</f>
        <v>Moderate Spender</v>
      </c>
      <c r="AF347" s="4" t="str" cm="1">
        <f t="array" ref="AF347">_xlfn.IFS(Table1[[#This Row],[Land_Size_SQM]]&gt;=730,"LARGE",Table1[[#This Row],[Land_Size_SQM]]&gt;=465,"MEDIUM",TRUE,"SMALL")</f>
        <v>SMALL</v>
      </c>
    </row>
    <row r="348" spans="1:32" x14ac:dyDescent="0.3">
      <c r="A348" t="s">
        <v>372</v>
      </c>
      <c r="B348" t="s">
        <v>564</v>
      </c>
      <c r="C348" t="s">
        <v>626</v>
      </c>
      <c r="D348">
        <v>43</v>
      </c>
      <c r="E348" t="s">
        <v>630</v>
      </c>
      <c r="F348">
        <v>525</v>
      </c>
      <c r="G348" s="4">
        <v>41529</v>
      </c>
      <c r="H348" s="4">
        <v>21802725</v>
      </c>
      <c r="I348" t="s">
        <v>650</v>
      </c>
      <c r="J348" t="s">
        <v>670</v>
      </c>
      <c r="K348" t="s">
        <v>678</v>
      </c>
      <c r="L348" t="s">
        <v>681</v>
      </c>
      <c r="M348" t="s">
        <v>685</v>
      </c>
      <c r="N348" t="s">
        <v>690</v>
      </c>
      <c r="O348" t="s">
        <v>693</v>
      </c>
      <c r="P348" s="4">
        <v>21802725</v>
      </c>
      <c r="Q348">
        <v>0</v>
      </c>
      <c r="R348" s="7">
        <v>9.08</v>
      </c>
      <c r="S348" s="8">
        <f>Table1[[#This Row],[Discount_%]]/100</f>
        <v>9.0800000000000006E-2</v>
      </c>
      <c r="T348" s="6" t="s">
        <v>768</v>
      </c>
      <c r="U348" t="s">
        <v>991</v>
      </c>
      <c r="V348">
        <v>2024</v>
      </c>
      <c r="W348" t="s">
        <v>994</v>
      </c>
      <c r="X348" t="s">
        <v>998</v>
      </c>
      <c r="Y348" t="s">
        <v>1002</v>
      </c>
      <c r="Z348">
        <v>4</v>
      </c>
      <c r="AA348">
        <v>36</v>
      </c>
      <c r="AB348" s="4">
        <f>Table1[[#This Row],[Total_Price]]*(1-Table1[[#This Row],[Discount 2]])</f>
        <v>19823037.57</v>
      </c>
      <c r="AC348" s="4" t="str" cm="1">
        <f t="array" ref="AC348">_xlfn.IFS(Table1[[#This Row],[Revenue]]&gt;=30000000,"High Value",Table1[[#This Row],[Revenue]]&gt;=10000000,"Moderate Value",TRUE,"Low Value")</f>
        <v>Moderate Value</v>
      </c>
      <c r="AD348" t="str">
        <f>IF(Table1[[#This Row],[Discount 2]]&gt;=5%, "YES", "NO")</f>
        <v>YES</v>
      </c>
      <c r="AE348" t="str" cm="1">
        <f t="array" ref="AE348">_xlfn.IFS(Table1[[#This Row],[Revenue]]&gt;=30000000,"High Spender",Table1[[#This Row],[Revenue]]&gt;=10000000,"Moderate Spender",TRUE,"Low Spender")</f>
        <v>Moderate Spender</v>
      </c>
      <c r="AF348" s="4" t="str" cm="1">
        <f t="array" ref="AF348">_xlfn.IFS(Table1[[#This Row],[Land_Size_SQM]]&gt;=730,"LARGE",Table1[[#This Row],[Land_Size_SQM]]&gt;=465,"MEDIUM",TRUE,"SMALL")</f>
        <v>MEDIUM</v>
      </c>
    </row>
    <row r="349" spans="1:32" x14ac:dyDescent="0.3">
      <c r="A349" t="s">
        <v>373</v>
      </c>
      <c r="B349" t="s">
        <v>564</v>
      </c>
      <c r="C349" t="s">
        <v>627</v>
      </c>
      <c r="D349">
        <v>29</v>
      </c>
      <c r="E349" t="s">
        <v>628</v>
      </c>
      <c r="F349">
        <v>959</v>
      </c>
      <c r="G349" s="4">
        <v>29237</v>
      </c>
      <c r="H349" s="4">
        <v>28038283</v>
      </c>
      <c r="I349" t="s">
        <v>641</v>
      </c>
      <c r="J349" t="s">
        <v>673</v>
      </c>
      <c r="K349" t="s">
        <v>678</v>
      </c>
      <c r="L349" t="s">
        <v>681</v>
      </c>
      <c r="M349" t="s">
        <v>684</v>
      </c>
      <c r="N349" t="s">
        <v>692</v>
      </c>
      <c r="O349" t="s">
        <v>694</v>
      </c>
      <c r="P349" s="4">
        <v>6985377</v>
      </c>
      <c r="Q349">
        <v>12</v>
      </c>
      <c r="R349" s="7">
        <v>7.28</v>
      </c>
      <c r="S349" s="8">
        <f>Table1[[#This Row],[Discount_%]]/100</f>
        <v>7.2800000000000004E-2</v>
      </c>
      <c r="T349" s="6" t="s">
        <v>940</v>
      </c>
      <c r="U349" t="s">
        <v>989</v>
      </c>
      <c r="V349">
        <v>2024</v>
      </c>
      <c r="W349" t="s">
        <v>994</v>
      </c>
      <c r="X349" t="s">
        <v>999</v>
      </c>
      <c r="Y349" t="s">
        <v>1001</v>
      </c>
      <c r="Z349">
        <v>4</v>
      </c>
      <c r="AA349">
        <v>6</v>
      </c>
      <c r="AB349" s="4">
        <f>Table1[[#This Row],[Total_Price]]*(1-Table1[[#This Row],[Discount 2]])</f>
        <v>25997095.9976</v>
      </c>
      <c r="AC349" s="4" t="str" cm="1">
        <f t="array" ref="AC349">_xlfn.IFS(Table1[[#This Row],[Revenue]]&gt;=30000000,"High Value",Table1[[#This Row],[Revenue]]&gt;=10000000,"Moderate Value",TRUE,"Low Value")</f>
        <v>Moderate Value</v>
      </c>
      <c r="AD349" t="str">
        <f>IF(Table1[[#This Row],[Discount 2]]&gt;=5%, "YES", "NO")</f>
        <v>YES</v>
      </c>
      <c r="AE349" t="str" cm="1">
        <f t="array" ref="AE349">_xlfn.IFS(Table1[[#This Row],[Revenue]]&gt;=30000000,"High Spender",Table1[[#This Row],[Revenue]]&gt;=10000000,"Moderate Spender",TRUE,"Low Spender")</f>
        <v>Moderate Spender</v>
      </c>
      <c r="AF349" s="4" t="str" cm="1">
        <f t="array" ref="AF349">_xlfn.IFS(Table1[[#This Row],[Land_Size_SQM]]&gt;=730,"LARGE",Table1[[#This Row],[Land_Size_SQM]]&gt;=465,"MEDIUM",TRUE,"SMALL")</f>
        <v>LARGE</v>
      </c>
    </row>
    <row r="350" spans="1:32" x14ac:dyDescent="0.3">
      <c r="A350" t="s">
        <v>374</v>
      </c>
      <c r="B350" t="s">
        <v>621</v>
      </c>
      <c r="C350" t="s">
        <v>627</v>
      </c>
      <c r="D350">
        <v>39</v>
      </c>
      <c r="E350" t="s">
        <v>629</v>
      </c>
      <c r="F350">
        <v>624</v>
      </c>
      <c r="G350" s="4">
        <v>13461</v>
      </c>
      <c r="H350" s="4">
        <v>8399664</v>
      </c>
      <c r="I350" t="s">
        <v>661</v>
      </c>
      <c r="J350" t="s">
        <v>673</v>
      </c>
      <c r="K350" t="s">
        <v>677</v>
      </c>
      <c r="L350" t="s">
        <v>681</v>
      </c>
      <c r="M350" t="s">
        <v>684</v>
      </c>
      <c r="N350" t="s">
        <v>692</v>
      </c>
      <c r="O350" t="s">
        <v>694</v>
      </c>
      <c r="P350" s="4">
        <v>2182042</v>
      </c>
      <c r="Q350">
        <v>6</v>
      </c>
      <c r="R350" s="7">
        <v>8.32</v>
      </c>
      <c r="S350" s="8">
        <f>Table1[[#This Row],[Discount_%]]/100</f>
        <v>8.3199999999999996E-2</v>
      </c>
      <c r="T350" s="6" t="s">
        <v>926</v>
      </c>
      <c r="U350" t="s">
        <v>992</v>
      </c>
      <c r="V350">
        <v>2024</v>
      </c>
      <c r="W350" t="s">
        <v>995</v>
      </c>
      <c r="X350" t="s">
        <v>999</v>
      </c>
      <c r="Y350" t="s">
        <v>1000</v>
      </c>
      <c r="Z350">
        <v>1</v>
      </c>
      <c r="AA350">
        <v>10</v>
      </c>
      <c r="AB350" s="4">
        <f>Table1[[#This Row],[Total_Price]]*(1-Table1[[#This Row],[Discount 2]])</f>
        <v>7700811.9552000007</v>
      </c>
      <c r="AC350" s="4" t="str" cm="1">
        <f t="array" ref="AC350">_xlfn.IFS(Table1[[#This Row],[Revenue]]&gt;=30000000,"High Value",Table1[[#This Row],[Revenue]]&gt;=10000000,"Moderate Value",TRUE,"Low Value")</f>
        <v>Low Value</v>
      </c>
      <c r="AD350" t="str">
        <f>IF(Table1[[#This Row],[Discount 2]]&gt;=5%, "YES", "NO")</f>
        <v>YES</v>
      </c>
      <c r="AE350" t="str" cm="1">
        <f t="array" ref="AE350">_xlfn.IFS(Table1[[#This Row],[Revenue]]&gt;=30000000,"High Spender",Table1[[#This Row],[Revenue]]&gt;=10000000,"Moderate Spender",TRUE,"Low Spender")</f>
        <v>Low Spender</v>
      </c>
      <c r="AF350" s="4" t="str" cm="1">
        <f t="array" ref="AF350">_xlfn.IFS(Table1[[#This Row],[Land_Size_SQM]]&gt;=730,"LARGE",Table1[[#This Row],[Land_Size_SQM]]&gt;=465,"MEDIUM",TRUE,"SMALL")</f>
        <v>MEDIUM</v>
      </c>
    </row>
    <row r="351" spans="1:32" x14ac:dyDescent="0.3">
      <c r="A351" t="s">
        <v>375</v>
      </c>
      <c r="B351" t="s">
        <v>607</v>
      </c>
      <c r="C351" t="s">
        <v>627</v>
      </c>
      <c r="D351">
        <v>37</v>
      </c>
      <c r="E351" t="s">
        <v>630</v>
      </c>
      <c r="F351">
        <v>327</v>
      </c>
      <c r="G351" s="4">
        <v>44848</v>
      </c>
      <c r="H351" s="4">
        <v>14665296</v>
      </c>
      <c r="I351" t="s">
        <v>657</v>
      </c>
      <c r="J351" t="s">
        <v>671</v>
      </c>
      <c r="K351" t="s">
        <v>678</v>
      </c>
      <c r="L351" t="s">
        <v>680</v>
      </c>
      <c r="M351" t="s">
        <v>686</v>
      </c>
      <c r="N351" t="s">
        <v>690</v>
      </c>
      <c r="O351" t="s">
        <v>694</v>
      </c>
      <c r="P351" s="4">
        <v>3722224</v>
      </c>
      <c r="Q351">
        <v>24</v>
      </c>
      <c r="R351" s="7">
        <v>9.07</v>
      </c>
      <c r="S351" s="8">
        <f>Table1[[#This Row],[Discount_%]]/100</f>
        <v>9.0700000000000003E-2</v>
      </c>
      <c r="T351" s="6" t="s">
        <v>824</v>
      </c>
      <c r="U351" t="s">
        <v>983</v>
      </c>
      <c r="V351">
        <v>2024</v>
      </c>
      <c r="W351" t="s">
        <v>995</v>
      </c>
      <c r="X351" t="s">
        <v>997</v>
      </c>
      <c r="Y351" t="s">
        <v>1002</v>
      </c>
      <c r="Z351">
        <v>3</v>
      </c>
      <c r="AA351">
        <v>41</v>
      </c>
      <c r="AB351" s="4">
        <f>Table1[[#This Row],[Total_Price]]*(1-Table1[[#This Row],[Discount 2]])</f>
        <v>13335153.652799999</v>
      </c>
      <c r="AC351" s="4" t="str" cm="1">
        <f t="array" ref="AC351">_xlfn.IFS(Table1[[#This Row],[Revenue]]&gt;=30000000,"High Value",Table1[[#This Row],[Revenue]]&gt;=10000000,"Moderate Value",TRUE,"Low Value")</f>
        <v>Moderate Value</v>
      </c>
      <c r="AD351" t="str">
        <f>IF(Table1[[#This Row],[Discount 2]]&gt;=5%, "YES", "NO")</f>
        <v>YES</v>
      </c>
      <c r="AE351" t="str" cm="1">
        <f t="array" ref="AE351">_xlfn.IFS(Table1[[#This Row],[Revenue]]&gt;=30000000,"High Spender",Table1[[#This Row],[Revenue]]&gt;=10000000,"Moderate Spender",TRUE,"Low Spender")</f>
        <v>Moderate Spender</v>
      </c>
      <c r="AF351" s="4" t="str" cm="1">
        <f t="array" ref="AF351">_xlfn.IFS(Table1[[#This Row],[Land_Size_SQM]]&gt;=730,"LARGE",Table1[[#This Row],[Land_Size_SQM]]&gt;=465,"MEDIUM",TRUE,"SMALL")</f>
        <v>SMALL</v>
      </c>
    </row>
    <row r="352" spans="1:32" x14ac:dyDescent="0.3">
      <c r="A352" t="s">
        <v>376</v>
      </c>
      <c r="B352" t="s">
        <v>547</v>
      </c>
      <c r="C352" t="s">
        <v>627</v>
      </c>
      <c r="D352">
        <v>40</v>
      </c>
      <c r="E352" t="s">
        <v>630</v>
      </c>
      <c r="F352">
        <v>582</v>
      </c>
      <c r="G352" s="4">
        <v>35588</v>
      </c>
      <c r="H352" s="4">
        <v>20712216</v>
      </c>
      <c r="I352" t="s">
        <v>633</v>
      </c>
      <c r="J352" t="s">
        <v>668</v>
      </c>
      <c r="K352" t="s">
        <v>676</v>
      </c>
      <c r="L352" t="s">
        <v>682</v>
      </c>
      <c r="M352" t="s">
        <v>683</v>
      </c>
      <c r="N352" t="s">
        <v>690</v>
      </c>
      <c r="O352" t="s">
        <v>693</v>
      </c>
      <c r="P352" s="4">
        <v>20712216</v>
      </c>
      <c r="Q352">
        <v>0</v>
      </c>
      <c r="R352" s="7">
        <v>8.4499999999999993</v>
      </c>
      <c r="S352" s="8">
        <f>Table1[[#This Row],[Discount_%]]/100</f>
        <v>8.4499999999999992E-2</v>
      </c>
      <c r="T352" s="6" t="s">
        <v>941</v>
      </c>
      <c r="U352" t="s">
        <v>987</v>
      </c>
      <c r="V352">
        <v>2024</v>
      </c>
      <c r="W352" t="s">
        <v>996</v>
      </c>
      <c r="X352" t="s">
        <v>999</v>
      </c>
      <c r="Y352" t="s">
        <v>1002</v>
      </c>
      <c r="Z352">
        <v>3</v>
      </c>
      <c r="AA352">
        <v>27</v>
      </c>
      <c r="AB352" s="4">
        <f>Table1[[#This Row],[Total_Price]]*(1-Table1[[#This Row],[Discount 2]])</f>
        <v>18962033.748</v>
      </c>
      <c r="AC352" s="4" t="str" cm="1">
        <f t="array" ref="AC352">_xlfn.IFS(Table1[[#This Row],[Revenue]]&gt;=30000000,"High Value",Table1[[#This Row],[Revenue]]&gt;=10000000,"Moderate Value",TRUE,"Low Value")</f>
        <v>Moderate Value</v>
      </c>
      <c r="AD352" t="str">
        <f>IF(Table1[[#This Row],[Discount 2]]&gt;=5%, "YES", "NO")</f>
        <v>YES</v>
      </c>
      <c r="AE352" t="str" cm="1">
        <f t="array" ref="AE352">_xlfn.IFS(Table1[[#This Row],[Revenue]]&gt;=30000000,"High Spender",Table1[[#This Row],[Revenue]]&gt;=10000000,"Moderate Spender",TRUE,"Low Spender")</f>
        <v>Moderate Spender</v>
      </c>
      <c r="AF352" s="4" t="str" cm="1">
        <f t="array" ref="AF352">_xlfn.IFS(Table1[[#This Row],[Land_Size_SQM]]&gt;=730,"LARGE",Table1[[#This Row],[Land_Size_SQM]]&gt;=465,"MEDIUM",TRUE,"SMALL")</f>
        <v>MEDIUM</v>
      </c>
    </row>
    <row r="353" spans="1:32" x14ac:dyDescent="0.3">
      <c r="A353" t="s">
        <v>377</v>
      </c>
      <c r="B353" t="s">
        <v>615</v>
      </c>
      <c r="C353" t="s">
        <v>627</v>
      </c>
      <c r="D353">
        <v>54</v>
      </c>
      <c r="E353" t="s">
        <v>630</v>
      </c>
      <c r="F353">
        <v>496</v>
      </c>
      <c r="G353" s="4">
        <v>21114</v>
      </c>
      <c r="H353" s="4">
        <v>10472544</v>
      </c>
      <c r="I353" t="s">
        <v>635</v>
      </c>
      <c r="J353" t="s">
        <v>668</v>
      </c>
      <c r="K353" t="s">
        <v>664</v>
      </c>
      <c r="L353" t="s">
        <v>681</v>
      </c>
      <c r="M353" t="s">
        <v>687</v>
      </c>
      <c r="N353" t="s">
        <v>690</v>
      </c>
      <c r="O353" t="s">
        <v>693</v>
      </c>
      <c r="P353" s="4">
        <v>10472544</v>
      </c>
      <c r="Q353">
        <v>0</v>
      </c>
      <c r="R353" s="7">
        <v>5.14</v>
      </c>
      <c r="S353" s="8">
        <f>Table1[[#This Row],[Discount_%]]/100</f>
        <v>5.1399999999999994E-2</v>
      </c>
      <c r="T353" s="6" t="s">
        <v>697</v>
      </c>
      <c r="U353" t="s">
        <v>983</v>
      </c>
      <c r="V353">
        <v>2024</v>
      </c>
      <c r="W353" t="s">
        <v>994</v>
      </c>
      <c r="X353" t="s">
        <v>999</v>
      </c>
      <c r="Y353" t="s">
        <v>1001</v>
      </c>
      <c r="Z353">
        <v>5</v>
      </c>
      <c r="AA353">
        <v>23</v>
      </c>
      <c r="AB353" s="4">
        <f>Table1[[#This Row],[Total_Price]]*(1-Table1[[#This Row],[Discount 2]])</f>
        <v>9934255.2383999992</v>
      </c>
      <c r="AC353" s="4" t="str" cm="1">
        <f t="array" ref="AC353">_xlfn.IFS(Table1[[#This Row],[Revenue]]&gt;=30000000,"High Value",Table1[[#This Row],[Revenue]]&gt;=10000000,"Moderate Value",TRUE,"Low Value")</f>
        <v>Low Value</v>
      </c>
      <c r="AD353" t="str">
        <f>IF(Table1[[#This Row],[Discount 2]]&gt;=5%, "YES", "NO")</f>
        <v>YES</v>
      </c>
      <c r="AE353" t="str" cm="1">
        <f t="array" ref="AE353">_xlfn.IFS(Table1[[#This Row],[Revenue]]&gt;=30000000,"High Spender",Table1[[#This Row],[Revenue]]&gt;=10000000,"Moderate Spender",TRUE,"Low Spender")</f>
        <v>Low Spender</v>
      </c>
      <c r="AF353" s="4" t="str" cm="1">
        <f t="array" ref="AF353">_xlfn.IFS(Table1[[#This Row],[Land_Size_SQM]]&gt;=730,"LARGE",Table1[[#This Row],[Land_Size_SQM]]&gt;=465,"MEDIUM",TRUE,"SMALL")</f>
        <v>MEDIUM</v>
      </c>
    </row>
    <row r="354" spans="1:32" x14ac:dyDescent="0.3">
      <c r="A354" t="s">
        <v>378</v>
      </c>
      <c r="B354" t="s">
        <v>565</v>
      </c>
      <c r="C354" t="s">
        <v>627</v>
      </c>
      <c r="D354">
        <v>52</v>
      </c>
      <c r="E354" t="s">
        <v>628</v>
      </c>
      <c r="F354">
        <v>730</v>
      </c>
      <c r="G354" s="4">
        <v>20442</v>
      </c>
      <c r="H354" s="4">
        <v>14922660</v>
      </c>
      <c r="I354" t="s">
        <v>649</v>
      </c>
      <c r="J354" t="s">
        <v>669</v>
      </c>
      <c r="K354" t="s">
        <v>638</v>
      </c>
      <c r="L354" t="s">
        <v>680</v>
      </c>
      <c r="M354" t="s">
        <v>686</v>
      </c>
      <c r="N354" t="s">
        <v>692</v>
      </c>
      <c r="O354" t="s">
        <v>694</v>
      </c>
      <c r="P354" s="4">
        <v>4828948</v>
      </c>
      <c r="Q354">
        <v>24</v>
      </c>
      <c r="R354" s="7">
        <v>9.2100000000000009</v>
      </c>
      <c r="S354" s="8">
        <f>Table1[[#This Row],[Discount_%]]/100</f>
        <v>9.2100000000000015E-2</v>
      </c>
      <c r="T354" s="6" t="s">
        <v>941</v>
      </c>
      <c r="U354" t="s">
        <v>987</v>
      </c>
      <c r="V354">
        <v>2024</v>
      </c>
      <c r="W354" t="s">
        <v>993</v>
      </c>
      <c r="X354" t="s">
        <v>998</v>
      </c>
      <c r="Y354" t="s">
        <v>1002</v>
      </c>
      <c r="Z354">
        <v>1</v>
      </c>
      <c r="AA354">
        <v>8</v>
      </c>
      <c r="AB354" s="4">
        <f>Table1[[#This Row],[Total_Price]]*(1-Table1[[#This Row],[Discount 2]])</f>
        <v>13548283.013999999</v>
      </c>
      <c r="AC354" s="4" t="str" cm="1">
        <f t="array" ref="AC354">_xlfn.IFS(Table1[[#This Row],[Revenue]]&gt;=30000000,"High Value",Table1[[#This Row],[Revenue]]&gt;=10000000,"Moderate Value",TRUE,"Low Value")</f>
        <v>Moderate Value</v>
      </c>
      <c r="AD354" t="str">
        <f>IF(Table1[[#This Row],[Discount 2]]&gt;=5%, "YES", "NO")</f>
        <v>YES</v>
      </c>
      <c r="AE354" t="str" cm="1">
        <f t="array" ref="AE354">_xlfn.IFS(Table1[[#This Row],[Revenue]]&gt;=30000000,"High Spender",Table1[[#This Row],[Revenue]]&gt;=10000000,"Moderate Spender",TRUE,"Low Spender")</f>
        <v>Moderate Spender</v>
      </c>
      <c r="AF354" s="4" t="str" cm="1">
        <f t="array" ref="AF354">_xlfn.IFS(Table1[[#This Row],[Land_Size_SQM]]&gt;=730,"LARGE",Table1[[#This Row],[Land_Size_SQM]]&gt;=465,"MEDIUM",TRUE,"SMALL")</f>
        <v>LARGE</v>
      </c>
    </row>
    <row r="355" spans="1:32" x14ac:dyDescent="0.3">
      <c r="A355" t="s">
        <v>379</v>
      </c>
      <c r="B355" t="s">
        <v>597</v>
      </c>
      <c r="C355" t="s">
        <v>627</v>
      </c>
      <c r="D355">
        <v>65</v>
      </c>
      <c r="E355" t="s">
        <v>630</v>
      </c>
      <c r="F355">
        <v>556</v>
      </c>
      <c r="G355" s="4">
        <v>22419</v>
      </c>
      <c r="H355" s="4">
        <v>12464964</v>
      </c>
      <c r="I355" t="s">
        <v>649</v>
      </c>
      <c r="J355" t="s">
        <v>669</v>
      </c>
      <c r="K355" t="s">
        <v>678</v>
      </c>
      <c r="L355" t="s">
        <v>680</v>
      </c>
      <c r="M355" t="s">
        <v>685</v>
      </c>
      <c r="N355" t="s">
        <v>688</v>
      </c>
      <c r="O355" t="s">
        <v>694</v>
      </c>
      <c r="P355" s="4">
        <v>5548300</v>
      </c>
      <c r="Q355">
        <v>6</v>
      </c>
      <c r="R355" s="7">
        <v>8.9</v>
      </c>
      <c r="S355" s="8">
        <f>Table1[[#This Row],[Discount_%]]/100</f>
        <v>8.900000000000001E-2</v>
      </c>
      <c r="T355" s="6" t="s">
        <v>891</v>
      </c>
      <c r="U355" t="s">
        <v>983</v>
      </c>
      <c r="V355">
        <v>2024</v>
      </c>
      <c r="W355" t="s">
        <v>996</v>
      </c>
      <c r="X355" t="s">
        <v>997</v>
      </c>
      <c r="Y355" t="s">
        <v>1000</v>
      </c>
      <c r="Z355">
        <v>2</v>
      </c>
      <c r="AA355">
        <v>20</v>
      </c>
      <c r="AB355" s="4">
        <f>Table1[[#This Row],[Total_Price]]*(1-Table1[[#This Row],[Discount 2]])</f>
        <v>11355582.204</v>
      </c>
      <c r="AC355" s="4" t="str" cm="1">
        <f t="array" ref="AC355">_xlfn.IFS(Table1[[#This Row],[Revenue]]&gt;=30000000,"High Value",Table1[[#This Row],[Revenue]]&gt;=10000000,"Moderate Value",TRUE,"Low Value")</f>
        <v>Moderate Value</v>
      </c>
      <c r="AD355" t="str">
        <f>IF(Table1[[#This Row],[Discount 2]]&gt;=5%, "YES", "NO")</f>
        <v>YES</v>
      </c>
      <c r="AE355" t="str" cm="1">
        <f t="array" ref="AE355">_xlfn.IFS(Table1[[#This Row],[Revenue]]&gt;=30000000,"High Spender",Table1[[#This Row],[Revenue]]&gt;=10000000,"Moderate Spender",TRUE,"Low Spender")</f>
        <v>Moderate Spender</v>
      </c>
      <c r="AF355" s="4" t="str" cm="1">
        <f t="array" ref="AF355">_xlfn.IFS(Table1[[#This Row],[Land_Size_SQM]]&gt;=730,"LARGE",Table1[[#This Row],[Land_Size_SQM]]&gt;=465,"MEDIUM",TRUE,"SMALL")</f>
        <v>MEDIUM</v>
      </c>
    </row>
    <row r="356" spans="1:32" x14ac:dyDescent="0.3">
      <c r="A356" t="s">
        <v>380</v>
      </c>
      <c r="B356" t="s">
        <v>538</v>
      </c>
      <c r="C356" t="s">
        <v>627</v>
      </c>
      <c r="D356">
        <v>26</v>
      </c>
      <c r="E356" t="s">
        <v>628</v>
      </c>
      <c r="F356">
        <v>280</v>
      </c>
      <c r="G356" s="4">
        <v>29840</v>
      </c>
      <c r="H356" s="4">
        <v>8355200</v>
      </c>
      <c r="I356" t="s">
        <v>654</v>
      </c>
      <c r="J356" t="s">
        <v>669</v>
      </c>
      <c r="K356" t="s">
        <v>638</v>
      </c>
      <c r="L356" t="s">
        <v>682</v>
      </c>
      <c r="M356" t="s">
        <v>686</v>
      </c>
      <c r="N356" t="s">
        <v>692</v>
      </c>
      <c r="O356" t="s">
        <v>693</v>
      </c>
      <c r="P356" s="4">
        <v>8355200</v>
      </c>
      <c r="Q356">
        <v>0</v>
      </c>
      <c r="R356" s="7">
        <v>0.78</v>
      </c>
      <c r="S356" s="8">
        <f>Table1[[#This Row],[Discount_%]]/100</f>
        <v>7.8000000000000005E-3</v>
      </c>
      <c r="T356" s="6" t="s">
        <v>742</v>
      </c>
      <c r="U356" t="s">
        <v>986</v>
      </c>
      <c r="V356">
        <v>2024</v>
      </c>
      <c r="W356" t="s">
        <v>993</v>
      </c>
      <c r="X356" t="s">
        <v>998</v>
      </c>
      <c r="Y356" t="s">
        <v>1000</v>
      </c>
      <c r="Z356">
        <v>3</v>
      </c>
      <c r="AA356">
        <v>3</v>
      </c>
      <c r="AB356" s="4">
        <f>Table1[[#This Row],[Total_Price]]*(1-Table1[[#This Row],[Discount 2]])</f>
        <v>8290029.4399999995</v>
      </c>
      <c r="AC356" s="4" t="str" cm="1">
        <f t="array" ref="AC356">_xlfn.IFS(Table1[[#This Row],[Revenue]]&gt;=30000000,"High Value",Table1[[#This Row],[Revenue]]&gt;=10000000,"Moderate Value",TRUE,"Low Value")</f>
        <v>Low Value</v>
      </c>
      <c r="AD356" t="str">
        <f>IF(Table1[[#This Row],[Discount 2]]&gt;=5%, "YES", "NO")</f>
        <v>NO</v>
      </c>
      <c r="AE356" t="str" cm="1">
        <f t="array" ref="AE356">_xlfn.IFS(Table1[[#This Row],[Revenue]]&gt;=30000000,"High Spender",Table1[[#This Row],[Revenue]]&gt;=10000000,"Moderate Spender",TRUE,"Low Spender")</f>
        <v>Low Spender</v>
      </c>
      <c r="AF356" s="4" t="str" cm="1">
        <f t="array" ref="AF356">_xlfn.IFS(Table1[[#This Row],[Land_Size_SQM]]&gt;=730,"LARGE",Table1[[#This Row],[Land_Size_SQM]]&gt;=465,"MEDIUM",TRUE,"SMALL")</f>
        <v>SMALL</v>
      </c>
    </row>
    <row r="357" spans="1:32" x14ac:dyDescent="0.3">
      <c r="A357" t="s">
        <v>381</v>
      </c>
      <c r="B357" t="s">
        <v>550</v>
      </c>
      <c r="C357" t="s">
        <v>627</v>
      </c>
      <c r="D357">
        <v>62</v>
      </c>
      <c r="E357" t="s">
        <v>630</v>
      </c>
      <c r="F357">
        <v>972</v>
      </c>
      <c r="G357" s="4">
        <v>8324</v>
      </c>
      <c r="H357" s="4">
        <v>8090928</v>
      </c>
      <c r="I357" t="s">
        <v>646</v>
      </c>
      <c r="J357" t="s">
        <v>673</v>
      </c>
      <c r="K357" t="s">
        <v>664</v>
      </c>
      <c r="L357" t="s">
        <v>680</v>
      </c>
      <c r="M357" t="s">
        <v>685</v>
      </c>
      <c r="N357" t="s">
        <v>688</v>
      </c>
      <c r="O357" t="s">
        <v>693</v>
      </c>
      <c r="P357" s="4">
        <v>8090928</v>
      </c>
      <c r="Q357">
        <v>0</v>
      </c>
      <c r="R357" s="7">
        <v>9.1999999999999993</v>
      </c>
      <c r="S357" s="8">
        <f>Table1[[#This Row],[Discount_%]]/100</f>
        <v>9.1999999999999998E-2</v>
      </c>
      <c r="T357" s="6" t="s">
        <v>942</v>
      </c>
      <c r="U357" t="s">
        <v>990</v>
      </c>
      <c r="V357">
        <v>2024</v>
      </c>
      <c r="W357" t="s">
        <v>994</v>
      </c>
      <c r="X357" t="s">
        <v>997</v>
      </c>
      <c r="Y357" t="s">
        <v>1002</v>
      </c>
      <c r="Z357">
        <v>3</v>
      </c>
      <c r="AA357">
        <v>11</v>
      </c>
      <c r="AB357" s="4">
        <f>Table1[[#This Row],[Total_Price]]*(1-Table1[[#This Row],[Discount 2]])</f>
        <v>7346562.6239999998</v>
      </c>
      <c r="AC357" s="4" t="str" cm="1">
        <f t="array" ref="AC357">_xlfn.IFS(Table1[[#This Row],[Revenue]]&gt;=30000000,"High Value",Table1[[#This Row],[Revenue]]&gt;=10000000,"Moderate Value",TRUE,"Low Value")</f>
        <v>Low Value</v>
      </c>
      <c r="AD357" t="str">
        <f>IF(Table1[[#This Row],[Discount 2]]&gt;=5%, "YES", "NO")</f>
        <v>YES</v>
      </c>
      <c r="AE357" t="str" cm="1">
        <f t="array" ref="AE357">_xlfn.IFS(Table1[[#This Row],[Revenue]]&gt;=30000000,"High Spender",Table1[[#This Row],[Revenue]]&gt;=10000000,"Moderate Spender",TRUE,"Low Spender")</f>
        <v>Low Spender</v>
      </c>
      <c r="AF357" s="4" t="str" cm="1">
        <f t="array" ref="AF357">_xlfn.IFS(Table1[[#This Row],[Land_Size_SQM]]&gt;=730,"LARGE",Table1[[#This Row],[Land_Size_SQM]]&gt;=465,"MEDIUM",TRUE,"SMALL")</f>
        <v>LARGE</v>
      </c>
    </row>
    <row r="358" spans="1:32" x14ac:dyDescent="0.3">
      <c r="A358" t="s">
        <v>382</v>
      </c>
      <c r="B358" t="s">
        <v>588</v>
      </c>
      <c r="C358" t="s">
        <v>627</v>
      </c>
      <c r="D358">
        <v>65</v>
      </c>
      <c r="E358" t="s">
        <v>628</v>
      </c>
      <c r="F358">
        <v>447</v>
      </c>
      <c r="G358" s="4">
        <v>35089</v>
      </c>
      <c r="H358" s="4">
        <v>15684783</v>
      </c>
      <c r="I358" t="s">
        <v>652</v>
      </c>
      <c r="J358" t="s">
        <v>672</v>
      </c>
      <c r="K358" t="s">
        <v>674</v>
      </c>
      <c r="L358" t="s">
        <v>681</v>
      </c>
      <c r="M358" t="s">
        <v>683</v>
      </c>
      <c r="N358" t="s">
        <v>692</v>
      </c>
      <c r="O358" t="s">
        <v>693</v>
      </c>
      <c r="P358" s="4">
        <v>15684783</v>
      </c>
      <c r="Q358">
        <v>0</v>
      </c>
      <c r="R358" s="7">
        <v>0.99</v>
      </c>
      <c r="S358" s="8">
        <f>Table1[[#This Row],[Discount_%]]/100</f>
        <v>9.8999999999999991E-3</v>
      </c>
      <c r="T358" s="6" t="s">
        <v>909</v>
      </c>
      <c r="U358" t="s">
        <v>985</v>
      </c>
      <c r="V358">
        <v>2024</v>
      </c>
      <c r="W358" t="s">
        <v>993</v>
      </c>
      <c r="X358" t="s">
        <v>997</v>
      </c>
      <c r="Y358" t="s">
        <v>1000</v>
      </c>
      <c r="Z358">
        <v>2</v>
      </c>
      <c r="AA358">
        <v>33</v>
      </c>
      <c r="AB358" s="4">
        <f>Table1[[#This Row],[Total_Price]]*(1-Table1[[#This Row],[Discount 2]])</f>
        <v>15529503.6483</v>
      </c>
      <c r="AC358" s="4" t="str" cm="1">
        <f t="array" ref="AC358">_xlfn.IFS(Table1[[#This Row],[Revenue]]&gt;=30000000,"High Value",Table1[[#This Row],[Revenue]]&gt;=10000000,"Moderate Value",TRUE,"Low Value")</f>
        <v>Moderate Value</v>
      </c>
      <c r="AD358" t="str">
        <f>IF(Table1[[#This Row],[Discount 2]]&gt;=5%, "YES", "NO")</f>
        <v>NO</v>
      </c>
      <c r="AE358" t="str" cm="1">
        <f t="array" ref="AE358">_xlfn.IFS(Table1[[#This Row],[Revenue]]&gt;=30000000,"High Spender",Table1[[#This Row],[Revenue]]&gt;=10000000,"Moderate Spender",TRUE,"Low Spender")</f>
        <v>Moderate Spender</v>
      </c>
      <c r="AF358" s="4" t="str" cm="1">
        <f t="array" ref="AF358">_xlfn.IFS(Table1[[#This Row],[Land_Size_SQM]]&gt;=730,"LARGE",Table1[[#This Row],[Land_Size_SQM]]&gt;=465,"MEDIUM",TRUE,"SMALL")</f>
        <v>SMALL</v>
      </c>
    </row>
    <row r="359" spans="1:32" x14ac:dyDescent="0.3">
      <c r="A359" t="s">
        <v>383</v>
      </c>
      <c r="B359" t="s">
        <v>579</v>
      </c>
      <c r="C359" t="s">
        <v>626</v>
      </c>
      <c r="D359">
        <v>47</v>
      </c>
      <c r="E359" t="s">
        <v>628</v>
      </c>
      <c r="F359">
        <v>914</v>
      </c>
      <c r="G359" s="4">
        <v>40625</v>
      </c>
      <c r="H359" s="4">
        <v>37131250</v>
      </c>
      <c r="I359" t="s">
        <v>633</v>
      </c>
      <c r="J359" t="s">
        <v>668</v>
      </c>
      <c r="K359" t="s">
        <v>651</v>
      </c>
      <c r="L359" t="s">
        <v>682</v>
      </c>
      <c r="M359" t="s">
        <v>683</v>
      </c>
      <c r="N359" t="s">
        <v>691</v>
      </c>
      <c r="O359" t="s">
        <v>693</v>
      </c>
      <c r="P359" s="4">
        <v>37131250</v>
      </c>
      <c r="Q359">
        <v>0</v>
      </c>
      <c r="R359" s="7">
        <v>4.4000000000000004</v>
      </c>
      <c r="S359" s="8">
        <f>Table1[[#This Row],[Discount_%]]/100</f>
        <v>4.4000000000000004E-2</v>
      </c>
      <c r="T359" s="6" t="s">
        <v>885</v>
      </c>
      <c r="U359" t="s">
        <v>981</v>
      </c>
      <c r="V359">
        <v>2024</v>
      </c>
      <c r="W359" t="s">
        <v>993</v>
      </c>
      <c r="X359" t="s">
        <v>998</v>
      </c>
      <c r="Y359" t="s">
        <v>1000</v>
      </c>
      <c r="Z359">
        <v>4</v>
      </c>
      <c r="AA359">
        <v>8</v>
      </c>
      <c r="AB359" s="4">
        <f>Table1[[#This Row],[Total_Price]]*(1-Table1[[#This Row],[Discount 2]])</f>
        <v>35497475</v>
      </c>
      <c r="AC359" s="4" t="str" cm="1">
        <f t="array" ref="AC359">_xlfn.IFS(Table1[[#This Row],[Revenue]]&gt;=30000000,"High Value",Table1[[#This Row],[Revenue]]&gt;=10000000,"Moderate Value",TRUE,"Low Value")</f>
        <v>High Value</v>
      </c>
      <c r="AD359" t="str">
        <f>IF(Table1[[#This Row],[Discount 2]]&gt;=5%, "YES", "NO")</f>
        <v>NO</v>
      </c>
      <c r="AE359" t="str" cm="1">
        <f t="array" ref="AE359">_xlfn.IFS(Table1[[#This Row],[Revenue]]&gt;=30000000,"High Spender",Table1[[#This Row],[Revenue]]&gt;=10000000,"Moderate Spender",TRUE,"Low Spender")</f>
        <v>High Spender</v>
      </c>
      <c r="AF359" s="4" t="str" cm="1">
        <f t="array" ref="AF359">_xlfn.IFS(Table1[[#This Row],[Land_Size_SQM]]&gt;=730,"LARGE",Table1[[#This Row],[Land_Size_SQM]]&gt;=465,"MEDIUM",TRUE,"SMALL")</f>
        <v>LARGE</v>
      </c>
    </row>
    <row r="360" spans="1:32" x14ac:dyDescent="0.3">
      <c r="A360" t="s">
        <v>384</v>
      </c>
      <c r="B360" t="s">
        <v>551</v>
      </c>
      <c r="C360" t="s">
        <v>626</v>
      </c>
      <c r="D360">
        <v>63</v>
      </c>
      <c r="E360" t="s">
        <v>630</v>
      </c>
      <c r="F360">
        <v>980</v>
      </c>
      <c r="G360" s="4">
        <v>25674</v>
      </c>
      <c r="H360" s="4">
        <v>25160520</v>
      </c>
      <c r="I360" t="s">
        <v>640</v>
      </c>
      <c r="J360" t="s">
        <v>672</v>
      </c>
      <c r="K360" t="s">
        <v>678</v>
      </c>
      <c r="L360" t="s">
        <v>680</v>
      </c>
      <c r="M360" t="s">
        <v>686</v>
      </c>
      <c r="N360" t="s">
        <v>691</v>
      </c>
      <c r="O360" t="s">
        <v>694</v>
      </c>
      <c r="P360" s="4">
        <v>5652924</v>
      </c>
      <c r="Q360">
        <v>3</v>
      </c>
      <c r="R360" s="7">
        <v>4.9400000000000004</v>
      </c>
      <c r="S360" s="8">
        <f>Table1[[#This Row],[Discount_%]]/100</f>
        <v>4.9400000000000006E-2</v>
      </c>
      <c r="T360" s="6" t="s">
        <v>761</v>
      </c>
      <c r="U360" t="s">
        <v>991</v>
      </c>
      <c r="V360">
        <v>2024</v>
      </c>
      <c r="W360" t="s">
        <v>994</v>
      </c>
      <c r="X360" t="s">
        <v>998</v>
      </c>
      <c r="Y360" t="s">
        <v>1000</v>
      </c>
      <c r="Z360">
        <v>1</v>
      </c>
      <c r="AA360">
        <v>31</v>
      </c>
      <c r="AB360" s="4">
        <f>Table1[[#This Row],[Total_Price]]*(1-Table1[[#This Row],[Discount 2]])</f>
        <v>23917590.311999999</v>
      </c>
      <c r="AC360" s="4" t="str" cm="1">
        <f t="array" ref="AC360">_xlfn.IFS(Table1[[#This Row],[Revenue]]&gt;=30000000,"High Value",Table1[[#This Row],[Revenue]]&gt;=10000000,"Moderate Value",TRUE,"Low Value")</f>
        <v>Moderate Value</v>
      </c>
      <c r="AD360" t="str">
        <f>IF(Table1[[#This Row],[Discount 2]]&gt;=5%, "YES", "NO")</f>
        <v>NO</v>
      </c>
      <c r="AE360" t="str" cm="1">
        <f t="array" ref="AE360">_xlfn.IFS(Table1[[#This Row],[Revenue]]&gt;=30000000,"High Spender",Table1[[#This Row],[Revenue]]&gt;=10000000,"Moderate Spender",TRUE,"Low Spender")</f>
        <v>Moderate Spender</v>
      </c>
      <c r="AF360" s="4" t="str" cm="1">
        <f t="array" ref="AF360">_xlfn.IFS(Table1[[#This Row],[Land_Size_SQM]]&gt;=730,"LARGE",Table1[[#This Row],[Land_Size_SQM]]&gt;=465,"MEDIUM",TRUE,"SMALL")</f>
        <v>LARGE</v>
      </c>
    </row>
    <row r="361" spans="1:32" x14ac:dyDescent="0.3">
      <c r="A361" t="s">
        <v>385</v>
      </c>
      <c r="B361" t="s">
        <v>569</v>
      </c>
      <c r="C361" t="s">
        <v>627</v>
      </c>
      <c r="D361">
        <v>45</v>
      </c>
      <c r="E361" t="s">
        <v>630</v>
      </c>
      <c r="F361">
        <v>213</v>
      </c>
      <c r="G361" s="4">
        <v>46181</v>
      </c>
      <c r="H361" s="4">
        <v>9836553</v>
      </c>
      <c r="I361" t="s">
        <v>635</v>
      </c>
      <c r="J361" t="s">
        <v>668</v>
      </c>
      <c r="K361" t="s">
        <v>638</v>
      </c>
      <c r="L361" t="s">
        <v>682</v>
      </c>
      <c r="M361" t="s">
        <v>686</v>
      </c>
      <c r="N361" t="s">
        <v>689</v>
      </c>
      <c r="O361" t="s">
        <v>694</v>
      </c>
      <c r="P361" s="4">
        <v>3136984</v>
      </c>
      <c r="Q361">
        <v>3</v>
      </c>
      <c r="R361" s="7">
        <v>5.23</v>
      </c>
      <c r="S361" s="8">
        <f>Table1[[#This Row],[Discount_%]]/100</f>
        <v>5.2300000000000006E-2</v>
      </c>
      <c r="T361" s="6" t="s">
        <v>839</v>
      </c>
      <c r="U361" t="s">
        <v>984</v>
      </c>
      <c r="V361">
        <v>2024</v>
      </c>
      <c r="W361" t="s">
        <v>996</v>
      </c>
      <c r="X361" t="s">
        <v>999</v>
      </c>
      <c r="Y361" t="s">
        <v>1002</v>
      </c>
      <c r="Z361">
        <v>2</v>
      </c>
      <c r="AA361">
        <v>22</v>
      </c>
      <c r="AB361" s="4">
        <f>Table1[[#This Row],[Total_Price]]*(1-Table1[[#This Row],[Discount 2]])</f>
        <v>9322101.2781000007</v>
      </c>
      <c r="AC361" s="4" t="str" cm="1">
        <f t="array" ref="AC361">_xlfn.IFS(Table1[[#This Row],[Revenue]]&gt;=30000000,"High Value",Table1[[#This Row],[Revenue]]&gt;=10000000,"Moderate Value",TRUE,"Low Value")</f>
        <v>Low Value</v>
      </c>
      <c r="AD361" t="str">
        <f>IF(Table1[[#This Row],[Discount 2]]&gt;=5%, "YES", "NO")</f>
        <v>YES</v>
      </c>
      <c r="AE361" t="str" cm="1">
        <f t="array" ref="AE361">_xlfn.IFS(Table1[[#This Row],[Revenue]]&gt;=30000000,"High Spender",Table1[[#This Row],[Revenue]]&gt;=10000000,"Moderate Spender",TRUE,"Low Spender")</f>
        <v>Low Spender</v>
      </c>
      <c r="AF361" s="4" t="str" cm="1">
        <f t="array" ref="AF361">_xlfn.IFS(Table1[[#This Row],[Land_Size_SQM]]&gt;=730,"LARGE",Table1[[#This Row],[Land_Size_SQM]]&gt;=465,"MEDIUM",TRUE,"SMALL")</f>
        <v>SMALL</v>
      </c>
    </row>
    <row r="362" spans="1:32" x14ac:dyDescent="0.3">
      <c r="A362" t="s">
        <v>386</v>
      </c>
      <c r="B362" t="s">
        <v>622</v>
      </c>
      <c r="C362" t="s">
        <v>626</v>
      </c>
      <c r="D362">
        <v>42</v>
      </c>
      <c r="E362" t="s">
        <v>630</v>
      </c>
      <c r="F362">
        <v>325</v>
      </c>
      <c r="G362" s="4">
        <v>17261</v>
      </c>
      <c r="H362" s="4">
        <v>5609825</v>
      </c>
      <c r="I362" t="s">
        <v>656</v>
      </c>
      <c r="J362" t="s">
        <v>669</v>
      </c>
      <c r="K362" t="s">
        <v>640</v>
      </c>
      <c r="L362" t="s">
        <v>682</v>
      </c>
      <c r="M362" t="s">
        <v>686</v>
      </c>
      <c r="N362" t="s">
        <v>691</v>
      </c>
      <c r="O362" t="s">
        <v>694</v>
      </c>
      <c r="P362" s="4">
        <v>1590697</v>
      </c>
      <c r="Q362">
        <v>24</v>
      </c>
      <c r="R362" s="7">
        <v>7.13</v>
      </c>
      <c r="S362" s="8">
        <f>Table1[[#This Row],[Discount_%]]/100</f>
        <v>7.1300000000000002E-2</v>
      </c>
      <c r="T362" s="6" t="s">
        <v>775</v>
      </c>
      <c r="U362" t="s">
        <v>985</v>
      </c>
      <c r="V362">
        <v>2024</v>
      </c>
      <c r="W362" t="s">
        <v>995</v>
      </c>
      <c r="X362" t="s">
        <v>997</v>
      </c>
      <c r="Y362" t="s">
        <v>1002</v>
      </c>
      <c r="Z362">
        <v>2</v>
      </c>
      <c r="AA362">
        <v>50</v>
      </c>
      <c r="AB362" s="4">
        <f>Table1[[#This Row],[Total_Price]]*(1-Table1[[#This Row],[Discount 2]])</f>
        <v>5209844.4775</v>
      </c>
      <c r="AC362" s="4" t="str" cm="1">
        <f t="array" ref="AC362">_xlfn.IFS(Table1[[#This Row],[Revenue]]&gt;=30000000,"High Value",Table1[[#This Row],[Revenue]]&gt;=10000000,"Moderate Value",TRUE,"Low Value")</f>
        <v>Low Value</v>
      </c>
      <c r="AD362" t="str">
        <f>IF(Table1[[#This Row],[Discount 2]]&gt;=5%, "YES", "NO")</f>
        <v>YES</v>
      </c>
      <c r="AE362" t="str" cm="1">
        <f t="array" ref="AE362">_xlfn.IFS(Table1[[#This Row],[Revenue]]&gt;=30000000,"High Spender",Table1[[#This Row],[Revenue]]&gt;=10000000,"Moderate Spender",TRUE,"Low Spender")</f>
        <v>Low Spender</v>
      </c>
      <c r="AF362" s="4" t="str" cm="1">
        <f t="array" ref="AF362">_xlfn.IFS(Table1[[#This Row],[Land_Size_SQM]]&gt;=730,"LARGE",Table1[[#This Row],[Land_Size_SQM]]&gt;=465,"MEDIUM",TRUE,"SMALL")</f>
        <v>SMALL</v>
      </c>
    </row>
    <row r="363" spans="1:32" x14ac:dyDescent="0.3">
      <c r="A363" t="s">
        <v>387</v>
      </c>
      <c r="B363" t="s">
        <v>620</v>
      </c>
      <c r="C363" t="s">
        <v>626</v>
      </c>
      <c r="D363">
        <v>63</v>
      </c>
      <c r="E363" t="s">
        <v>628</v>
      </c>
      <c r="F363">
        <v>456</v>
      </c>
      <c r="G363" s="4">
        <v>34069</v>
      </c>
      <c r="H363" s="4">
        <v>15535464</v>
      </c>
      <c r="I363" t="s">
        <v>663</v>
      </c>
      <c r="J363" t="s">
        <v>670</v>
      </c>
      <c r="K363" t="s">
        <v>676</v>
      </c>
      <c r="L363" t="s">
        <v>680</v>
      </c>
      <c r="M363" t="s">
        <v>684</v>
      </c>
      <c r="N363" t="s">
        <v>692</v>
      </c>
      <c r="O363" t="s">
        <v>694</v>
      </c>
      <c r="P363" s="4">
        <v>6035703</v>
      </c>
      <c r="Q363">
        <v>6</v>
      </c>
      <c r="R363" s="7">
        <v>1.35</v>
      </c>
      <c r="S363" s="8">
        <f>Table1[[#This Row],[Discount_%]]/100</f>
        <v>1.3500000000000002E-2</v>
      </c>
      <c r="T363" s="6" t="s">
        <v>943</v>
      </c>
      <c r="U363" t="s">
        <v>981</v>
      </c>
      <c r="V363">
        <v>2024</v>
      </c>
      <c r="W363" t="s">
        <v>994</v>
      </c>
      <c r="X363" t="s">
        <v>999</v>
      </c>
      <c r="Y363" t="s">
        <v>1002</v>
      </c>
      <c r="Z363">
        <v>5</v>
      </c>
      <c r="AA363">
        <v>40</v>
      </c>
      <c r="AB363" s="4">
        <f>Table1[[#This Row],[Total_Price]]*(1-Table1[[#This Row],[Discount 2]])</f>
        <v>15325735.236000001</v>
      </c>
      <c r="AC363" s="4" t="str" cm="1">
        <f t="array" ref="AC363">_xlfn.IFS(Table1[[#This Row],[Revenue]]&gt;=30000000,"High Value",Table1[[#This Row],[Revenue]]&gt;=10000000,"Moderate Value",TRUE,"Low Value")</f>
        <v>Moderate Value</v>
      </c>
      <c r="AD363" t="str">
        <f>IF(Table1[[#This Row],[Discount 2]]&gt;=5%, "YES", "NO")</f>
        <v>NO</v>
      </c>
      <c r="AE363" t="str" cm="1">
        <f t="array" ref="AE363">_xlfn.IFS(Table1[[#This Row],[Revenue]]&gt;=30000000,"High Spender",Table1[[#This Row],[Revenue]]&gt;=10000000,"Moderate Spender",TRUE,"Low Spender")</f>
        <v>Moderate Spender</v>
      </c>
      <c r="AF363" s="4" t="str" cm="1">
        <f t="array" ref="AF363">_xlfn.IFS(Table1[[#This Row],[Land_Size_SQM]]&gt;=730,"LARGE",Table1[[#This Row],[Land_Size_SQM]]&gt;=465,"MEDIUM",TRUE,"SMALL")</f>
        <v>SMALL</v>
      </c>
    </row>
    <row r="364" spans="1:32" x14ac:dyDescent="0.3">
      <c r="A364" t="s">
        <v>388</v>
      </c>
      <c r="B364" t="s">
        <v>623</v>
      </c>
      <c r="C364" t="s">
        <v>626</v>
      </c>
      <c r="D364">
        <v>54</v>
      </c>
      <c r="E364" t="s">
        <v>629</v>
      </c>
      <c r="F364">
        <v>985</v>
      </c>
      <c r="G364" s="4">
        <v>34256</v>
      </c>
      <c r="H364" s="4">
        <v>33742160</v>
      </c>
      <c r="I364" t="s">
        <v>664</v>
      </c>
      <c r="J364" t="s">
        <v>673</v>
      </c>
      <c r="K364" t="s">
        <v>675</v>
      </c>
      <c r="L364" t="s">
        <v>680</v>
      </c>
      <c r="M364" t="s">
        <v>685</v>
      </c>
      <c r="N364" t="s">
        <v>691</v>
      </c>
      <c r="O364" t="s">
        <v>694</v>
      </c>
      <c r="P364" s="4">
        <v>9720066</v>
      </c>
      <c r="Q364">
        <v>6</v>
      </c>
      <c r="R364" s="7">
        <v>4.9800000000000004</v>
      </c>
      <c r="S364" s="8">
        <f>Table1[[#This Row],[Discount_%]]/100</f>
        <v>4.9800000000000004E-2</v>
      </c>
      <c r="T364" s="6" t="s">
        <v>857</v>
      </c>
      <c r="U364" t="s">
        <v>986</v>
      </c>
      <c r="V364">
        <v>2024</v>
      </c>
      <c r="W364" t="s">
        <v>993</v>
      </c>
      <c r="X364" t="s">
        <v>998</v>
      </c>
      <c r="Y364" t="s">
        <v>1002</v>
      </c>
      <c r="Z364">
        <v>3</v>
      </c>
      <c r="AA364">
        <v>25</v>
      </c>
      <c r="AB364" s="4">
        <f>Table1[[#This Row],[Total_Price]]*(1-Table1[[#This Row],[Discount 2]])</f>
        <v>32061800.432</v>
      </c>
      <c r="AC364" s="4" t="str" cm="1">
        <f t="array" ref="AC364">_xlfn.IFS(Table1[[#This Row],[Revenue]]&gt;=30000000,"High Value",Table1[[#This Row],[Revenue]]&gt;=10000000,"Moderate Value",TRUE,"Low Value")</f>
        <v>High Value</v>
      </c>
      <c r="AD364" t="str">
        <f>IF(Table1[[#This Row],[Discount 2]]&gt;=5%, "YES", "NO")</f>
        <v>NO</v>
      </c>
      <c r="AE364" t="str" cm="1">
        <f t="array" ref="AE364">_xlfn.IFS(Table1[[#This Row],[Revenue]]&gt;=30000000,"High Spender",Table1[[#This Row],[Revenue]]&gt;=10000000,"Moderate Spender",TRUE,"Low Spender")</f>
        <v>High Spender</v>
      </c>
      <c r="AF364" s="4" t="str" cm="1">
        <f t="array" ref="AF364">_xlfn.IFS(Table1[[#This Row],[Land_Size_SQM]]&gt;=730,"LARGE",Table1[[#This Row],[Land_Size_SQM]]&gt;=465,"MEDIUM",TRUE,"SMALL")</f>
        <v>LARGE</v>
      </c>
    </row>
    <row r="365" spans="1:32" x14ac:dyDescent="0.3">
      <c r="A365" t="s">
        <v>389</v>
      </c>
      <c r="B365" t="s">
        <v>531</v>
      </c>
      <c r="C365" t="s">
        <v>626</v>
      </c>
      <c r="D365">
        <v>62</v>
      </c>
      <c r="E365" t="s">
        <v>629</v>
      </c>
      <c r="F365">
        <v>233</v>
      </c>
      <c r="G365" s="4">
        <v>13591</v>
      </c>
      <c r="H365" s="4">
        <v>3166703</v>
      </c>
      <c r="I365" t="s">
        <v>666</v>
      </c>
      <c r="J365" t="s">
        <v>670</v>
      </c>
      <c r="K365" t="s">
        <v>664</v>
      </c>
      <c r="L365" t="s">
        <v>682</v>
      </c>
      <c r="M365" t="s">
        <v>686</v>
      </c>
      <c r="N365" t="s">
        <v>692</v>
      </c>
      <c r="O365" t="s">
        <v>694</v>
      </c>
      <c r="P365" s="4">
        <v>1100252</v>
      </c>
      <c r="Q365">
        <v>6</v>
      </c>
      <c r="R365" s="7">
        <v>1.34</v>
      </c>
      <c r="S365" s="8">
        <f>Table1[[#This Row],[Discount_%]]/100</f>
        <v>1.34E-2</v>
      </c>
      <c r="T365" s="6" t="s">
        <v>721</v>
      </c>
      <c r="U365" t="s">
        <v>991</v>
      </c>
      <c r="V365">
        <v>2024</v>
      </c>
      <c r="W365" t="s">
        <v>995</v>
      </c>
      <c r="X365" t="s">
        <v>998</v>
      </c>
      <c r="Y365" t="s">
        <v>1001</v>
      </c>
      <c r="Z365">
        <v>2</v>
      </c>
      <c r="AA365">
        <v>33</v>
      </c>
      <c r="AB365" s="4">
        <f>Table1[[#This Row],[Total_Price]]*(1-Table1[[#This Row],[Discount 2]])</f>
        <v>3124269.1798</v>
      </c>
      <c r="AC365" s="4" t="str" cm="1">
        <f t="array" ref="AC365">_xlfn.IFS(Table1[[#This Row],[Revenue]]&gt;=30000000,"High Value",Table1[[#This Row],[Revenue]]&gt;=10000000,"Moderate Value",TRUE,"Low Value")</f>
        <v>Low Value</v>
      </c>
      <c r="AD365" t="str">
        <f>IF(Table1[[#This Row],[Discount 2]]&gt;=5%, "YES", "NO")</f>
        <v>NO</v>
      </c>
      <c r="AE365" t="str" cm="1">
        <f t="array" ref="AE365">_xlfn.IFS(Table1[[#This Row],[Revenue]]&gt;=30000000,"High Spender",Table1[[#This Row],[Revenue]]&gt;=10000000,"Moderate Spender",TRUE,"Low Spender")</f>
        <v>Low Spender</v>
      </c>
      <c r="AF365" s="4" t="str" cm="1">
        <f t="array" ref="AF365">_xlfn.IFS(Table1[[#This Row],[Land_Size_SQM]]&gt;=730,"LARGE",Table1[[#This Row],[Land_Size_SQM]]&gt;=465,"MEDIUM",TRUE,"SMALL")</f>
        <v>SMALL</v>
      </c>
    </row>
    <row r="366" spans="1:32" x14ac:dyDescent="0.3">
      <c r="A366" t="s">
        <v>390</v>
      </c>
      <c r="B366" t="s">
        <v>582</v>
      </c>
      <c r="C366" t="s">
        <v>627</v>
      </c>
      <c r="D366">
        <v>28</v>
      </c>
      <c r="E366" t="s">
        <v>630</v>
      </c>
      <c r="F366">
        <v>706</v>
      </c>
      <c r="G366" s="4">
        <v>40734</v>
      </c>
      <c r="H366" s="4">
        <v>28758204</v>
      </c>
      <c r="I366" t="s">
        <v>661</v>
      </c>
      <c r="J366" t="s">
        <v>673</v>
      </c>
      <c r="K366" t="s">
        <v>677</v>
      </c>
      <c r="L366" t="s">
        <v>681</v>
      </c>
      <c r="M366" t="s">
        <v>686</v>
      </c>
      <c r="N366" t="s">
        <v>689</v>
      </c>
      <c r="O366" t="s">
        <v>694</v>
      </c>
      <c r="P366" s="4">
        <v>12364338</v>
      </c>
      <c r="Q366">
        <v>12</v>
      </c>
      <c r="R366" s="7">
        <v>2.84</v>
      </c>
      <c r="S366" s="8">
        <f>Table1[[#This Row],[Discount_%]]/100</f>
        <v>2.8399999999999998E-2</v>
      </c>
      <c r="T366" s="6" t="s">
        <v>944</v>
      </c>
      <c r="U366" t="s">
        <v>981</v>
      </c>
      <c r="V366">
        <v>2024</v>
      </c>
      <c r="W366" t="s">
        <v>994</v>
      </c>
      <c r="X366" t="s">
        <v>998</v>
      </c>
      <c r="Y366" t="s">
        <v>1000</v>
      </c>
      <c r="Z366">
        <v>4</v>
      </c>
      <c r="AA366">
        <v>23</v>
      </c>
      <c r="AB366" s="4">
        <f>Table1[[#This Row],[Total_Price]]*(1-Table1[[#This Row],[Discount 2]])</f>
        <v>27941471.0064</v>
      </c>
      <c r="AC366" s="4" t="str" cm="1">
        <f t="array" ref="AC366">_xlfn.IFS(Table1[[#This Row],[Revenue]]&gt;=30000000,"High Value",Table1[[#This Row],[Revenue]]&gt;=10000000,"Moderate Value",TRUE,"Low Value")</f>
        <v>Moderate Value</v>
      </c>
      <c r="AD366" t="str">
        <f>IF(Table1[[#This Row],[Discount 2]]&gt;=5%, "YES", "NO")</f>
        <v>NO</v>
      </c>
      <c r="AE366" t="str" cm="1">
        <f t="array" ref="AE366">_xlfn.IFS(Table1[[#This Row],[Revenue]]&gt;=30000000,"High Spender",Table1[[#This Row],[Revenue]]&gt;=10000000,"Moderate Spender",TRUE,"Low Spender")</f>
        <v>Moderate Spender</v>
      </c>
      <c r="AF366" s="4" t="str" cm="1">
        <f t="array" ref="AF366">_xlfn.IFS(Table1[[#This Row],[Land_Size_SQM]]&gt;=730,"LARGE",Table1[[#This Row],[Land_Size_SQM]]&gt;=465,"MEDIUM",TRUE,"SMALL")</f>
        <v>MEDIUM</v>
      </c>
    </row>
    <row r="367" spans="1:32" x14ac:dyDescent="0.3">
      <c r="A367" t="s">
        <v>391</v>
      </c>
      <c r="B367" t="s">
        <v>566</v>
      </c>
      <c r="C367" t="s">
        <v>627</v>
      </c>
      <c r="D367">
        <v>64</v>
      </c>
      <c r="E367" t="s">
        <v>628</v>
      </c>
      <c r="F367">
        <v>257</v>
      </c>
      <c r="G367" s="4">
        <v>45335</v>
      </c>
      <c r="H367" s="4">
        <v>11651095</v>
      </c>
      <c r="I367" t="s">
        <v>639</v>
      </c>
      <c r="J367" t="s">
        <v>671</v>
      </c>
      <c r="K367" t="s">
        <v>651</v>
      </c>
      <c r="L367" t="s">
        <v>681</v>
      </c>
      <c r="M367" t="s">
        <v>685</v>
      </c>
      <c r="N367" t="s">
        <v>690</v>
      </c>
      <c r="O367" t="s">
        <v>693</v>
      </c>
      <c r="P367" s="4">
        <v>11651095</v>
      </c>
      <c r="Q367">
        <v>0</v>
      </c>
      <c r="R367" s="7">
        <v>2.48</v>
      </c>
      <c r="S367" s="8">
        <f>Table1[[#This Row],[Discount_%]]/100</f>
        <v>2.4799999999999999E-2</v>
      </c>
      <c r="T367" s="6" t="s">
        <v>855</v>
      </c>
      <c r="U367" t="s">
        <v>983</v>
      </c>
      <c r="V367">
        <v>2024</v>
      </c>
      <c r="W367" t="s">
        <v>996</v>
      </c>
      <c r="X367" t="s">
        <v>999</v>
      </c>
      <c r="Y367" t="s">
        <v>1001</v>
      </c>
      <c r="Z367">
        <v>3</v>
      </c>
      <c r="AA367">
        <v>3</v>
      </c>
      <c r="AB367" s="4">
        <f>Table1[[#This Row],[Total_Price]]*(1-Table1[[#This Row],[Discount 2]])</f>
        <v>11362147.843999999</v>
      </c>
      <c r="AC367" s="4" t="str" cm="1">
        <f t="array" ref="AC367">_xlfn.IFS(Table1[[#This Row],[Revenue]]&gt;=30000000,"High Value",Table1[[#This Row],[Revenue]]&gt;=10000000,"Moderate Value",TRUE,"Low Value")</f>
        <v>Moderate Value</v>
      </c>
      <c r="AD367" t="str">
        <f>IF(Table1[[#This Row],[Discount 2]]&gt;=5%, "YES", "NO")</f>
        <v>NO</v>
      </c>
      <c r="AE367" t="str" cm="1">
        <f t="array" ref="AE367">_xlfn.IFS(Table1[[#This Row],[Revenue]]&gt;=30000000,"High Spender",Table1[[#This Row],[Revenue]]&gt;=10000000,"Moderate Spender",TRUE,"Low Spender")</f>
        <v>Moderate Spender</v>
      </c>
      <c r="AF367" s="4" t="str" cm="1">
        <f t="array" ref="AF367">_xlfn.IFS(Table1[[#This Row],[Land_Size_SQM]]&gt;=730,"LARGE",Table1[[#This Row],[Land_Size_SQM]]&gt;=465,"MEDIUM",TRUE,"SMALL")</f>
        <v>SMALL</v>
      </c>
    </row>
    <row r="368" spans="1:32" x14ac:dyDescent="0.3">
      <c r="A368" t="s">
        <v>392</v>
      </c>
      <c r="B368" t="s">
        <v>618</v>
      </c>
      <c r="C368" t="s">
        <v>626</v>
      </c>
      <c r="D368">
        <v>40</v>
      </c>
      <c r="E368" t="s">
        <v>629</v>
      </c>
      <c r="F368">
        <v>781</v>
      </c>
      <c r="G368" s="4">
        <v>35735</v>
      </c>
      <c r="H368" s="4">
        <v>27909035</v>
      </c>
      <c r="I368" t="s">
        <v>634</v>
      </c>
      <c r="J368" t="s">
        <v>670</v>
      </c>
      <c r="K368" t="s">
        <v>640</v>
      </c>
      <c r="L368" t="s">
        <v>680</v>
      </c>
      <c r="M368" t="s">
        <v>684</v>
      </c>
      <c r="N368" t="s">
        <v>689</v>
      </c>
      <c r="O368" t="s">
        <v>694</v>
      </c>
      <c r="P368" s="4">
        <v>5752629</v>
      </c>
      <c r="Q368">
        <v>12</v>
      </c>
      <c r="R368" s="7">
        <v>4.7</v>
      </c>
      <c r="S368" s="8">
        <f>Table1[[#This Row],[Discount_%]]/100</f>
        <v>4.7E-2</v>
      </c>
      <c r="T368" s="6" t="s">
        <v>945</v>
      </c>
      <c r="U368" t="s">
        <v>988</v>
      </c>
      <c r="V368">
        <v>2024</v>
      </c>
      <c r="W368" t="s">
        <v>996</v>
      </c>
      <c r="X368" t="s">
        <v>998</v>
      </c>
      <c r="Y368" t="s">
        <v>1002</v>
      </c>
      <c r="Z368">
        <v>5</v>
      </c>
      <c r="AA368">
        <v>49</v>
      </c>
      <c r="AB368" s="4">
        <f>Table1[[#This Row],[Total_Price]]*(1-Table1[[#This Row],[Discount 2]])</f>
        <v>26597310.355</v>
      </c>
      <c r="AC368" s="4" t="str" cm="1">
        <f t="array" ref="AC368">_xlfn.IFS(Table1[[#This Row],[Revenue]]&gt;=30000000,"High Value",Table1[[#This Row],[Revenue]]&gt;=10000000,"Moderate Value",TRUE,"Low Value")</f>
        <v>Moderate Value</v>
      </c>
      <c r="AD368" t="str">
        <f>IF(Table1[[#This Row],[Discount 2]]&gt;=5%, "YES", "NO")</f>
        <v>NO</v>
      </c>
      <c r="AE368" t="str" cm="1">
        <f t="array" ref="AE368">_xlfn.IFS(Table1[[#This Row],[Revenue]]&gt;=30000000,"High Spender",Table1[[#This Row],[Revenue]]&gt;=10000000,"Moderate Spender",TRUE,"Low Spender")</f>
        <v>Moderate Spender</v>
      </c>
      <c r="AF368" s="4" t="str" cm="1">
        <f t="array" ref="AF368">_xlfn.IFS(Table1[[#This Row],[Land_Size_SQM]]&gt;=730,"LARGE",Table1[[#This Row],[Land_Size_SQM]]&gt;=465,"MEDIUM",TRUE,"SMALL")</f>
        <v>LARGE</v>
      </c>
    </row>
    <row r="369" spans="1:32" x14ac:dyDescent="0.3">
      <c r="A369" t="s">
        <v>393</v>
      </c>
      <c r="B369" t="s">
        <v>570</v>
      </c>
      <c r="C369" t="s">
        <v>626</v>
      </c>
      <c r="D369">
        <v>36</v>
      </c>
      <c r="E369" t="s">
        <v>628</v>
      </c>
      <c r="F369">
        <v>829</v>
      </c>
      <c r="G369" s="4">
        <v>21629</v>
      </c>
      <c r="H369" s="4">
        <v>17930441</v>
      </c>
      <c r="I369" t="s">
        <v>635</v>
      </c>
      <c r="J369" t="s">
        <v>668</v>
      </c>
      <c r="K369" t="s">
        <v>638</v>
      </c>
      <c r="L369" t="s">
        <v>681</v>
      </c>
      <c r="M369" t="s">
        <v>686</v>
      </c>
      <c r="N369" t="s">
        <v>691</v>
      </c>
      <c r="O369" t="s">
        <v>694</v>
      </c>
      <c r="P369" s="4">
        <v>4671375</v>
      </c>
      <c r="Q369">
        <v>24</v>
      </c>
      <c r="R369" s="7">
        <v>6.35</v>
      </c>
      <c r="S369" s="8">
        <f>Table1[[#This Row],[Discount_%]]/100</f>
        <v>6.3500000000000001E-2</v>
      </c>
      <c r="T369" s="6" t="s">
        <v>724</v>
      </c>
      <c r="U369" t="s">
        <v>981</v>
      </c>
      <c r="V369">
        <v>2024</v>
      </c>
      <c r="W369" t="s">
        <v>996</v>
      </c>
      <c r="X369" t="s">
        <v>997</v>
      </c>
      <c r="Y369" t="s">
        <v>1001</v>
      </c>
      <c r="Z369">
        <v>1</v>
      </c>
      <c r="AA369">
        <v>46</v>
      </c>
      <c r="AB369" s="4">
        <f>Table1[[#This Row],[Total_Price]]*(1-Table1[[#This Row],[Discount 2]])</f>
        <v>16791857.9965</v>
      </c>
      <c r="AC369" s="4" t="str" cm="1">
        <f t="array" ref="AC369">_xlfn.IFS(Table1[[#This Row],[Revenue]]&gt;=30000000,"High Value",Table1[[#This Row],[Revenue]]&gt;=10000000,"Moderate Value",TRUE,"Low Value")</f>
        <v>Moderate Value</v>
      </c>
      <c r="AD369" t="str">
        <f>IF(Table1[[#This Row],[Discount 2]]&gt;=5%, "YES", "NO")</f>
        <v>YES</v>
      </c>
      <c r="AE369" t="str" cm="1">
        <f t="array" ref="AE369">_xlfn.IFS(Table1[[#This Row],[Revenue]]&gt;=30000000,"High Spender",Table1[[#This Row],[Revenue]]&gt;=10000000,"Moderate Spender",TRUE,"Low Spender")</f>
        <v>Moderate Spender</v>
      </c>
      <c r="AF369" s="4" t="str" cm="1">
        <f t="array" ref="AF369">_xlfn.IFS(Table1[[#This Row],[Land_Size_SQM]]&gt;=730,"LARGE",Table1[[#This Row],[Land_Size_SQM]]&gt;=465,"MEDIUM",TRUE,"SMALL")</f>
        <v>LARGE</v>
      </c>
    </row>
    <row r="370" spans="1:32" x14ac:dyDescent="0.3">
      <c r="A370" t="s">
        <v>394</v>
      </c>
      <c r="B370" t="s">
        <v>545</v>
      </c>
      <c r="C370" t="s">
        <v>627</v>
      </c>
      <c r="D370">
        <v>42</v>
      </c>
      <c r="E370" t="s">
        <v>628</v>
      </c>
      <c r="F370">
        <v>544</v>
      </c>
      <c r="G370" s="4">
        <v>19915</v>
      </c>
      <c r="H370" s="4">
        <v>10833760</v>
      </c>
      <c r="I370" t="s">
        <v>638</v>
      </c>
      <c r="J370" t="s">
        <v>672</v>
      </c>
      <c r="K370" t="s">
        <v>674</v>
      </c>
      <c r="L370" t="s">
        <v>682</v>
      </c>
      <c r="M370" t="s">
        <v>687</v>
      </c>
      <c r="N370" t="s">
        <v>692</v>
      </c>
      <c r="O370" t="s">
        <v>693</v>
      </c>
      <c r="P370" s="4">
        <v>10833760</v>
      </c>
      <c r="Q370">
        <v>0</v>
      </c>
      <c r="R370" s="7">
        <v>5.66</v>
      </c>
      <c r="S370" s="8">
        <f>Table1[[#This Row],[Discount_%]]/100</f>
        <v>5.6600000000000004E-2</v>
      </c>
      <c r="T370" s="6" t="s">
        <v>868</v>
      </c>
      <c r="U370" t="s">
        <v>986</v>
      </c>
      <c r="V370">
        <v>2024</v>
      </c>
      <c r="W370" t="s">
        <v>994</v>
      </c>
      <c r="X370" t="s">
        <v>998</v>
      </c>
      <c r="Y370" t="s">
        <v>1001</v>
      </c>
      <c r="Z370">
        <v>5</v>
      </c>
      <c r="AA370">
        <v>21</v>
      </c>
      <c r="AB370" s="4">
        <f>Table1[[#This Row],[Total_Price]]*(1-Table1[[#This Row],[Discount 2]])</f>
        <v>10220569.184</v>
      </c>
      <c r="AC370" s="4" t="str" cm="1">
        <f t="array" ref="AC370">_xlfn.IFS(Table1[[#This Row],[Revenue]]&gt;=30000000,"High Value",Table1[[#This Row],[Revenue]]&gt;=10000000,"Moderate Value",TRUE,"Low Value")</f>
        <v>Moderate Value</v>
      </c>
      <c r="AD370" t="str">
        <f>IF(Table1[[#This Row],[Discount 2]]&gt;=5%, "YES", "NO")</f>
        <v>YES</v>
      </c>
      <c r="AE370" t="str" cm="1">
        <f t="array" ref="AE370">_xlfn.IFS(Table1[[#This Row],[Revenue]]&gt;=30000000,"High Spender",Table1[[#This Row],[Revenue]]&gt;=10000000,"Moderate Spender",TRUE,"Low Spender")</f>
        <v>Moderate Spender</v>
      </c>
      <c r="AF370" s="4" t="str" cm="1">
        <f t="array" ref="AF370">_xlfn.IFS(Table1[[#This Row],[Land_Size_SQM]]&gt;=730,"LARGE",Table1[[#This Row],[Land_Size_SQM]]&gt;=465,"MEDIUM",TRUE,"SMALL")</f>
        <v>MEDIUM</v>
      </c>
    </row>
    <row r="371" spans="1:32" x14ac:dyDescent="0.3">
      <c r="A371" t="s">
        <v>395</v>
      </c>
      <c r="B371" t="s">
        <v>543</v>
      </c>
      <c r="C371" t="s">
        <v>626</v>
      </c>
      <c r="D371">
        <v>33</v>
      </c>
      <c r="E371" t="s">
        <v>629</v>
      </c>
      <c r="F371">
        <v>457</v>
      </c>
      <c r="G371" s="4">
        <v>42957</v>
      </c>
      <c r="H371" s="4">
        <v>19631349</v>
      </c>
      <c r="I371" t="s">
        <v>632</v>
      </c>
      <c r="J371" t="s">
        <v>669</v>
      </c>
      <c r="K371" t="s">
        <v>640</v>
      </c>
      <c r="L371" t="s">
        <v>682</v>
      </c>
      <c r="M371" t="s">
        <v>684</v>
      </c>
      <c r="N371" t="s">
        <v>690</v>
      </c>
      <c r="O371" t="s">
        <v>694</v>
      </c>
      <c r="P371" s="4">
        <v>9114226</v>
      </c>
      <c r="Q371">
        <v>6</v>
      </c>
      <c r="R371" s="7">
        <v>6.28</v>
      </c>
      <c r="S371" s="8">
        <f>Table1[[#This Row],[Discount_%]]/100</f>
        <v>6.2800000000000009E-2</v>
      </c>
      <c r="T371" s="6" t="s">
        <v>905</v>
      </c>
      <c r="U371" t="s">
        <v>986</v>
      </c>
      <c r="V371">
        <v>2024</v>
      </c>
      <c r="W371" t="s">
        <v>995</v>
      </c>
      <c r="X371" t="s">
        <v>997</v>
      </c>
      <c r="Y371" t="s">
        <v>1001</v>
      </c>
      <c r="Z371">
        <v>1</v>
      </c>
      <c r="AA371">
        <v>34</v>
      </c>
      <c r="AB371" s="4">
        <f>Table1[[#This Row],[Total_Price]]*(1-Table1[[#This Row],[Discount 2]])</f>
        <v>18398500.2828</v>
      </c>
      <c r="AC371" s="4" t="str" cm="1">
        <f t="array" ref="AC371">_xlfn.IFS(Table1[[#This Row],[Revenue]]&gt;=30000000,"High Value",Table1[[#This Row],[Revenue]]&gt;=10000000,"Moderate Value",TRUE,"Low Value")</f>
        <v>Moderate Value</v>
      </c>
      <c r="AD371" t="str">
        <f>IF(Table1[[#This Row],[Discount 2]]&gt;=5%, "YES", "NO")</f>
        <v>YES</v>
      </c>
      <c r="AE371" t="str" cm="1">
        <f t="array" ref="AE371">_xlfn.IFS(Table1[[#This Row],[Revenue]]&gt;=30000000,"High Spender",Table1[[#This Row],[Revenue]]&gt;=10000000,"Moderate Spender",TRUE,"Low Spender")</f>
        <v>Moderate Spender</v>
      </c>
      <c r="AF371" s="4" t="str" cm="1">
        <f t="array" ref="AF371">_xlfn.IFS(Table1[[#This Row],[Land_Size_SQM]]&gt;=730,"LARGE",Table1[[#This Row],[Land_Size_SQM]]&gt;=465,"MEDIUM",TRUE,"SMALL")</f>
        <v>SMALL</v>
      </c>
    </row>
    <row r="372" spans="1:32" x14ac:dyDescent="0.3">
      <c r="A372" t="s">
        <v>396</v>
      </c>
      <c r="B372" t="s">
        <v>617</v>
      </c>
      <c r="C372" t="s">
        <v>626</v>
      </c>
      <c r="D372">
        <v>24</v>
      </c>
      <c r="E372" t="s">
        <v>629</v>
      </c>
      <c r="F372">
        <v>351</v>
      </c>
      <c r="G372" s="4">
        <v>17753</v>
      </c>
      <c r="H372" s="4">
        <v>6231303</v>
      </c>
      <c r="I372" t="s">
        <v>651</v>
      </c>
      <c r="J372" t="s">
        <v>669</v>
      </c>
      <c r="K372" t="s">
        <v>678</v>
      </c>
      <c r="L372" t="s">
        <v>680</v>
      </c>
      <c r="M372" t="s">
        <v>684</v>
      </c>
      <c r="N372" t="s">
        <v>690</v>
      </c>
      <c r="O372" t="s">
        <v>693</v>
      </c>
      <c r="P372" s="4">
        <v>6231303</v>
      </c>
      <c r="Q372">
        <v>0</v>
      </c>
      <c r="R372" s="7">
        <v>7.46</v>
      </c>
      <c r="S372" s="8">
        <f>Table1[[#This Row],[Discount_%]]/100</f>
        <v>7.46E-2</v>
      </c>
      <c r="T372" s="6" t="s">
        <v>946</v>
      </c>
      <c r="U372" t="s">
        <v>982</v>
      </c>
      <c r="V372">
        <v>2024</v>
      </c>
      <c r="W372" t="s">
        <v>994</v>
      </c>
      <c r="X372" t="s">
        <v>997</v>
      </c>
      <c r="Y372" t="s">
        <v>1000</v>
      </c>
      <c r="Z372">
        <v>3</v>
      </c>
      <c r="AA372">
        <v>44</v>
      </c>
      <c r="AB372" s="4">
        <f>Table1[[#This Row],[Total_Price]]*(1-Table1[[#This Row],[Discount 2]])</f>
        <v>5766447.7961999997</v>
      </c>
      <c r="AC372" s="4" t="str" cm="1">
        <f t="array" ref="AC372">_xlfn.IFS(Table1[[#This Row],[Revenue]]&gt;=30000000,"High Value",Table1[[#This Row],[Revenue]]&gt;=10000000,"Moderate Value",TRUE,"Low Value")</f>
        <v>Low Value</v>
      </c>
      <c r="AD372" t="str">
        <f>IF(Table1[[#This Row],[Discount 2]]&gt;=5%, "YES", "NO")</f>
        <v>YES</v>
      </c>
      <c r="AE372" t="str" cm="1">
        <f t="array" ref="AE372">_xlfn.IFS(Table1[[#This Row],[Revenue]]&gt;=30000000,"High Spender",Table1[[#This Row],[Revenue]]&gt;=10000000,"Moderate Spender",TRUE,"Low Spender")</f>
        <v>Low Spender</v>
      </c>
      <c r="AF372" s="4" t="str" cm="1">
        <f t="array" ref="AF372">_xlfn.IFS(Table1[[#This Row],[Land_Size_SQM]]&gt;=730,"LARGE",Table1[[#This Row],[Land_Size_SQM]]&gt;=465,"MEDIUM",TRUE,"SMALL")</f>
        <v>SMALL</v>
      </c>
    </row>
    <row r="373" spans="1:32" x14ac:dyDescent="0.3">
      <c r="A373" t="s">
        <v>397</v>
      </c>
      <c r="B373" t="s">
        <v>551</v>
      </c>
      <c r="C373" t="s">
        <v>626</v>
      </c>
      <c r="D373">
        <v>55</v>
      </c>
      <c r="E373" t="s">
        <v>630</v>
      </c>
      <c r="F373">
        <v>444</v>
      </c>
      <c r="G373" s="4">
        <v>9442</v>
      </c>
      <c r="H373" s="4">
        <v>4192248</v>
      </c>
      <c r="I373" t="s">
        <v>640</v>
      </c>
      <c r="J373" t="s">
        <v>672</v>
      </c>
      <c r="K373" t="s">
        <v>640</v>
      </c>
      <c r="L373" t="s">
        <v>681</v>
      </c>
      <c r="M373" t="s">
        <v>685</v>
      </c>
      <c r="N373" t="s">
        <v>688</v>
      </c>
      <c r="O373" t="s">
        <v>693</v>
      </c>
      <c r="P373" s="4">
        <v>4192248</v>
      </c>
      <c r="Q373">
        <v>0</v>
      </c>
      <c r="R373" s="7">
        <v>1.92</v>
      </c>
      <c r="S373" s="8">
        <f>Table1[[#This Row],[Discount_%]]/100</f>
        <v>1.9199999999999998E-2</v>
      </c>
      <c r="T373" s="6" t="s">
        <v>947</v>
      </c>
      <c r="U373" t="s">
        <v>992</v>
      </c>
      <c r="V373">
        <v>2024</v>
      </c>
      <c r="W373" t="s">
        <v>996</v>
      </c>
      <c r="X373" t="s">
        <v>998</v>
      </c>
      <c r="Y373" t="s">
        <v>1000</v>
      </c>
      <c r="Z373">
        <v>1</v>
      </c>
      <c r="AA373">
        <v>17</v>
      </c>
      <c r="AB373" s="4">
        <f>Table1[[#This Row],[Total_Price]]*(1-Table1[[#This Row],[Discount 2]])</f>
        <v>4111756.8384000002</v>
      </c>
      <c r="AC373" s="4" t="str" cm="1">
        <f t="array" ref="AC373">_xlfn.IFS(Table1[[#This Row],[Revenue]]&gt;=30000000,"High Value",Table1[[#This Row],[Revenue]]&gt;=10000000,"Moderate Value",TRUE,"Low Value")</f>
        <v>Low Value</v>
      </c>
      <c r="AD373" t="str">
        <f>IF(Table1[[#This Row],[Discount 2]]&gt;=5%, "YES", "NO")</f>
        <v>NO</v>
      </c>
      <c r="AE373" t="str" cm="1">
        <f t="array" ref="AE373">_xlfn.IFS(Table1[[#This Row],[Revenue]]&gt;=30000000,"High Spender",Table1[[#This Row],[Revenue]]&gt;=10000000,"Moderate Spender",TRUE,"Low Spender")</f>
        <v>Low Spender</v>
      </c>
      <c r="AF373" s="4" t="str" cm="1">
        <f t="array" ref="AF373">_xlfn.IFS(Table1[[#This Row],[Land_Size_SQM]]&gt;=730,"LARGE",Table1[[#This Row],[Land_Size_SQM]]&gt;=465,"MEDIUM",TRUE,"SMALL")</f>
        <v>SMALL</v>
      </c>
    </row>
    <row r="374" spans="1:32" x14ac:dyDescent="0.3">
      <c r="A374" t="s">
        <v>398</v>
      </c>
      <c r="B374" t="s">
        <v>610</v>
      </c>
      <c r="C374" t="s">
        <v>627</v>
      </c>
      <c r="D374">
        <v>40</v>
      </c>
      <c r="E374" t="s">
        <v>629</v>
      </c>
      <c r="F374">
        <v>380</v>
      </c>
      <c r="G374" s="4">
        <v>44224</v>
      </c>
      <c r="H374" s="4">
        <v>16805120</v>
      </c>
      <c r="I374" t="s">
        <v>636</v>
      </c>
      <c r="J374" t="s">
        <v>671</v>
      </c>
      <c r="K374" t="s">
        <v>675</v>
      </c>
      <c r="L374" t="s">
        <v>681</v>
      </c>
      <c r="M374" t="s">
        <v>685</v>
      </c>
      <c r="N374" t="s">
        <v>691</v>
      </c>
      <c r="O374" t="s">
        <v>693</v>
      </c>
      <c r="P374" s="4">
        <v>16805120</v>
      </c>
      <c r="Q374">
        <v>0</v>
      </c>
      <c r="R374" s="7">
        <v>9.64</v>
      </c>
      <c r="S374" s="8">
        <f>Table1[[#This Row],[Discount_%]]/100</f>
        <v>9.64E-2</v>
      </c>
      <c r="T374" s="6" t="s">
        <v>931</v>
      </c>
      <c r="U374" t="s">
        <v>986</v>
      </c>
      <c r="V374">
        <v>2024</v>
      </c>
      <c r="W374" t="s">
        <v>994</v>
      </c>
      <c r="X374" t="s">
        <v>997</v>
      </c>
      <c r="Y374" t="s">
        <v>1001</v>
      </c>
      <c r="Z374">
        <v>1</v>
      </c>
      <c r="AA374">
        <v>26</v>
      </c>
      <c r="AB374" s="4">
        <f>Table1[[#This Row],[Total_Price]]*(1-Table1[[#This Row],[Discount 2]])</f>
        <v>15185106.432</v>
      </c>
      <c r="AC374" s="4" t="str" cm="1">
        <f t="array" ref="AC374">_xlfn.IFS(Table1[[#This Row],[Revenue]]&gt;=30000000,"High Value",Table1[[#This Row],[Revenue]]&gt;=10000000,"Moderate Value",TRUE,"Low Value")</f>
        <v>Moderate Value</v>
      </c>
      <c r="AD374" t="str">
        <f>IF(Table1[[#This Row],[Discount 2]]&gt;=5%, "YES", "NO")</f>
        <v>YES</v>
      </c>
      <c r="AE374" t="str" cm="1">
        <f t="array" ref="AE374">_xlfn.IFS(Table1[[#This Row],[Revenue]]&gt;=30000000,"High Spender",Table1[[#This Row],[Revenue]]&gt;=10000000,"Moderate Spender",TRUE,"Low Spender")</f>
        <v>Moderate Spender</v>
      </c>
      <c r="AF374" s="4" t="str" cm="1">
        <f t="array" ref="AF374">_xlfn.IFS(Table1[[#This Row],[Land_Size_SQM]]&gt;=730,"LARGE",Table1[[#This Row],[Land_Size_SQM]]&gt;=465,"MEDIUM",TRUE,"SMALL")</f>
        <v>SMALL</v>
      </c>
    </row>
    <row r="375" spans="1:32" x14ac:dyDescent="0.3">
      <c r="A375" t="s">
        <v>399</v>
      </c>
      <c r="B375" t="s">
        <v>539</v>
      </c>
      <c r="C375" t="s">
        <v>626</v>
      </c>
      <c r="D375">
        <v>25</v>
      </c>
      <c r="E375" t="s">
        <v>628</v>
      </c>
      <c r="F375">
        <v>314</v>
      </c>
      <c r="G375" s="4">
        <v>39419</v>
      </c>
      <c r="H375" s="4">
        <v>12377566</v>
      </c>
      <c r="I375" t="s">
        <v>653</v>
      </c>
      <c r="J375" t="s">
        <v>668</v>
      </c>
      <c r="K375" t="s">
        <v>679</v>
      </c>
      <c r="L375" t="s">
        <v>682</v>
      </c>
      <c r="M375" t="s">
        <v>685</v>
      </c>
      <c r="N375" t="s">
        <v>690</v>
      </c>
      <c r="O375" t="s">
        <v>693</v>
      </c>
      <c r="P375" s="4">
        <v>12377566</v>
      </c>
      <c r="Q375">
        <v>0</v>
      </c>
      <c r="R375" s="7">
        <v>5.22</v>
      </c>
      <c r="S375" s="8">
        <f>Table1[[#This Row],[Discount_%]]/100</f>
        <v>5.2199999999999996E-2</v>
      </c>
      <c r="T375" s="6" t="s">
        <v>775</v>
      </c>
      <c r="U375" t="s">
        <v>985</v>
      </c>
      <c r="V375">
        <v>2024</v>
      </c>
      <c r="W375" t="s">
        <v>994</v>
      </c>
      <c r="X375" t="s">
        <v>997</v>
      </c>
      <c r="Y375" t="s">
        <v>1001</v>
      </c>
      <c r="Z375">
        <v>4</v>
      </c>
      <c r="AA375">
        <v>48</v>
      </c>
      <c r="AB375" s="4">
        <f>Table1[[#This Row],[Total_Price]]*(1-Table1[[#This Row],[Discount 2]])</f>
        <v>11731457.0548</v>
      </c>
      <c r="AC375" s="4" t="str" cm="1">
        <f t="array" ref="AC375">_xlfn.IFS(Table1[[#This Row],[Revenue]]&gt;=30000000,"High Value",Table1[[#This Row],[Revenue]]&gt;=10000000,"Moderate Value",TRUE,"Low Value")</f>
        <v>Moderate Value</v>
      </c>
      <c r="AD375" t="str">
        <f>IF(Table1[[#This Row],[Discount 2]]&gt;=5%, "YES", "NO")</f>
        <v>YES</v>
      </c>
      <c r="AE375" t="str" cm="1">
        <f t="array" ref="AE375">_xlfn.IFS(Table1[[#This Row],[Revenue]]&gt;=30000000,"High Spender",Table1[[#This Row],[Revenue]]&gt;=10000000,"Moderate Spender",TRUE,"Low Spender")</f>
        <v>Moderate Spender</v>
      </c>
      <c r="AF375" s="4" t="str" cm="1">
        <f t="array" ref="AF375">_xlfn.IFS(Table1[[#This Row],[Land_Size_SQM]]&gt;=730,"LARGE",Table1[[#This Row],[Land_Size_SQM]]&gt;=465,"MEDIUM",TRUE,"SMALL")</f>
        <v>SMALL</v>
      </c>
    </row>
    <row r="376" spans="1:32" x14ac:dyDescent="0.3">
      <c r="A376" t="s">
        <v>400</v>
      </c>
      <c r="B376" t="s">
        <v>545</v>
      </c>
      <c r="C376" t="s">
        <v>626</v>
      </c>
      <c r="D376">
        <v>57</v>
      </c>
      <c r="E376" t="s">
        <v>628</v>
      </c>
      <c r="F376">
        <v>423</v>
      </c>
      <c r="G376" s="4">
        <v>11455</v>
      </c>
      <c r="H376" s="4">
        <v>4845465</v>
      </c>
      <c r="I376" t="s">
        <v>653</v>
      </c>
      <c r="J376" t="s">
        <v>668</v>
      </c>
      <c r="K376" t="s">
        <v>640</v>
      </c>
      <c r="L376" t="s">
        <v>681</v>
      </c>
      <c r="M376" t="s">
        <v>686</v>
      </c>
      <c r="N376" t="s">
        <v>690</v>
      </c>
      <c r="O376" t="s">
        <v>693</v>
      </c>
      <c r="P376" s="4">
        <v>4845465</v>
      </c>
      <c r="Q376">
        <v>0</v>
      </c>
      <c r="R376" s="7">
        <v>1.75</v>
      </c>
      <c r="S376" s="8">
        <f>Table1[[#This Row],[Discount_%]]/100</f>
        <v>1.7500000000000002E-2</v>
      </c>
      <c r="T376" s="6" t="s">
        <v>825</v>
      </c>
      <c r="U376" t="s">
        <v>992</v>
      </c>
      <c r="V376">
        <v>2024</v>
      </c>
      <c r="W376" t="s">
        <v>993</v>
      </c>
      <c r="X376" t="s">
        <v>998</v>
      </c>
      <c r="Y376" t="s">
        <v>1001</v>
      </c>
      <c r="Z376">
        <v>4</v>
      </c>
      <c r="AA376">
        <v>31</v>
      </c>
      <c r="AB376" s="4">
        <f>Table1[[#This Row],[Total_Price]]*(1-Table1[[#This Row],[Discount 2]])</f>
        <v>4760669.3624999998</v>
      </c>
      <c r="AC376" s="4" t="str" cm="1">
        <f t="array" ref="AC376">_xlfn.IFS(Table1[[#This Row],[Revenue]]&gt;=30000000,"High Value",Table1[[#This Row],[Revenue]]&gt;=10000000,"Moderate Value",TRUE,"Low Value")</f>
        <v>Low Value</v>
      </c>
      <c r="AD376" t="str">
        <f>IF(Table1[[#This Row],[Discount 2]]&gt;=5%, "YES", "NO")</f>
        <v>NO</v>
      </c>
      <c r="AE376" t="str" cm="1">
        <f t="array" ref="AE376">_xlfn.IFS(Table1[[#This Row],[Revenue]]&gt;=30000000,"High Spender",Table1[[#This Row],[Revenue]]&gt;=10000000,"Moderate Spender",TRUE,"Low Spender")</f>
        <v>Low Spender</v>
      </c>
      <c r="AF376" s="4" t="str" cm="1">
        <f t="array" ref="AF376">_xlfn.IFS(Table1[[#This Row],[Land_Size_SQM]]&gt;=730,"LARGE",Table1[[#This Row],[Land_Size_SQM]]&gt;=465,"MEDIUM",TRUE,"SMALL")</f>
        <v>SMALL</v>
      </c>
    </row>
    <row r="377" spans="1:32" x14ac:dyDescent="0.3">
      <c r="A377" t="s">
        <v>401</v>
      </c>
      <c r="B377" t="s">
        <v>610</v>
      </c>
      <c r="C377" t="s">
        <v>627</v>
      </c>
      <c r="D377">
        <v>36</v>
      </c>
      <c r="E377" t="s">
        <v>629</v>
      </c>
      <c r="F377">
        <v>348</v>
      </c>
      <c r="G377" s="4">
        <v>25789</v>
      </c>
      <c r="H377" s="4">
        <v>8974572</v>
      </c>
      <c r="I377" t="s">
        <v>653</v>
      </c>
      <c r="J377" t="s">
        <v>668</v>
      </c>
      <c r="K377" t="s">
        <v>677</v>
      </c>
      <c r="L377" t="s">
        <v>681</v>
      </c>
      <c r="M377" t="s">
        <v>687</v>
      </c>
      <c r="N377" t="s">
        <v>690</v>
      </c>
      <c r="O377" t="s">
        <v>694</v>
      </c>
      <c r="P377" s="4">
        <v>4006335</v>
      </c>
      <c r="Q377">
        <v>12</v>
      </c>
      <c r="R377" s="7">
        <v>0.21</v>
      </c>
      <c r="S377" s="8">
        <f>Table1[[#This Row],[Discount_%]]/100</f>
        <v>2.0999999999999999E-3</v>
      </c>
      <c r="T377" s="6" t="s">
        <v>948</v>
      </c>
      <c r="U377" t="s">
        <v>983</v>
      </c>
      <c r="V377">
        <v>2024</v>
      </c>
      <c r="W377" t="s">
        <v>993</v>
      </c>
      <c r="X377" t="s">
        <v>997</v>
      </c>
      <c r="Y377" t="s">
        <v>1000</v>
      </c>
      <c r="Z377">
        <v>4</v>
      </c>
      <c r="AA377">
        <v>25</v>
      </c>
      <c r="AB377" s="4">
        <f>Table1[[#This Row],[Total_Price]]*(1-Table1[[#This Row],[Discount 2]])</f>
        <v>8955725.3988000005</v>
      </c>
      <c r="AC377" s="4" t="str" cm="1">
        <f t="array" ref="AC377">_xlfn.IFS(Table1[[#This Row],[Revenue]]&gt;=30000000,"High Value",Table1[[#This Row],[Revenue]]&gt;=10000000,"Moderate Value",TRUE,"Low Value")</f>
        <v>Low Value</v>
      </c>
      <c r="AD377" t="str">
        <f>IF(Table1[[#This Row],[Discount 2]]&gt;=5%, "YES", "NO")</f>
        <v>NO</v>
      </c>
      <c r="AE377" t="str" cm="1">
        <f t="array" ref="AE377">_xlfn.IFS(Table1[[#This Row],[Revenue]]&gt;=30000000,"High Spender",Table1[[#This Row],[Revenue]]&gt;=10000000,"Moderate Spender",TRUE,"Low Spender")</f>
        <v>Low Spender</v>
      </c>
      <c r="AF377" s="4" t="str" cm="1">
        <f t="array" ref="AF377">_xlfn.IFS(Table1[[#This Row],[Land_Size_SQM]]&gt;=730,"LARGE",Table1[[#This Row],[Land_Size_SQM]]&gt;=465,"MEDIUM",TRUE,"SMALL")</f>
        <v>SMALL</v>
      </c>
    </row>
    <row r="378" spans="1:32" x14ac:dyDescent="0.3">
      <c r="A378" t="s">
        <v>402</v>
      </c>
      <c r="B378" t="s">
        <v>594</v>
      </c>
      <c r="C378" t="s">
        <v>626</v>
      </c>
      <c r="D378">
        <v>22</v>
      </c>
      <c r="E378" t="s">
        <v>630</v>
      </c>
      <c r="F378">
        <v>508</v>
      </c>
      <c r="G378" s="4">
        <v>7914</v>
      </c>
      <c r="H378" s="4">
        <v>4020312</v>
      </c>
      <c r="I378" t="s">
        <v>661</v>
      </c>
      <c r="J378" t="s">
        <v>673</v>
      </c>
      <c r="K378" t="s">
        <v>677</v>
      </c>
      <c r="L378" t="s">
        <v>680</v>
      </c>
      <c r="M378" t="s">
        <v>684</v>
      </c>
      <c r="N378" t="s">
        <v>691</v>
      </c>
      <c r="O378" t="s">
        <v>693</v>
      </c>
      <c r="P378" s="4">
        <v>4020312</v>
      </c>
      <c r="Q378">
        <v>0</v>
      </c>
      <c r="R378" s="7">
        <v>2.97</v>
      </c>
      <c r="S378" s="8">
        <f>Table1[[#This Row],[Discount_%]]/100</f>
        <v>2.9700000000000001E-2</v>
      </c>
      <c r="T378" s="6" t="s">
        <v>702</v>
      </c>
      <c r="U378" t="s">
        <v>987</v>
      </c>
      <c r="V378">
        <v>2024</v>
      </c>
      <c r="W378" t="s">
        <v>995</v>
      </c>
      <c r="X378" t="s">
        <v>998</v>
      </c>
      <c r="Y378" t="s">
        <v>1001</v>
      </c>
      <c r="Z378">
        <v>4</v>
      </c>
      <c r="AA378">
        <v>7</v>
      </c>
      <c r="AB378" s="4">
        <f>Table1[[#This Row],[Total_Price]]*(1-Table1[[#This Row],[Discount 2]])</f>
        <v>3900908.7336000004</v>
      </c>
      <c r="AC378" s="4" t="str" cm="1">
        <f t="array" ref="AC378">_xlfn.IFS(Table1[[#This Row],[Revenue]]&gt;=30000000,"High Value",Table1[[#This Row],[Revenue]]&gt;=10000000,"Moderate Value",TRUE,"Low Value")</f>
        <v>Low Value</v>
      </c>
      <c r="AD378" t="str">
        <f>IF(Table1[[#This Row],[Discount 2]]&gt;=5%, "YES", "NO")</f>
        <v>NO</v>
      </c>
      <c r="AE378" t="str" cm="1">
        <f t="array" ref="AE378">_xlfn.IFS(Table1[[#This Row],[Revenue]]&gt;=30000000,"High Spender",Table1[[#This Row],[Revenue]]&gt;=10000000,"Moderate Spender",TRUE,"Low Spender")</f>
        <v>Low Spender</v>
      </c>
      <c r="AF378" s="4" t="str" cm="1">
        <f t="array" ref="AF378">_xlfn.IFS(Table1[[#This Row],[Land_Size_SQM]]&gt;=730,"LARGE",Table1[[#This Row],[Land_Size_SQM]]&gt;=465,"MEDIUM",TRUE,"SMALL")</f>
        <v>MEDIUM</v>
      </c>
    </row>
    <row r="379" spans="1:32" x14ac:dyDescent="0.3">
      <c r="A379" t="s">
        <v>403</v>
      </c>
      <c r="B379" t="s">
        <v>548</v>
      </c>
      <c r="C379" t="s">
        <v>627</v>
      </c>
      <c r="D379">
        <v>20</v>
      </c>
      <c r="E379" t="s">
        <v>630</v>
      </c>
      <c r="F379">
        <v>267</v>
      </c>
      <c r="G379" s="4">
        <v>25059</v>
      </c>
      <c r="H379" s="4">
        <v>6690753</v>
      </c>
      <c r="I379" t="s">
        <v>651</v>
      </c>
      <c r="J379" t="s">
        <v>669</v>
      </c>
      <c r="K379" t="s">
        <v>675</v>
      </c>
      <c r="L379" t="s">
        <v>680</v>
      </c>
      <c r="M379" t="s">
        <v>687</v>
      </c>
      <c r="N379" t="s">
        <v>690</v>
      </c>
      <c r="O379" t="s">
        <v>694</v>
      </c>
      <c r="P379" s="4">
        <v>2247949</v>
      </c>
      <c r="Q379">
        <v>12</v>
      </c>
      <c r="R379" s="7">
        <v>0.27</v>
      </c>
      <c r="S379" s="8">
        <f>Table1[[#This Row],[Discount_%]]/100</f>
        <v>2.7000000000000001E-3</v>
      </c>
      <c r="T379" s="6" t="s">
        <v>730</v>
      </c>
      <c r="U379" t="s">
        <v>988</v>
      </c>
      <c r="V379">
        <v>2024</v>
      </c>
      <c r="W379" t="s">
        <v>993</v>
      </c>
      <c r="X379" t="s">
        <v>999</v>
      </c>
      <c r="Y379" t="s">
        <v>1000</v>
      </c>
      <c r="Z379">
        <v>2</v>
      </c>
      <c r="AA379">
        <v>34</v>
      </c>
      <c r="AB379" s="4">
        <f>Table1[[#This Row],[Total_Price]]*(1-Table1[[#This Row],[Discount 2]])</f>
        <v>6672687.9668999994</v>
      </c>
      <c r="AC379" s="4" t="str" cm="1">
        <f t="array" ref="AC379">_xlfn.IFS(Table1[[#This Row],[Revenue]]&gt;=30000000,"High Value",Table1[[#This Row],[Revenue]]&gt;=10000000,"Moderate Value",TRUE,"Low Value")</f>
        <v>Low Value</v>
      </c>
      <c r="AD379" t="str">
        <f>IF(Table1[[#This Row],[Discount 2]]&gt;=5%, "YES", "NO")</f>
        <v>NO</v>
      </c>
      <c r="AE379" t="str" cm="1">
        <f t="array" ref="AE379">_xlfn.IFS(Table1[[#This Row],[Revenue]]&gt;=30000000,"High Spender",Table1[[#This Row],[Revenue]]&gt;=10000000,"Moderate Spender",TRUE,"Low Spender")</f>
        <v>Low Spender</v>
      </c>
      <c r="AF379" s="4" t="str" cm="1">
        <f t="array" ref="AF379">_xlfn.IFS(Table1[[#This Row],[Land_Size_SQM]]&gt;=730,"LARGE",Table1[[#This Row],[Land_Size_SQM]]&gt;=465,"MEDIUM",TRUE,"SMALL")</f>
        <v>SMALL</v>
      </c>
    </row>
    <row r="380" spans="1:32" x14ac:dyDescent="0.3">
      <c r="A380" t="s">
        <v>404</v>
      </c>
      <c r="B380" t="s">
        <v>527</v>
      </c>
      <c r="C380" t="s">
        <v>626</v>
      </c>
      <c r="D380">
        <v>38</v>
      </c>
      <c r="E380" t="s">
        <v>628</v>
      </c>
      <c r="F380">
        <v>808</v>
      </c>
      <c r="G380" s="4">
        <v>46941</v>
      </c>
      <c r="H380" s="4">
        <v>37928328</v>
      </c>
      <c r="I380" t="s">
        <v>659</v>
      </c>
      <c r="J380" t="s">
        <v>668</v>
      </c>
      <c r="K380" t="s">
        <v>638</v>
      </c>
      <c r="L380" t="s">
        <v>680</v>
      </c>
      <c r="M380" t="s">
        <v>684</v>
      </c>
      <c r="N380" t="s">
        <v>690</v>
      </c>
      <c r="O380" t="s">
        <v>694</v>
      </c>
      <c r="P380" s="4">
        <v>12722943</v>
      </c>
      <c r="Q380">
        <v>12</v>
      </c>
      <c r="R380" s="7">
        <v>8.74</v>
      </c>
      <c r="S380" s="8">
        <f>Table1[[#This Row],[Discount_%]]/100</f>
        <v>8.7400000000000005E-2</v>
      </c>
      <c r="T380" s="6" t="s">
        <v>786</v>
      </c>
      <c r="U380" t="s">
        <v>987</v>
      </c>
      <c r="V380">
        <v>2024</v>
      </c>
      <c r="W380" t="s">
        <v>996</v>
      </c>
      <c r="X380" t="s">
        <v>998</v>
      </c>
      <c r="Y380" t="s">
        <v>1002</v>
      </c>
      <c r="Z380">
        <v>5</v>
      </c>
      <c r="AA380">
        <v>15</v>
      </c>
      <c r="AB380" s="4">
        <f>Table1[[#This Row],[Total_Price]]*(1-Table1[[#This Row],[Discount 2]])</f>
        <v>34613392.132799998</v>
      </c>
      <c r="AC380" s="4" t="str" cm="1">
        <f t="array" ref="AC380">_xlfn.IFS(Table1[[#This Row],[Revenue]]&gt;=30000000,"High Value",Table1[[#This Row],[Revenue]]&gt;=10000000,"Moderate Value",TRUE,"Low Value")</f>
        <v>High Value</v>
      </c>
      <c r="AD380" t="str">
        <f>IF(Table1[[#This Row],[Discount 2]]&gt;=5%, "YES", "NO")</f>
        <v>YES</v>
      </c>
      <c r="AE380" t="str" cm="1">
        <f t="array" ref="AE380">_xlfn.IFS(Table1[[#This Row],[Revenue]]&gt;=30000000,"High Spender",Table1[[#This Row],[Revenue]]&gt;=10000000,"Moderate Spender",TRUE,"Low Spender")</f>
        <v>High Spender</v>
      </c>
      <c r="AF380" s="4" t="str" cm="1">
        <f t="array" ref="AF380">_xlfn.IFS(Table1[[#This Row],[Land_Size_SQM]]&gt;=730,"LARGE",Table1[[#This Row],[Land_Size_SQM]]&gt;=465,"MEDIUM",TRUE,"SMALL")</f>
        <v>LARGE</v>
      </c>
    </row>
    <row r="381" spans="1:32" x14ac:dyDescent="0.3">
      <c r="A381" t="s">
        <v>405</v>
      </c>
      <c r="B381" t="s">
        <v>546</v>
      </c>
      <c r="C381" t="s">
        <v>627</v>
      </c>
      <c r="D381">
        <v>23</v>
      </c>
      <c r="E381" t="s">
        <v>630</v>
      </c>
      <c r="F381">
        <v>862</v>
      </c>
      <c r="G381" s="4">
        <v>42108</v>
      </c>
      <c r="H381" s="4">
        <v>36297096</v>
      </c>
      <c r="I381" t="s">
        <v>664</v>
      </c>
      <c r="J381" t="s">
        <v>673</v>
      </c>
      <c r="K381" t="s">
        <v>675</v>
      </c>
      <c r="L381" t="s">
        <v>682</v>
      </c>
      <c r="M381" t="s">
        <v>684</v>
      </c>
      <c r="N381" t="s">
        <v>692</v>
      </c>
      <c r="O381" t="s">
        <v>693</v>
      </c>
      <c r="P381" s="4">
        <v>36297096</v>
      </c>
      <c r="Q381">
        <v>0</v>
      </c>
      <c r="R381" s="7">
        <v>9.07</v>
      </c>
      <c r="S381" s="8">
        <f>Table1[[#This Row],[Discount_%]]/100</f>
        <v>9.0700000000000003E-2</v>
      </c>
      <c r="T381" s="6" t="s">
        <v>923</v>
      </c>
      <c r="U381" t="s">
        <v>989</v>
      </c>
      <c r="V381">
        <v>2024</v>
      </c>
      <c r="W381" t="s">
        <v>994</v>
      </c>
      <c r="X381" t="s">
        <v>999</v>
      </c>
      <c r="Y381" t="s">
        <v>1000</v>
      </c>
      <c r="Z381">
        <v>3</v>
      </c>
      <c r="AA381">
        <v>11</v>
      </c>
      <c r="AB381" s="4">
        <f>Table1[[#This Row],[Total_Price]]*(1-Table1[[#This Row],[Discount 2]])</f>
        <v>33004949.3928</v>
      </c>
      <c r="AC381" s="4" t="str" cm="1">
        <f t="array" ref="AC381">_xlfn.IFS(Table1[[#This Row],[Revenue]]&gt;=30000000,"High Value",Table1[[#This Row],[Revenue]]&gt;=10000000,"Moderate Value",TRUE,"Low Value")</f>
        <v>High Value</v>
      </c>
      <c r="AD381" t="str">
        <f>IF(Table1[[#This Row],[Discount 2]]&gt;=5%, "YES", "NO")</f>
        <v>YES</v>
      </c>
      <c r="AE381" t="str" cm="1">
        <f t="array" ref="AE381">_xlfn.IFS(Table1[[#This Row],[Revenue]]&gt;=30000000,"High Spender",Table1[[#This Row],[Revenue]]&gt;=10000000,"Moderate Spender",TRUE,"Low Spender")</f>
        <v>High Spender</v>
      </c>
      <c r="AF381" s="4" t="str" cm="1">
        <f t="array" ref="AF381">_xlfn.IFS(Table1[[#This Row],[Land_Size_SQM]]&gt;=730,"LARGE",Table1[[#This Row],[Land_Size_SQM]]&gt;=465,"MEDIUM",TRUE,"SMALL")</f>
        <v>LARGE</v>
      </c>
    </row>
    <row r="382" spans="1:32" x14ac:dyDescent="0.3">
      <c r="A382" t="s">
        <v>406</v>
      </c>
      <c r="B382" t="s">
        <v>592</v>
      </c>
      <c r="C382" t="s">
        <v>626</v>
      </c>
      <c r="D382">
        <v>38</v>
      </c>
      <c r="E382" t="s">
        <v>629</v>
      </c>
      <c r="F382">
        <v>935</v>
      </c>
      <c r="G382" s="4">
        <v>36461</v>
      </c>
      <c r="H382" s="4">
        <v>34091035</v>
      </c>
      <c r="I382" t="s">
        <v>638</v>
      </c>
      <c r="J382" t="s">
        <v>672</v>
      </c>
      <c r="K382" t="s">
        <v>664</v>
      </c>
      <c r="L382" t="s">
        <v>681</v>
      </c>
      <c r="M382" t="s">
        <v>684</v>
      </c>
      <c r="N382" t="s">
        <v>688</v>
      </c>
      <c r="O382" t="s">
        <v>694</v>
      </c>
      <c r="P382" s="4">
        <v>15278826</v>
      </c>
      <c r="Q382">
        <v>24</v>
      </c>
      <c r="R382" s="7">
        <v>4.9400000000000004</v>
      </c>
      <c r="S382" s="8">
        <f>Table1[[#This Row],[Discount_%]]/100</f>
        <v>4.9400000000000006E-2</v>
      </c>
      <c r="T382" s="6" t="s">
        <v>850</v>
      </c>
      <c r="U382" t="s">
        <v>990</v>
      </c>
      <c r="V382">
        <v>2024</v>
      </c>
      <c r="W382" t="s">
        <v>995</v>
      </c>
      <c r="X382" t="s">
        <v>999</v>
      </c>
      <c r="Y382" t="s">
        <v>1001</v>
      </c>
      <c r="Z382">
        <v>2</v>
      </c>
      <c r="AA382">
        <v>19</v>
      </c>
      <c r="AB382" s="4">
        <f>Table1[[#This Row],[Total_Price]]*(1-Table1[[#This Row],[Discount 2]])</f>
        <v>32406937.870999999</v>
      </c>
      <c r="AC382" s="4" t="str" cm="1">
        <f t="array" ref="AC382">_xlfn.IFS(Table1[[#This Row],[Revenue]]&gt;=30000000,"High Value",Table1[[#This Row],[Revenue]]&gt;=10000000,"Moderate Value",TRUE,"Low Value")</f>
        <v>High Value</v>
      </c>
      <c r="AD382" t="str">
        <f>IF(Table1[[#This Row],[Discount 2]]&gt;=5%, "YES", "NO")</f>
        <v>NO</v>
      </c>
      <c r="AE382" t="str" cm="1">
        <f t="array" ref="AE382">_xlfn.IFS(Table1[[#This Row],[Revenue]]&gt;=30000000,"High Spender",Table1[[#This Row],[Revenue]]&gt;=10000000,"Moderate Spender",TRUE,"Low Spender")</f>
        <v>High Spender</v>
      </c>
      <c r="AF382" s="4" t="str" cm="1">
        <f t="array" ref="AF382">_xlfn.IFS(Table1[[#This Row],[Land_Size_SQM]]&gt;=730,"LARGE",Table1[[#This Row],[Land_Size_SQM]]&gt;=465,"MEDIUM",TRUE,"SMALL")</f>
        <v>LARGE</v>
      </c>
    </row>
    <row r="383" spans="1:32" x14ac:dyDescent="0.3">
      <c r="A383" t="s">
        <v>407</v>
      </c>
      <c r="B383" t="s">
        <v>536</v>
      </c>
      <c r="C383" t="s">
        <v>627</v>
      </c>
      <c r="D383">
        <v>43</v>
      </c>
      <c r="E383" t="s">
        <v>629</v>
      </c>
      <c r="F383">
        <v>628</v>
      </c>
      <c r="G383" s="4">
        <v>13820</v>
      </c>
      <c r="H383" s="4">
        <v>8678960</v>
      </c>
      <c r="I383" t="s">
        <v>659</v>
      </c>
      <c r="J383" t="s">
        <v>668</v>
      </c>
      <c r="K383" t="s">
        <v>679</v>
      </c>
      <c r="L383" t="s">
        <v>682</v>
      </c>
      <c r="M383" t="s">
        <v>684</v>
      </c>
      <c r="N383" t="s">
        <v>689</v>
      </c>
      <c r="O383" t="s">
        <v>694</v>
      </c>
      <c r="P383" s="4">
        <v>1810708</v>
      </c>
      <c r="Q383">
        <v>6</v>
      </c>
      <c r="R383" s="7">
        <v>9.76</v>
      </c>
      <c r="S383" s="8">
        <f>Table1[[#This Row],[Discount_%]]/100</f>
        <v>9.7599999999999992E-2</v>
      </c>
      <c r="T383" s="6" t="s">
        <v>846</v>
      </c>
      <c r="U383" t="s">
        <v>990</v>
      </c>
      <c r="V383">
        <v>2024</v>
      </c>
      <c r="W383" t="s">
        <v>993</v>
      </c>
      <c r="X383" t="s">
        <v>998</v>
      </c>
      <c r="Y383" t="s">
        <v>1000</v>
      </c>
      <c r="Z383">
        <v>3</v>
      </c>
      <c r="AA383">
        <v>45</v>
      </c>
      <c r="AB383" s="4">
        <f>Table1[[#This Row],[Total_Price]]*(1-Table1[[#This Row],[Discount 2]])</f>
        <v>7831893.5039999997</v>
      </c>
      <c r="AC383" s="4" t="str" cm="1">
        <f t="array" ref="AC383">_xlfn.IFS(Table1[[#This Row],[Revenue]]&gt;=30000000,"High Value",Table1[[#This Row],[Revenue]]&gt;=10000000,"Moderate Value",TRUE,"Low Value")</f>
        <v>Low Value</v>
      </c>
      <c r="AD383" t="str">
        <f>IF(Table1[[#This Row],[Discount 2]]&gt;=5%, "YES", "NO")</f>
        <v>YES</v>
      </c>
      <c r="AE383" t="str" cm="1">
        <f t="array" ref="AE383">_xlfn.IFS(Table1[[#This Row],[Revenue]]&gt;=30000000,"High Spender",Table1[[#This Row],[Revenue]]&gt;=10000000,"Moderate Spender",TRUE,"Low Spender")</f>
        <v>Low Spender</v>
      </c>
      <c r="AF383" s="4" t="str" cm="1">
        <f t="array" ref="AF383">_xlfn.IFS(Table1[[#This Row],[Land_Size_SQM]]&gt;=730,"LARGE",Table1[[#This Row],[Land_Size_SQM]]&gt;=465,"MEDIUM",TRUE,"SMALL")</f>
        <v>MEDIUM</v>
      </c>
    </row>
    <row r="384" spans="1:32" x14ac:dyDescent="0.3">
      <c r="A384" t="s">
        <v>408</v>
      </c>
      <c r="B384" t="s">
        <v>530</v>
      </c>
      <c r="C384" t="s">
        <v>626</v>
      </c>
      <c r="D384">
        <v>42</v>
      </c>
      <c r="E384" t="s">
        <v>629</v>
      </c>
      <c r="F384">
        <v>930</v>
      </c>
      <c r="G384" s="4">
        <v>27132</v>
      </c>
      <c r="H384" s="4">
        <v>25232760</v>
      </c>
      <c r="I384" t="s">
        <v>634</v>
      </c>
      <c r="J384" t="s">
        <v>670</v>
      </c>
      <c r="K384" t="s">
        <v>679</v>
      </c>
      <c r="L384" t="s">
        <v>682</v>
      </c>
      <c r="M384" t="s">
        <v>686</v>
      </c>
      <c r="N384" t="s">
        <v>689</v>
      </c>
      <c r="O384" t="s">
        <v>694</v>
      </c>
      <c r="P384" s="4">
        <v>5599570</v>
      </c>
      <c r="Q384">
        <v>12</v>
      </c>
      <c r="R384" s="7">
        <v>5.57</v>
      </c>
      <c r="S384" s="8">
        <f>Table1[[#This Row],[Discount_%]]/100</f>
        <v>5.57E-2</v>
      </c>
      <c r="T384" s="6" t="s">
        <v>730</v>
      </c>
      <c r="U384" t="s">
        <v>988</v>
      </c>
      <c r="V384">
        <v>2024</v>
      </c>
      <c r="W384" t="s">
        <v>993</v>
      </c>
      <c r="X384" t="s">
        <v>998</v>
      </c>
      <c r="Y384" t="s">
        <v>1001</v>
      </c>
      <c r="Z384">
        <v>5</v>
      </c>
      <c r="AA384">
        <v>25</v>
      </c>
      <c r="AB384" s="4">
        <f>Table1[[#This Row],[Total_Price]]*(1-Table1[[#This Row],[Discount 2]])</f>
        <v>23827295.267999999</v>
      </c>
      <c r="AC384" s="4" t="str" cm="1">
        <f t="array" ref="AC384">_xlfn.IFS(Table1[[#This Row],[Revenue]]&gt;=30000000,"High Value",Table1[[#This Row],[Revenue]]&gt;=10000000,"Moderate Value",TRUE,"Low Value")</f>
        <v>Moderate Value</v>
      </c>
      <c r="AD384" t="str">
        <f>IF(Table1[[#This Row],[Discount 2]]&gt;=5%, "YES", "NO")</f>
        <v>YES</v>
      </c>
      <c r="AE384" t="str" cm="1">
        <f t="array" ref="AE384">_xlfn.IFS(Table1[[#This Row],[Revenue]]&gt;=30000000,"High Spender",Table1[[#This Row],[Revenue]]&gt;=10000000,"Moderate Spender",TRUE,"Low Spender")</f>
        <v>Moderate Spender</v>
      </c>
      <c r="AF384" s="4" t="str" cm="1">
        <f t="array" ref="AF384">_xlfn.IFS(Table1[[#This Row],[Land_Size_SQM]]&gt;=730,"LARGE",Table1[[#This Row],[Land_Size_SQM]]&gt;=465,"MEDIUM",TRUE,"SMALL")</f>
        <v>LARGE</v>
      </c>
    </row>
    <row r="385" spans="1:32" x14ac:dyDescent="0.3">
      <c r="A385" t="s">
        <v>409</v>
      </c>
      <c r="B385" t="s">
        <v>567</v>
      </c>
      <c r="C385" t="s">
        <v>626</v>
      </c>
      <c r="D385">
        <v>41</v>
      </c>
      <c r="E385" t="s">
        <v>630</v>
      </c>
      <c r="F385">
        <v>335</v>
      </c>
      <c r="G385" s="4">
        <v>38671</v>
      </c>
      <c r="H385" s="4">
        <v>12954785</v>
      </c>
      <c r="I385" t="s">
        <v>639</v>
      </c>
      <c r="J385" t="s">
        <v>671</v>
      </c>
      <c r="K385" t="s">
        <v>651</v>
      </c>
      <c r="L385" t="s">
        <v>680</v>
      </c>
      <c r="M385" t="s">
        <v>685</v>
      </c>
      <c r="N385" t="s">
        <v>690</v>
      </c>
      <c r="O385" t="s">
        <v>693</v>
      </c>
      <c r="P385" s="4">
        <v>12954785</v>
      </c>
      <c r="Q385">
        <v>0</v>
      </c>
      <c r="R385" s="7">
        <v>5.8</v>
      </c>
      <c r="S385" s="8">
        <f>Table1[[#This Row],[Discount_%]]/100</f>
        <v>5.7999999999999996E-2</v>
      </c>
      <c r="T385" s="6" t="s">
        <v>949</v>
      </c>
      <c r="U385" t="s">
        <v>992</v>
      </c>
      <c r="V385">
        <v>2024</v>
      </c>
      <c r="W385" t="s">
        <v>995</v>
      </c>
      <c r="X385" t="s">
        <v>999</v>
      </c>
      <c r="Y385" t="s">
        <v>1002</v>
      </c>
      <c r="Z385">
        <v>1</v>
      </c>
      <c r="AA385">
        <v>21</v>
      </c>
      <c r="AB385" s="4">
        <f>Table1[[#This Row],[Total_Price]]*(1-Table1[[#This Row],[Discount 2]])</f>
        <v>12203407.469999999</v>
      </c>
      <c r="AC385" s="4" t="str" cm="1">
        <f t="array" ref="AC385">_xlfn.IFS(Table1[[#This Row],[Revenue]]&gt;=30000000,"High Value",Table1[[#This Row],[Revenue]]&gt;=10000000,"Moderate Value",TRUE,"Low Value")</f>
        <v>Moderate Value</v>
      </c>
      <c r="AD385" t="str">
        <f>IF(Table1[[#This Row],[Discount 2]]&gt;=5%, "YES", "NO")</f>
        <v>YES</v>
      </c>
      <c r="AE385" t="str" cm="1">
        <f t="array" ref="AE385">_xlfn.IFS(Table1[[#This Row],[Revenue]]&gt;=30000000,"High Spender",Table1[[#This Row],[Revenue]]&gt;=10000000,"Moderate Spender",TRUE,"Low Spender")</f>
        <v>Moderate Spender</v>
      </c>
      <c r="AF385" s="4" t="str" cm="1">
        <f t="array" ref="AF385">_xlfn.IFS(Table1[[#This Row],[Land_Size_SQM]]&gt;=730,"LARGE",Table1[[#This Row],[Land_Size_SQM]]&gt;=465,"MEDIUM",TRUE,"SMALL")</f>
        <v>SMALL</v>
      </c>
    </row>
    <row r="386" spans="1:32" x14ac:dyDescent="0.3">
      <c r="A386" t="s">
        <v>410</v>
      </c>
      <c r="B386" t="s">
        <v>597</v>
      </c>
      <c r="C386" t="s">
        <v>626</v>
      </c>
      <c r="D386">
        <v>30</v>
      </c>
      <c r="E386" t="s">
        <v>630</v>
      </c>
      <c r="F386">
        <v>487</v>
      </c>
      <c r="G386" s="4">
        <v>25631</v>
      </c>
      <c r="H386" s="4">
        <v>12482297</v>
      </c>
      <c r="I386" t="s">
        <v>641</v>
      </c>
      <c r="J386" t="s">
        <v>673</v>
      </c>
      <c r="K386" t="s">
        <v>678</v>
      </c>
      <c r="L386" t="s">
        <v>682</v>
      </c>
      <c r="M386" t="s">
        <v>684</v>
      </c>
      <c r="N386" t="s">
        <v>688</v>
      </c>
      <c r="O386" t="s">
        <v>694</v>
      </c>
      <c r="P386" s="4">
        <v>5877137</v>
      </c>
      <c r="Q386">
        <v>12</v>
      </c>
      <c r="R386" s="7">
        <v>2.63</v>
      </c>
      <c r="S386" s="8">
        <f>Table1[[#This Row],[Discount_%]]/100</f>
        <v>2.63E-2</v>
      </c>
      <c r="T386" s="6" t="s">
        <v>950</v>
      </c>
      <c r="U386" t="s">
        <v>992</v>
      </c>
      <c r="V386">
        <v>2024</v>
      </c>
      <c r="W386" t="s">
        <v>995</v>
      </c>
      <c r="X386" t="s">
        <v>999</v>
      </c>
      <c r="Y386" t="s">
        <v>1000</v>
      </c>
      <c r="Z386">
        <v>2</v>
      </c>
      <c r="AA386">
        <v>4</v>
      </c>
      <c r="AB386" s="4">
        <f>Table1[[#This Row],[Total_Price]]*(1-Table1[[#This Row],[Discount 2]])</f>
        <v>12154012.5889</v>
      </c>
      <c r="AC386" s="4" t="str" cm="1">
        <f t="array" ref="AC386">_xlfn.IFS(Table1[[#This Row],[Revenue]]&gt;=30000000,"High Value",Table1[[#This Row],[Revenue]]&gt;=10000000,"Moderate Value",TRUE,"Low Value")</f>
        <v>Moderate Value</v>
      </c>
      <c r="AD386" t="str">
        <f>IF(Table1[[#This Row],[Discount 2]]&gt;=5%, "YES", "NO")</f>
        <v>NO</v>
      </c>
      <c r="AE386" t="str" cm="1">
        <f t="array" ref="AE386">_xlfn.IFS(Table1[[#This Row],[Revenue]]&gt;=30000000,"High Spender",Table1[[#This Row],[Revenue]]&gt;=10000000,"Moderate Spender",TRUE,"Low Spender")</f>
        <v>Moderate Spender</v>
      </c>
      <c r="AF386" s="4" t="str" cm="1">
        <f t="array" ref="AF386">_xlfn.IFS(Table1[[#This Row],[Land_Size_SQM]]&gt;=730,"LARGE",Table1[[#This Row],[Land_Size_SQM]]&gt;=465,"MEDIUM",TRUE,"SMALL")</f>
        <v>MEDIUM</v>
      </c>
    </row>
    <row r="387" spans="1:32" x14ac:dyDescent="0.3">
      <c r="A387" t="s">
        <v>411</v>
      </c>
      <c r="B387" t="s">
        <v>589</v>
      </c>
      <c r="C387" t="s">
        <v>627</v>
      </c>
      <c r="D387">
        <v>48</v>
      </c>
      <c r="E387" t="s">
        <v>630</v>
      </c>
      <c r="F387">
        <v>681</v>
      </c>
      <c r="G387" s="4">
        <v>19054</v>
      </c>
      <c r="H387" s="4">
        <v>12975774</v>
      </c>
      <c r="I387" t="s">
        <v>654</v>
      </c>
      <c r="J387" t="s">
        <v>669</v>
      </c>
      <c r="K387" t="s">
        <v>664</v>
      </c>
      <c r="L387" t="s">
        <v>682</v>
      </c>
      <c r="M387" t="s">
        <v>686</v>
      </c>
      <c r="N387" t="s">
        <v>691</v>
      </c>
      <c r="O387" t="s">
        <v>693</v>
      </c>
      <c r="P387" s="4">
        <v>12975774</v>
      </c>
      <c r="Q387">
        <v>0</v>
      </c>
      <c r="R387" s="7">
        <v>7.06</v>
      </c>
      <c r="S387" s="8">
        <f>Table1[[#This Row],[Discount_%]]/100</f>
        <v>7.0599999999999996E-2</v>
      </c>
      <c r="T387" s="6" t="s">
        <v>951</v>
      </c>
      <c r="U387" t="s">
        <v>989</v>
      </c>
      <c r="V387">
        <v>2024</v>
      </c>
      <c r="W387" t="s">
        <v>995</v>
      </c>
      <c r="X387" t="s">
        <v>998</v>
      </c>
      <c r="Y387" t="s">
        <v>1000</v>
      </c>
      <c r="Z387">
        <v>2</v>
      </c>
      <c r="AA387">
        <v>8</v>
      </c>
      <c r="AB387" s="4">
        <f>Table1[[#This Row],[Total_Price]]*(1-Table1[[#This Row],[Discount 2]])</f>
        <v>12059684.355599999</v>
      </c>
      <c r="AC387" s="4" t="str" cm="1">
        <f t="array" ref="AC387">_xlfn.IFS(Table1[[#This Row],[Revenue]]&gt;=30000000,"High Value",Table1[[#This Row],[Revenue]]&gt;=10000000,"Moderate Value",TRUE,"Low Value")</f>
        <v>Moderate Value</v>
      </c>
      <c r="AD387" t="str">
        <f>IF(Table1[[#This Row],[Discount 2]]&gt;=5%, "YES", "NO")</f>
        <v>YES</v>
      </c>
      <c r="AE387" t="str" cm="1">
        <f t="array" ref="AE387">_xlfn.IFS(Table1[[#This Row],[Revenue]]&gt;=30000000,"High Spender",Table1[[#This Row],[Revenue]]&gt;=10000000,"Moderate Spender",TRUE,"Low Spender")</f>
        <v>Moderate Spender</v>
      </c>
      <c r="AF387" s="4" t="str" cm="1">
        <f t="array" ref="AF387">_xlfn.IFS(Table1[[#This Row],[Land_Size_SQM]]&gt;=730,"LARGE",Table1[[#This Row],[Land_Size_SQM]]&gt;=465,"MEDIUM",TRUE,"SMALL")</f>
        <v>MEDIUM</v>
      </c>
    </row>
    <row r="388" spans="1:32" x14ac:dyDescent="0.3">
      <c r="A388" t="s">
        <v>412</v>
      </c>
      <c r="B388" t="s">
        <v>573</v>
      </c>
      <c r="C388" t="s">
        <v>627</v>
      </c>
      <c r="D388">
        <v>57</v>
      </c>
      <c r="E388" t="s">
        <v>628</v>
      </c>
      <c r="F388">
        <v>490</v>
      </c>
      <c r="G388" s="4">
        <v>13839</v>
      </c>
      <c r="H388" s="4">
        <v>6781110</v>
      </c>
      <c r="I388" t="s">
        <v>643</v>
      </c>
      <c r="J388" t="s">
        <v>671</v>
      </c>
      <c r="K388" t="s">
        <v>679</v>
      </c>
      <c r="L388" t="s">
        <v>682</v>
      </c>
      <c r="M388" t="s">
        <v>686</v>
      </c>
      <c r="N388" t="s">
        <v>688</v>
      </c>
      <c r="O388" t="s">
        <v>693</v>
      </c>
      <c r="P388" s="4">
        <v>6781110</v>
      </c>
      <c r="Q388">
        <v>0</v>
      </c>
      <c r="R388" s="7">
        <v>7.5</v>
      </c>
      <c r="S388" s="8">
        <f>Table1[[#This Row],[Discount_%]]/100</f>
        <v>7.4999999999999997E-2</v>
      </c>
      <c r="T388" s="6" t="s">
        <v>881</v>
      </c>
      <c r="U388" t="s">
        <v>992</v>
      </c>
      <c r="V388">
        <v>2024</v>
      </c>
      <c r="W388" t="s">
        <v>995</v>
      </c>
      <c r="X388" t="s">
        <v>999</v>
      </c>
      <c r="Y388" t="s">
        <v>1000</v>
      </c>
      <c r="Z388">
        <v>4</v>
      </c>
      <c r="AA388">
        <v>44</v>
      </c>
      <c r="AB388" s="4">
        <f>Table1[[#This Row],[Total_Price]]*(1-Table1[[#This Row],[Discount 2]])</f>
        <v>6272526.75</v>
      </c>
      <c r="AC388" s="4" t="str" cm="1">
        <f t="array" ref="AC388">_xlfn.IFS(Table1[[#This Row],[Revenue]]&gt;=30000000,"High Value",Table1[[#This Row],[Revenue]]&gt;=10000000,"Moderate Value",TRUE,"Low Value")</f>
        <v>Low Value</v>
      </c>
      <c r="AD388" t="str">
        <f>IF(Table1[[#This Row],[Discount 2]]&gt;=5%, "YES", "NO")</f>
        <v>YES</v>
      </c>
      <c r="AE388" t="str" cm="1">
        <f t="array" ref="AE388">_xlfn.IFS(Table1[[#This Row],[Revenue]]&gt;=30000000,"High Spender",Table1[[#This Row],[Revenue]]&gt;=10000000,"Moderate Spender",TRUE,"Low Spender")</f>
        <v>Low Spender</v>
      </c>
      <c r="AF388" s="4" t="str" cm="1">
        <f t="array" ref="AF388">_xlfn.IFS(Table1[[#This Row],[Land_Size_SQM]]&gt;=730,"LARGE",Table1[[#This Row],[Land_Size_SQM]]&gt;=465,"MEDIUM",TRUE,"SMALL")</f>
        <v>MEDIUM</v>
      </c>
    </row>
    <row r="389" spans="1:32" x14ac:dyDescent="0.3">
      <c r="A389" t="s">
        <v>413</v>
      </c>
      <c r="B389" t="s">
        <v>571</v>
      </c>
      <c r="C389" t="s">
        <v>627</v>
      </c>
      <c r="D389">
        <v>21</v>
      </c>
      <c r="E389" t="s">
        <v>628</v>
      </c>
      <c r="F389">
        <v>491</v>
      </c>
      <c r="G389" s="4">
        <v>46650</v>
      </c>
      <c r="H389" s="4">
        <v>22905150</v>
      </c>
      <c r="I389" t="s">
        <v>646</v>
      </c>
      <c r="J389" t="s">
        <v>673</v>
      </c>
      <c r="K389" t="s">
        <v>664</v>
      </c>
      <c r="L389" t="s">
        <v>681</v>
      </c>
      <c r="M389" t="s">
        <v>684</v>
      </c>
      <c r="N389" t="s">
        <v>691</v>
      </c>
      <c r="O389" t="s">
        <v>693</v>
      </c>
      <c r="P389" s="4">
        <v>22905150</v>
      </c>
      <c r="Q389">
        <v>0</v>
      </c>
      <c r="R389" s="7">
        <v>3.94</v>
      </c>
      <c r="S389" s="8">
        <f>Table1[[#This Row],[Discount_%]]/100</f>
        <v>3.9399999999999998E-2</v>
      </c>
      <c r="T389" s="6" t="s">
        <v>792</v>
      </c>
      <c r="U389" t="s">
        <v>985</v>
      </c>
      <c r="V389">
        <v>2024</v>
      </c>
      <c r="W389" t="s">
        <v>994</v>
      </c>
      <c r="X389" t="s">
        <v>997</v>
      </c>
      <c r="Y389" t="s">
        <v>1001</v>
      </c>
      <c r="Z389">
        <v>1</v>
      </c>
      <c r="AA389">
        <v>22</v>
      </c>
      <c r="AB389" s="4">
        <f>Table1[[#This Row],[Total_Price]]*(1-Table1[[#This Row],[Discount 2]])</f>
        <v>22002687.09</v>
      </c>
      <c r="AC389" s="4" t="str" cm="1">
        <f t="array" ref="AC389">_xlfn.IFS(Table1[[#This Row],[Revenue]]&gt;=30000000,"High Value",Table1[[#This Row],[Revenue]]&gt;=10000000,"Moderate Value",TRUE,"Low Value")</f>
        <v>Moderate Value</v>
      </c>
      <c r="AD389" t="str">
        <f>IF(Table1[[#This Row],[Discount 2]]&gt;=5%, "YES", "NO")</f>
        <v>NO</v>
      </c>
      <c r="AE389" t="str" cm="1">
        <f t="array" ref="AE389">_xlfn.IFS(Table1[[#This Row],[Revenue]]&gt;=30000000,"High Spender",Table1[[#This Row],[Revenue]]&gt;=10000000,"Moderate Spender",TRUE,"Low Spender")</f>
        <v>Moderate Spender</v>
      </c>
      <c r="AF389" s="4" t="str" cm="1">
        <f t="array" ref="AF389">_xlfn.IFS(Table1[[#This Row],[Land_Size_SQM]]&gt;=730,"LARGE",Table1[[#This Row],[Land_Size_SQM]]&gt;=465,"MEDIUM",TRUE,"SMALL")</f>
        <v>MEDIUM</v>
      </c>
    </row>
    <row r="390" spans="1:32" x14ac:dyDescent="0.3">
      <c r="A390" t="s">
        <v>414</v>
      </c>
      <c r="B390" t="s">
        <v>532</v>
      </c>
      <c r="C390" t="s">
        <v>627</v>
      </c>
      <c r="D390">
        <v>24</v>
      </c>
      <c r="E390" t="s">
        <v>629</v>
      </c>
      <c r="F390">
        <v>663</v>
      </c>
      <c r="G390" s="4">
        <v>23293</v>
      </c>
      <c r="H390" s="4">
        <v>15443259</v>
      </c>
      <c r="I390" t="s">
        <v>662</v>
      </c>
      <c r="J390" t="s">
        <v>673</v>
      </c>
      <c r="K390" t="s">
        <v>674</v>
      </c>
      <c r="L390" t="s">
        <v>682</v>
      </c>
      <c r="M390" t="s">
        <v>684</v>
      </c>
      <c r="N390" t="s">
        <v>689</v>
      </c>
      <c r="O390" t="s">
        <v>693</v>
      </c>
      <c r="P390" s="4">
        <v>15443259</v>
      </c>
      <c r="Q390">
        <v>0</v>
      </c>
      <c r="R390" s="7">
        <v>2.11</v>
      </c>
      <c r="S390" s="8">
        <f>Table1[[#This Row],[Discount_%]]/100</f>
        <v>2.1099999999999997E-2</v>
      </c>
      <c r="T390" s="6" t="s">
        <v>852</v>
      </c>
      <c r="U390" t="s">
        <v>988</v>
      </c>
      <c r="V390">
        <v>2024</v>
      </c>
      <c r="W390" t="s">
        <v>995</v>
      </c>
      <c r="X390" t="s">
        <v>998</v>
      </c>
      <c r="Y390" t="s">
        <v>1000</v>
      </c>
      <c r="Z390">
        <v>2</v>
      </c>
      <c r="AA390">
        <v>50</v>
      </c>
      <c r="AB390" s="4">
        <f>Table1[[#This Row],[Total_Price]]*(1-Table1[[#This Row],[Discount 2]])</f>
        <v>15117406.235099999</v>
      </c>
      <c r="AC390" s="4" t="str" cm="1">
        <f t="array" ref="AC390">_xlfn.IFS(Table1[[#This Row],[Revenue]]&gt;=30000000,"High Value",Table1[[#This Row],[Revenue]]&gt;=10000000,"Moderate Value",TRUE,"Low Value")</f>
        <v>Moderate Value</v>
      </c>
      <c r="AD390" t="str">
        <f>IF(Table1[[#This Row],[Discount 2]]&gt;=5%, "YES", "NO")</f>
        <v>NO</v>
      </c>
      <c r="AE390" t="str" cm="1">
        <f t="array" ref="AE390">_xlfn.IFS(Table1[[#This Row],[Revenue]]&gt;=30000000,"High Spender",Table1[[#This Row],[Revenue]]&gt;=10000000,"Moderate Spender",TRUE,"Low Spender")</f>
        <v>Moderate Spender</v>
      </c>
      <c r="AF390" s="4" t="str" cm="1">
        <f t="array" ref="AF390">_xlfn.IFS(Table1[[#This Row],[Land_Size_SQM]]&gt;=730,"LARGE",Table1[[#This Row],[Land_Size_SQM]]&gt;=465,"MEDIUM",TRUE,"SMALL")</f>
        <v>MEDIUM</v>
      </c>
    </row>
    <row r="391" spans="1:32" x14ac:dyDescent="0.3">
      <c r="A391" t="s">
        <v>415</v>
      </c>
      <c r="B391" t="s">
        <v>615</v>
      </c>
      <c r="C391" t="s">
        <v>626</v>
      </c>
      <c r="D391">
        <v>51</v>
      </c>
      <c r="E391" t="s">
        <v>630</v>
      </c>
      <c r="F391">
        <v>413</v>
      </c>
      <c r="G391" s="4">
        <v>12678</v>
      </c>
      <c r="H391" s="4">
        <v>5236014</v>
      </c>
      <c r="I391" t="s">
        <v>663</v>
      </c>
      <c r="J391" t="s">
        <v>670</v>
      </c>
      <c r="K391" t="s">
        <v>664</v>
      </c>
      <c r="L391" t="s">
        <v>682</v>
      </c>
      <c r="M391" t="s">
        <v>687</v>
      </c>
      <c r="N391" t="s">
        <v>692</v>
      </c>
      <c r="O391" t="s">
        <v>694</v>
      </c>
      <c r="P391" s="4">
        <v>1494781</v>
      </c>
      <c r="Q391">
        <v>24</v>
      </c>
      <c r="R391" s="7">
        <v>7.53</v>
      </c>
      <c r="S391" s="8">
        <f>Table1[[#This Row],[Discount_%]]/100</f>
        <v>7.5300000000000006E-2</v>
      </c>
      <c r="T391" s="6" t="s">
        <v>952</v>
      </c>
      <c r="U391" t="s">
        <v>983</v>
      </c>
      <c r="V391">
        <v>2024</v>
      </c>
      <c r="W391" t="s">
        <v>996</v>
      </c>
      <c r="X391" t="s">
        <v>998</v>
      </c>
      <c r="Y391" t="s">
        <v>1001</v>
      </c>
      <c r="Z391">
        <v>1</v>
      </c>
      <c r="AA391">
        <v>24</v>
      </c>
      <c r="AB391" s="4">
        <f>Table1[[#This Row],[Total_Price]]*(1-Table1[[#This Row],[Discount 2]])</f>
        <v>4841742.1458000001</v>
      </c>
      <c r="AC391" s="4" t="str" cm="1">
        <f t="array" ref="AC391">_xlfn.IFS(Table1[[#This Row],[Revenue]]&gt;=30000000,"High Value",Table1[[#This Row],[Revenue]]&gt;=10000000,"Moderate Value",TRUE,"Low Value")</f>
        <v>Low Value</v>
      </c>
      <c r="AD391" t="str">
        <f>IF(Table1[[#This Row],[Discount 2]]&gt;=5%, "YES", "NO")</f>
        <v>YES</v>
      </c>
      <c r="AE391" t="str" cm="1">
        <f t="array" ref="AE391">_xlfn.IFS(Table1[[#This Row],[Revenue]]&gt;=30000000,"High Spender",Table1[[#This Row],[Revenue]]&gt;=10000000,"Moderate Spender",TRUE,"Low Spender")</f>
        <v>Low Spender</v>
      </c>
      <c r="AF391" s="4" t="str" cm="1">
        <f t="array" ref="AF391">_xlfn.IFS(Table1[[#This Row],[Land_Size_SQM]]&gt;=730,"LARGE",Table1[[#This Row],[Land_Size_SQM]]&gt;=465,"MEDIUM",TRUE,"SMALL")</f>
        <v>SMALL</v>
      </c>
    </row>
    <row r="392" spans="1:32" x14ac:dyDescent="0.3">
      <c r="A392" t="s">
        <v>416</v>
      </c>
      <c r="B392" t="s">
        <v>598</v>
      </c>
      <c r="C392" t="s">
        <v>627</v>
      </c>
      <c r="D392">
        <v>47</v>
      </c>
      <c r="E392" t="s">
        <v>629</v>
      </c>
      <c r="F392">
        <v>656</v>
      </c>
      <c r="G392" s="4">
        <v>27433</v>
      </c>
      <c r="H392" s="4">
        <v>17996048</v>
      </c>
      <c r="I392" t="s">
        <v>640</v>
      </c>
      <c r="J392" t="s">
        <v>672</v>
      </c>
      <c r="K392" t="s">
        <v>678</v>
      </c>
      <c r="L392" t="s">
        <v>681</v>
      </c>
      <c r="M392" t="s">
        <v>685</v>
      </c>
      <c r="N392" t="s">
        <v>689</v>
      </c>
      <c r="O392" t="s">
        <v>694</v>
      </c>
      <c r="P392" s="4">
        <v>6639050</v>
      </c>
      <c r="Q392">
        <v>12</v>
      </c>
      <c r="R392" s="7">
        <v>4.2300000000000004</v>
      </c>
      <c r="S392" s="8">
        <f>Table1[[#This Row],[Discount_%]]/100</f>
        <v>4.2300000000000004E-2</v>
      </c>
      <c r="T392" s="6" t="s">
        <v>807</v>
      </c>
      <c r="U392" t="s">
        <v>989</v>
      </c>
      <c r="V392">
        <v>2024</v>
      </c>
      <c r="W392" t="s">
        <v>994</v>
      </c>
      <c r="X392" t="s">
        <v>998</v>
      </c>
      <c r="Y392" t="s">
        <v>1001</v>
      </c>
      <c r="Z392">
        <v>2</v>
      </c>
      <c r="AA392">
        <v>42</v>
      </c>
      <c r="AB392" s="4">
        <f>Table1[[#This Row],[Total_Price]]*(1-Table1[[#This Row],[Discount 2]])</f>
        <v>17234815.169599999</v>
      </c>
      <c r="AC392" s="4" t="str" cm="1">
        <f t="array" ref="AC392">_xlfn.IFS(Table1[[#This Row],[Revenue]]&gt;=30000000,"High Value",Table1[[#This Row],[Revenue]]&gt;=10000000,"Moderate Value",TRUE,"Low Value")</f>
        <v>Moderate Value</v>
      </c>
      <c r="AD392" t="str">
        <f>IF(Table1[[#This Row],[Discount 2]]&gt;=5%, "YES", "NO")</f>
        <v>NO</v>
      </c>
      <c r="AE392" t="str" cm="1">
        <f t="array" ref="AE392">_xlfn.IFS(Table1[[#This Row],[Revenue]]&gt;=30000000,"High Spender",Table1[[#This Row],[Revenue]]&gt;=10000000,"Moderate Spender",TRUE,"Low Spender")</f>
        <v>Moderate Spender</v>
      </c>
      <c r="AF392" s="4" t="str" cm="1">
        <f t="array" ref="AF392">_xlfn.IFS(Table1[[#This Row],[Land_Size_SQM]]&gt;=730,"LARGE",Table1[[#This Row],[Land_Size_SQM]]&gt;=465,"MEDIUM",TRUE,"SMALL")</f>
        <v>MEDIUM</v>
      </c>
    </row>
    <row r="393" spans="1:32" x14ac:dyDescent="0.3">
      <c r="A393" t="s">
        <v>417</v>
      </c>
      <c r="B393" t="s">
        <v>589</v>
      </c>
      <c r="C393" t="s">
        <v>626</v>
      </c>
      <c r="D393">
        <v>29</v>
      </c>
      <c r="E393" t="s">
        <v>628</v>
      </c>
      <c r="F393">
        <v>707</v>
      </c>
      <c r="G393" s="4">
        <v>36555</v>
      </c>
      <c r="H393" s="4">
        <v>25844385</v>
      </c>
      <c r="I393" t="s">
        <v>659</v>
      </c>
      <c r="J393" t="s">
        <v>668</v>
      </c>
      <c r="K393" t="s">
        <v>638</v>
      </c>
      <c r="L393" t="s">
        <v>682</v>
      </c>
      <c r="M393" t="s">
        <v>687</v>
      </c>
      <c r="N393" t="s">
        <v>688</v>
      </c>
      <c r="O393" t="s">
        <v>693</v>
      </c>
      <c r="P393" s="4">
        <v>25844385</v>
      </c>
      <c r="Q393">
        <v>0</v>
      </c>
      <c r="R393" s="7">
        <v>2.91</v>
      </c>
      <c r="S393" s="8">
        <f>Table1[[#This Row],[Discount_%]]/100</f>
        <v>2.9100000000000001E-2</v>
      </c>
      <c r="T393" s="6" t="s">
        <v>951</v>
      </c>
      <c r="U393" t="s">
        <v>989</v>
      </c>
      <c r="V393">
        <v>2024</v>
      </c>
      <c r="W393" t="s">
        <v>995</v>
      </c>
      <c r="X393" t="s">
        <v>998</v>
      </c>
      <c r="Y393" t="s">
        <v>1001</v>
      </c>
      <c r="Z393">
        <v>1</v>
      </c>
      <c r="AA393">
        <v>36</v>
      </c>
      <c r="AB393" s="4">
        <f>Table1[[#This Row],[Total_Price]]*(1-Table1[[#This Row],[Discount 2]])</f>
        <v>25092313.396499999</v>
      </c>
      <c r="AC393" s="4" t="str" cm="1">
        <f t="array" ref="AC393">_xlfn.IFS(Table1[[#This Row],[Revenue]]&gt;=30000000,"High Value",Table1[[#This Row],[Revenue]]&gt;=10000000,"Moderate Value",TRUE,"Low Value")</f>
        <v>Moderate Value</v>
      </c>
      <c r="AD393" t="str">
        <f>IF(Table1[[#This Row],[Discount 2]]&gt;=5%, "YES", "NO")</f>
        <v>NO</v>
      </c>
      <c r="AE393" t="str" cm="1">
        <f t="array" ref="AE393">_xlfn.IFS(Table1[[#This Row],[Revenue]]&gt;=30000000,"High Spender",Table1[[#This Row],[Revenue]]&gt;=10000000,"Moderate Spender",TRUE,"Low Spender")</f>
        <v>Moderate Spender</v>
      </c>
      <c r="AF393" s="4" t="str" cm="1">
        <f t="array" ref="AF393">_xlfn.IFS(Table1[[#This Row],[Land_Size_SQM]]&gt;=730,"LARGE",Table1[[#This Row],[Land_Size_SQM]]&gt;=465,"MEDIUM",TRUE,"SMALL")</f>
        <v>MEDIUM</v>
      </c>
    </row>
    <row r="394" spans="1:32" x14ac:dyDescent="0.3">
      <c r="A394" t="s">
        <v>418</v>
      </c>
      <c r="B394" t="s">
        <v>532</v>
      </c>
      <c r="C394" t="s">
        <v>626</v>
      </c>
      <c r="D394">
        <v>57</v>
      </c>
      <c r="E394" t="s">
        <v>628</v>
      </c>
      <c r="F394">
        <v>310</v>
      </c>
      <c r="G394" s="4">
        <v>35466</v>
      </c>
      <c r="H394" s="4">
        <v>10994460</v>
      </c>
      <c r="I394" t="s">
        <v>664</v>
      </c>
      <c r="J394" t="s">
        <v>673</v>
      </c>
      <c r="K394" t="s">
        <v>675</v>
      </c>
      <c r="L394" t="s">
        <v>682</v>
      </c>
      <c r="M394" t="s">
        <v>685</v>
      </c>
      <c r="N394" t="s">
        <v>689</v>
      </c>
      <c r="O394" t="s">
        <v>694</v>
      </c>
      <c r="P394" s="4">
        <v>2510533</v>
      </c>
      <c r="Q394">
        <v>24</v>
      </c>
      <c r="R394" s="7">
        <v>6.61</v>
      </c>
      <c r="S394" s="8">
        <f>Table1[[#This Row],[Discount_%]]/100</f>
        <v>6.6100000000000006E-2</v>
      </c>
      <c r="T394" s="6" t="s">
        <v>816</v>
      </c>
      <c r="U394" t="s">
        <v>985</v>
      </c>
      <c r="V394">
        <v>2024</v>
      </c>
      <c r="W394" t="s">
        <v>995</v>
      </c>
      <c r="X394" t="s">
        <v>999</v>
      </c>
      <c r="Y394" t="s">
        <v>1000</v>
      </c>
      <c r="Z394">
        <v>4</v>
      </c>
      <c r="AA394">
        <v>3</v>
      </c>
      <c r="AB394" s="4">
        <f>Table1[[#This Row],[Total_Price]]*(1-Table1[[#This Row],[Discount 2]])</f>
        <v>10267726.194</v>
      </c>
      <c r="AC394" s="4" t="str" cm="1">
        <f t="array" ref="AC394">_xlfn.IFS(Table1[[#This Row],[Revenue]]&gt;=30000000,"High Value",Table1[[#This Row],[Revenue]]&gt;=10000000,"Moderate Value",TRUE,"Low Value")</f>
        <v>Moderate Value</v>
      </c>
      <c r="AD394" t="str">
        <f>IF(Table1[[#This Row],[Discount 2]]&gt;=5%, "YES", "NO")</f>
        <v>YES</v>
      </c>
      <c r="AE394" t="str" cm="1">
        <f t="array" ref="AE394">_xlfn.IFS(Table1[[#This Row],[Revenue]]&gt;=30000000,"High Spender",Table1[[#This Row],[Revenue]]&gt;=10000000,"Moderate Spender",TRUE,"Low Spender")</f>
        <v>Moderate Spender</v>
      </c>
      <c r="AF394" s="4" t="str" cm="1">
        <f t="array" ref="AF394">_xlfn.IFS(Table1[[#This Row],[Land_Size_SQM]]&gt;=730,"LARGE",Table1[[#This Row],[Land_Size_SQM]]&gt;=465,"MEDIUM",TRUE,"SMALL")</f>
        <v>SMALL</v>
      </c>
    </row>
    <row r="395" spans="1:32" x14ac:dyDescent="0.3">
      <c r="A395" t="s">
        <v>419</v>
      </c>
      <c r="B395" t="s">
        <v>613</v>
      </c>
      <c r="C395" t="s">
        <v>627</v>
      </c>
      <c r="D395">
        <v>58</v>
      </c>
      <c r="E395" t="s">
        <v>630</v>
      </c>
      <c r="F395">
        <v>521</v>
      </c>
      <c r="G395" s="4">
        <v>40483</v>
      </c>
      <c r="H395" s="4">
        <v>21091643</v>
      </c>
      <c r="I395" t="s">
        <v>661</v>
      </c>
      <c r="J395" t="s">
        <v>673</v>
      </c>
      <c r="K395" t="s">
        <v>677</v>
      </c>
      <c r="L395" t="s">
        <v>682</v>
      </c>
      <c r="M395" t="s">
        <v>685</v>
      </c>
      <c r="N395" t="s">
        <v>691</v>
      </c>
      <c r="O395" t="s">
        <v>694</v>
      </c>
      <c r="P395" s="4">
        <v>8165484</v>
      </c>
      <c r="Q395">
        <v>24</v>
      </c>
      <c r="R395" s="7">
        <v>2.65</v>
      </c>
      <c r="S395" s="8">
        <f>Table1[[#This Row],[Discount_%]]/100</f>
        <v>2.6499999999999999E-2</v>
      </c>
      <c r="T395" s="6" t="s">
        <v>953</v>
      </c>
      <c r="U395" t="s">
        <v>990</v>
      </c>
      <c r="V395">
        <v>2024</v>
      </c>
      <c r="W395" t="s">
        <v>993</v>
      </c>
      <c r="X395" t="s">
        <v>999</v>
      </c>
      <c r="Y395" t="s">
        <v>1002</v>
      </c>
      <c r="Z395">
        <v>1</v>
      </c>
      <c r="AA395">
        <v>1</v>
      </c>
      <c r="AB395" s="4">
        <f>Table1[[#This Row],[Total_Price]]*(1-Table1[[#This Row],[Discount 2]])</f>
        <v>20532714.460500002</v>
      </c>
      <c r="AC395" s="4" t="str" cm="1">
        <f t="array" ref="AC395">_xlfn.IFS(Table1[[#This Row],[Revenue]]&gt;=30000000,"High Value",Table1[[#This Row],[Revenue]]&gt;=10000000,"Moderate Value",TRUE,"Low Value")</f>
        <v>Moderate Value</v>
      </c>
      <c r="AD395" t="str">
        <f>IF(Table1[[#This Row],[Discount 2]]&gt;=5%, "YES", "NO")</f>
        <v>NO</v>
      </c>
      <c r="AE395" t="str" cm="1">
        <f t="array" ref="AE395">_xlfn.IFS(Table1[[#This Row],[Revenue]]&gt;=30000000,"High Spender",Table1[[#This Row],[Revenue]]&gt;=10000000,"Moderate Spender",TRUE,"Low Spender")</f>
        <v>Moderate Spender</v>
      </c>
      <c r="AF395" s="4" t="str" cm="1">
        <f t="array" ref="AF395">_xlfn.IFS(Table1[[#This Row],[Land_Size_SQM]]&gt;=730,"LARGE",Table1[[#This Row],[Land_Size_SQM]]&gt;=465,"MEDIUM",TRUE,"SMALL")</f>
        <v>MEDIUM</v>
      </c>
    </row>
    <row r="396" spans="1:32" x14ac:dyDescent="0.3">
      <c r="A396" t="s">
        <v>420</v>
      </c>
      <c r="B396" t="s">
        <v>557</v>
      </c>
      <c r="C396" t="s">
        <v>627</v>
      </c>
      <c r="D396">
        <v>28</v>
      </c>
      <c r="E396" t="s">
        <v>628</v>
      </c>
      <c r="F396">
        <v>908</v>
      </c>
      <c r="G396" s="4">
        <v>28548</v>
      </c>
      <c r="H396" s="4">
        <v>25921584</v>
      </c>
      <c r="I396" t="s">
        <v>632</v>
      </c>
      <c r="J396" t="s">
        <v>669</v>
      </c>
      <c r="K396" t="s">
        <v>678</v>
      </c>
      <c r="L396" t="s">
        <v>680</v>
      </c>
      <c r="M396" t="s">
        <v>683</v>
      </c>
      <c r="N396" t="s">
        <v>689</v>
      </c>
      <c r="O396" t="s">
        <v>694</v>
      </c>
      <c r="P396" s="4">
        <v>9994062</v>
      </c>
      <c r="Q396">
        <v>12</v>
      </c>
      <c r="R396" s="7">
        <v>9.74</v>
      </c>
      <c r="S396" s="8">
        <f>Table1[[#This Row],[Discount_%]]/100</f>
        <v>9.74E-2</v>
      </c>
      <c r="T396" s="6" t="s">
        <v>768</v>
      </c>
      <c r="U396" t="s">
        <v>991</v>
      </c>
      <c r="V396">
        <v>2024</v>
      </c>
      <c r="W396" t="s">
        <v>993</v>
      </c>
      <c r="X396" t="s">
        <v>997</v>
      </c>
      <c r="Y396" t="s">
        <v>1000</v>
      </c>
      <c r="Z396">
        <v>1</v>
      </c>
      <c r="AA396">
        <v>14</v>
      </c>
      <c r="AB396" s="4">
        <f>Table1[[#This Row],[Total_Price]]*(1-Table1[[#This Row],[Discount 2]])</f>
        <v>23396821.718399998</v>
      </c>
      <c r="AC396" s="4" t="str" cm="1">
        <f t="array" ref="AC396">_xlfn.IFS(Table1[[#This Row],[Revenue]]&gt;=30000000,"High Value",Table1[[#This Row],[Revenue]]&gt;=10000000,"Moderate Value",TRUE,"Low Value")</f>
        <v>Moderate Value</v>
      </c>
      <c r="AD396" t="str">
        <f>IF(Table1[[#This Row],[Discount 2]]&gt;=5%, "YES", "NO")</f>
        <v>YES</v>
      </c>
      <c r="AE396" t="str" cm="1">
        <f t="array" ref="AE396">_xlfn.IFS(Table1[[#This Row],[Revenue]]&gt;=30000000,"High Spender",Table1[[#This Row],[Revenue]]&gt;=10000000,"Moderate Spender",TRUE,"Low Spender")</f>
        <v>Moderate Spender</v>
      </c>
      <c r="AF396" s="4" t="str" cm="1">
        <f t="array" ref="AF396">_xlfn.IFS(Table1[[#This Row],[Land_Size_SQM]]&gt;=730,"LARGE",Table1[[#This Row],[Land_Size_SQM]]&gt;=465,"MEDIUM",TRUE,"SMALL")</f>
        <v>LARGE</v>
      </c>
    </row>
    <row r="397" spans="1:32" x14ac:dyDescent="0.3">
      <c r="A397" t="s">
        <v>421</v>
      </c>
      <c r="B397" t="s">
        <v>545</v>
      </c>
      <c r="C397" t="s">
        <v>627</v>
      </c>
      <c r="D397">
        <v>27</v>
      </c>
      <c r="E397" t="s">
        <v>628</v>
      </c>
      <c r="F397">
        <v>865</v>
      </c>
      <c r="G397" s="4">
        <v>17845</v>
      </c>
      <c r="H397" s="4">
        <v>15435925</v>
      </c>
      <c r="I397" t="s">
        <v>634</v>
      </c>
      <c r="J397" t="s">
        <v>670</v>
      </c>
      <c r="K397" t="s">
        <v>638</v>
      </c>
      <c r="L397" t="s">
        <v>680</v>
      </c>
      <c r="M397" t="s">
        <v>684</v>
      </c>
      <c r="N397" t="s">
        <v>691</v>
      </c>
      <c r="O397" t="s">
        <v>694</v>
      </c>
      <c r="P397" s="4">
        <v>3485865</v>
      </c>
      <c r="Q397">
        <v>6</v>
      </c>
      <c r="R397" s="7">
        <v>7.7</v>
      </c>
      <c r="S397" s="8">
        <f>Table1[[#This Row],[Discount_%]]/100</f>
        <v>7.6999999999999999E-2</v>
      </c>
      <c r="T397" s="6" t="s">
        <v>866</v>
      </c>
      <c r="U397" t="s">
        <v>987</v>
      </c>
      <c r="V397">
        <v>2024</v>
      </c>
      <c r="W397" t="s">
        <v>995</v>
      </c>
      <c r="X397" t="s">
        <v>999</v>
      </c>
      <c r="Y397" t="s">
        <v>1002</v>
      </c>
      <c r="Z397">
        <v>5</v>
      </c>
      <c r="AA397">
        <v>16</v>
      </c>
      <c r="AB397" s="4">
        <f>Table1[[#This Row],[Total_Price]]*(1-Table1[[#This Row],[Discount 2]])</f>
        <v>14247358.775</v>
      </c>
      <c r="AC397" s="4" t="str" cm="1">
        <f t="array" ref="AC397">_xlfn.IFS(Table1[[#This Row],[Revenue]]&gt;=30000000,"High Value",Table1[[#This Row],[Revenue]]&gt;=10000000,"Moderate Value",TRUE,"Low Value")</f>
        <v>Moderate Value</v>
      </c>
      <c r="AD397" t="str">
        <f>IF(Table1[[#This Row],[Discount 2]]&gt;=5%, "YES", "NO")</f>
        <v>YES</v>
      </c>
      <c r="AE397" t="str" cm="1">
        <f t="array" ref="AE397">_xlfn.IFS(Table1[[#This Row],[Revenue]]&gt;=30000000,"High Spender",Table1[[#This Row],[Revenue]]&gt;=10000000,"Moderate Spender",TRUE,"Low Spender")</f>
        <v>Moderate Spender</v>
      </c>
      <c r="AF397" s="4" t="str" cm="1">
        <f t="array" ref="AF397">_xlfn.IFS(Table1[[#This Row],[Land_Size_SQM]]&gt;=730,"LARGE",Table1[[#This Row],[Land_Size_SQM]]&gt;=465,"MEDIUM",TRUE,"SMALL")</f>
        <v>LARGE</v>
      </c>
    </row>
    <row r="398" spans="1:32" x14ac:dyDescent="0.3">
      <c r="A398" t="s">
        <v>422</v>
      </c>
      <c r="B398" t="s">
        <v>552</v>
      </c>
      <c r="C398" t="s">
        <v>626</v>
      </c>
      <c r="D398">
        <v>22</v>
      </c>
      <c r="E398" t="s">
        <v>630</v>
      </c>
      <c r="F398">
        <v>601</v>
      </c>
      <c r="G398" s="4">
        <v>5337</v>
      </c>
      <c r="H398" s="4">
        <v>3207537</v>
      </c>
      <c r="I398" t="s">
        <v>651</v>
      </c>
      <c r="J398" t="s">
        <v>669</v>
      </c>
      <c r="K398" t="s">
        <v>674</v>
      </c>
      <c r="L398" t="s">
        <v>681</v>
      </c>
      <c r="M398" t="s">
        <v>684</v>
      </c>
      <c r="N398" t="s">
        <v>692</v>
      </c>
      <c r="O398" t="s">
        <v>694</v>
      </c>
      <c r="P398" s="4">
        <v>740297</v>
      </c>
      <c r="Q398">
        <v>3</v>
      </c>
      <c r="R398" s="7">
        <v>8.48</v>
      </c>
      <c r="S398" s="8">
        <f>Table1[[#This Row],[Discount_%]]/100</f>
        <v>8.48E-2</v>
      </c>
      <c r="T398" s="6" t="s">
        <v>752</v>
      </c>
      <c r="U398" t="s">
        <v>989</v>
      </c>
      <c r="V398">
        <v>2024</v>
      </c>
      <c r="W398" t="s">
        <v>995</v>
      </c>
      <c r="X398" t="s">
        <v>999</v>
      </c>
      <c r="Y398" t="s">
        <v>1001</v>
      </c>
      <c r="Z398">
        <v>1</v>
      </c>
      <c r="AA398">
        <v>34</v>
      </c>
      <c r="AB398" s="4">
        <f>Table1[[#This Row],[Total_Price]]*(1-Table1[[#This Row],[Discount 2]])</f>
        <v>2935537.8624</v>
      </c>
      <c r="AC398" s="4" t="str" cm="1">
        <f t="array" ref="AC398">_xlfn.IFS(Table1[[#This Row],[Revenue]]&gt;=30000000,"High Value",Table1[[#This Row],[Revenue]]&gt;=10000000,"Moderate Value",TRUE,"Low Value")</f>
        <v>Low Value</v>
      </c>
      <c r="AD398" t="str">
        <f>IF(Table1[[#This Row],[Discount 2]]&gt;=5%, "YES", "NO")</f>
        <v>YES</v>
      </c>
      <c r="AE398" t="str" cm="1">
        <f t="array" ref="AE398">_xlfn.IFS(Table1[[#This Row],[Revenue]]&gt;=30000000,"High Spender",Table1[[#This Row],[Revenue]]&gt;=10000000,"Moderate Spender",TRUE,"Low Spender")</f>
        <v>Low Spender</v>
      </c>
      <c r="AF398" s="4" t="str" cm="1">
        <f t="array" ref="AF398">_xlfn.IFS(Table1[[#This Row],[Land_Size_SQM]]&gt;=730,"LARGE",Table1[[#This Row],[Land_Size_SQM]]&gt;=465,"MEDIUM",TRUE,"SMALL")</f>
        <v>MEDIUM</v>
      </c>
    </row>
    <row r="399" spans="1:32" x14ac:dyDescent="0.3">
      <c r="A399" t="s">
        <v>423</v>
      </c>
      <c r="B399" t="s">
        <v>552</v>
      </c>
      <c r="C399" t="s">
        <v>627</v>
      </c>
      <c r="D399">
        <v>51</v>
      </c>
      <c r="E399" t="s">
        <v>629</v>
      </c>
      <c r="F399">
        <v>523</v>
      </c>
      <c r="G399" s="4">
        <v>38258</v>
      </c>
      <c r="H399" s="4">
        <v>20008934</v>
      </c>
      <c r="I399" t="s">
        <v>661</v>
      </c>
      <c r="J399" t="s">
        <v>673</v>
      </c>
      <c r="K399" t="s">
        <v>674</v>
      </c>
      <c r="L399" t="s">
        <v>682</v>
      </c>
      <c r="M399" t="s">
        <v>687</v>
      </c>
      <c r="N399" t="s">
        <v>691</v>
      </c>
      <c r="O399" t="s">
        <v>693</v>
      </c>
      <c r="P399" s="4">
        <v>20008934</v>
      </c>
      <c r="Q399">
        <v>0</v>
      </c>
      <c r="R399" s="7">
        <v>2.68</v>
      </c>
      <c r="S399" s="8">
        <f>Table1[[#This Row],[Discount_%]]/100</f>
        <v>2.6800000000000001E-2</v>
      </c>
      <c r="T399" s="6" t="s">
        <v>855</v>
      </c>
      <c r="U399" t="s">
        <v>983</v>
      </c>
      <c r="V399">
        <v>2024</v>
      </c>
      <c r="W399" t="s">
        <v>995</v>
      </c>
      <c r="X399" t="s">
        <v>999</v>
      </c>
      <c r="Y399" t="s">
        <v>1000</v>
      </c>
      <c r="Z399">
        <v>3</v>
      </c>
      <c r="AA399">
        <v>47</v>
      </c>
      <c r="AB399" s="4">
        <f>Table1[[#This Row],[Total_Price]]*(1-Table1[[#This Row],[Discount 2]])</f>
        <v>19472694.568799999</v>
      </c>
      <c r="AC399" s="4" t="str" cm="1">
        <f t="array" ref="AC399">_xlfn.IFS(Table1[[#This Row],[Revenue]]&gt;=30000000,"High Value",Table1[[#This Row],[Revenue]]&gt;=10000000,"Moderate Value",TRUE,"Low Value")</f>
        <v>Moderate Value</v>
      </c>
      <c r="AD399" t="str">
        <f>IF(Table1[[#This Row],[Discount 2]]&gt;=5%, "YES", "NO")</f>
        <v>NO</v>
      </c>
      <c r="AE399" t="str" cm="1">
        <f t="array" ref="AE399">_xlfn.IFS(Table1[[#This Row],[Revenue]]&gt;=30000000,"High Spender",Table1[[#This Row],[Revenue]]&gt;=10000000,"Moderate Spender",TRUE,"Low Spender")</f>
        <v>Moderate Spender</v>
      </c>
      <c r="AF399" s="4" t="str" cm="1">
        <f t="array" ref="AF399">_xlfn.IFS(Table1[[#This Row],[Land_Size_SQM]]&gt;=730,"LARGE",Table1[[#This Row],[Land_Size_SQM]]&gt;=465,"MEDIUM",TRUE,"SMALL")</f>
        <v>MEDIUM</v>
      </c>
    </row>
    <row r="400" spans="1:32" x14ac:dyDescent="0.3">
      <c r="A400" t="s">
        <v>424</v>
      </c>
      <c r="B400" t="s">
        <v>598</v>
      </c>
      <c r="C400" t="s">
        <v>626</v>
      </c>
      <c r="D400">
        <v>28</v>
      </c>
      <c r="E400" t="s">
        <v>630</v>
      </c>
      <c r="F400">
        <v>648</v>
      </c>
      <c r="G400" s="4">
        <v>17211</v>
      </c>
      <c r="H400" s="4">
        <v>11152728</v>
      </c>
      <c r="I400" t="s">
        <v>632</v>
      </c>
      <c r="J400" t="s">
        <v>669</v>
      </c>
      <c r="K400" t="s">
        <v>651</v>
      </c>
      <c r="L400" t="s">
        <v>682</v>
      </c>
      <c r="M400" t="s">
        <v>684</v>
      </c>
      <c r="N400" t="s">
        <v>691</v>
      </c>
      <c r="O400" t="s">
        <v>693</v>
      </c>
      <c r="P400" s="4">
        <v>11152728</v>
      </c>
      <c r="Q400">
        <v>0</v>
      </c>
      <c r="R400" s="7">
        <v>5.88</v>
      </c>
      <c r="S400" s="8">
        <f>Table1[[#This Row],[Discount_%]]/100</f>
        <v>5.8799999999999998E-2</v>
      </c>
      <c r="T400" s="6" t="s">
        <v>762</v>
      </c>
      <c r="U400" t="s">
        <v>984</v>
      </c>
      <c r="V400">
        <v>2024</v>
      </c>
      <c r="W400" t="s">
        <v>994</v>
      </c>
      <c r="X400" t="s">
        <v>998</v>
      </c>
      <c r="Y400" t="s">
        <v>1000</v>
      </c>
      <c r="Z400">
        <v>5</v>
      </c>
      <c r="AA400">
        <v>14</v>
      </c>
      <c r="AB400" s="4">
        <f>Table1[[#This Row],[Total_Price]]*(1-Table1[[#This Row],[Discount 2]])</f>
        <v>10496947.593600001</v>
      </c>
      <c r="AC400" s="4" t="str" cm="1">
        <f t="array" ref="AC400">_xlfn.IFS(Table1[[#This Row],[Revenue]]&gt;=30000000,"High Value",Table1[[#This Row],[Revenue]]&gt;=10000000,"Moderate Value",TRUE,"Low Value")</f>
        <v>Moderate Value</v>
      </c>
      <c r="AD400" t="str">
        <f>IF(Table1[[#This Row],[Discount 2]]&gt;=5%, "YES", "NO")</f>
        <v>YES</v>
      </c>
      <c r="AE400" t="str" cm="1">
        <f t="array" ref="AE400">_xlfn.IFS(Table1[[#This Row],[Revenue]]&gt;=30000000,"High Spender",Table1[[#This Row],[Revenue]]&gt;=10000000,"Moderate Spender",TRUE,"Low Spender")</f>
        <v>Moderate Spender</v>
      </c>
      <c r="AF400" s="4" t="str" cm="1">
        <f t="array" ref="AF400">_xlfn.IFS(Table1[[#This Row],[Land_Size_SQM]]&gt;=730,"LARGE",Table1[[#This Row],[Land_Size_SQM]]&gt;=465,"MEDIUM",TRUE,"SMALL")</f>
        <v>MEDIUM</v>
      </c>
    </row>
    <row r="401" spans="1:32" x14ac:dyDescent="0.3">
      <c r="A401" t="s">
        <v>425</v>
      </c>
      <c r="B401" t="s">
        <v>536</v>
      </c>
      <c r="C401" t="s">
        <v>627</v>
      </c>
      <c r="D401">
        <v>46</v>
      </c>
      <c r="E401" t="s">
        <v>630</v>
      </c>
      <c r="F401">
        <v>883</v>
      </c>
      <c r="G401" s="4">
        <v>33646</v>
      </c>
      <c r="H401" s="4">
        <v>29709418</v>
      </c>
      <c r="I401" t="s">
        <v>636</v>
      </c>
      <c r="J401" t="s">
        <v>671</v>
      </c>
      <c r="K401" t="s">
        <v>676</v>
      </c>
      <c r="L401" t="s">
        <v>681</v>
      </c>
      <c r="M401" t="s">
        <v>683</v>
      </c>
      <c r="N401" t="s">
        <v>688</v>
      </c>
      <c r="O401" t="s">
        <v>693</v>
      </c>
      <c r="P401" s="4">
        <v>29709418</v>
      </c>
      <c r="Q401">
        <v>0</v>
      </c>
      <c r="R401" s="7">
        <v>1.73</v>
      </c>
      <c r="S401" s="8">
        <f>Table1[[#This Row],[Discount_%]]/100</f>
        <v>1.7299999999999999E-2</v>
      </c>
      <c r="T401" s="6" t="s">
        <v>954</v>
      </c>
      <c r="U401" t="s">
        <v>987</v>
      </c>
      <c r="V401">
        <v>2024</v>
      </c>
      <c r="W401" t="s">
        <v>993</v>
      </c>
      <c r="X401" t="s">
        <v>999</v>
      </c>
      <c r="Y401" t="s">
        <v>1002</v>
      </c>
      <c r="Z401">
        <v>3</v>
      </c>
      <c r="AA401">
        <v>23</v>
      </c>
      <c r="AB401" s="4">
        <f>Table1[[#This Row],[Total_Price]]*(1-Table1[[#This Row],[Discount 2]])</f>
        <v>29195445.068599999</v>
      </c>
      <c r="AC401" s="4" t="str" cm="1">
        <f t="array" ref="AC401">_xlfn.IFS(Table1[[#This Row],[Revenue]]&gt;=30000000,"High Value",Table1[[#This Row],[Revenue]]&gt;=10000000,"Moderate Value",TRUE,"Low Value")</f>
        <v>Moderate Value</v>
      </c>
      <c r="AD401" t="str">
        <f>IF(Table1[[#This Row],[Discount 2]]&gt;=5%, "YES", "NO")</f>
        <v>NO</v>
      </c>
      <c r="AE401" t="str" cm="1">
        <f t="array" ref="AE401">_xlfn.IFS(Table1[[#This Row],[Revenue]]&gt;=30000000,"High Spender",Table1[[#This Row],[Revenue]]&gt;=10000000,"Moderate Spender",TRUE,"Low Spender")</f>
        <v>Moderate Spender</v>
      </c>
      <c r="AF401" s="4" t="str" cm="1">
        <f t="array" ref="AF401">_xlfn.IFS(Table1[[#This Row],[Land_Size_SQM]]&gt;=730,"LARGE",Table1[[#This Row],[Land_Size_SQM]]&gt;=465,"MEDIUM",TRUE,"SMALL")</f>
        <v>LARGE</v>
      </c>
    </row>
    <row r="402" spans="1:32" x14ac:dyDescent="0.3">
      <c r="A402" t="s">
        <v>426</v>
      </c>
      <c r="B402" t="s">
        <v>550</v>
      </c>
      <c r="C402" t="s">
        <v>627</v>
      </c>
      <c r="D402">
        <v>55</v>
      </c>
      <c r="E402" t="s">
        <v>628</v>
      </c>
      <c r="F402">
        <v>715</v>
      </c>
      <c r="G402" s="4">
        <v>4095</v>
      </c>
      <c r="H402" s="4">
        <v>2927925</v>
      </c>
      <c r="I402" t="s">
        <v>653</v>
      </c>
      <c r="J402" t="s">
        <v>668</v>
      </c>
      <c r="K402" t="s">
        <v>638</v>
      </c>
      <c r="L402" t="s">
        <v>681</v>
      </c>
      <c r="M402" t="s">
        <v>687</v>
      </c>
      <c r="N402" t="s">
        <v>690</v>
      </c>
      <c r="O402" t="s">
        <v>693</v>
      </c>
      <c r="P402" s="4">
        <v>2927925</v>
      </c>
      <c r="Q402">
        <v>0</v>
      </c>
      <c r="R402" s="7">
        <v>3.38</v>
      </c>
      <c r="S402" s="8">
        <f>Table1[[#This Row],[Discount_%]]/100</f>
        <v>3.3799999999999997E-2</v>
      </c>
      <c r="T402" s="6" t="s">
        <v>758</v>
      </c>
      <c r="U402" t="s">
        <v>981</v>
      </c>
      <c r="V402">
        <v>2024</v>
      </c>
      <c r="W402" t="s">
        <v>994</v>
      </c>
      <c r="X402" t="s">
        <v>999</v>
      </c>
      <c r="Y402" t="s">
        <v>1001</v>
      </c>
      <c r="Z402">
        <v>3</v>
      </c>
      <c r="AA402">
        <v>10</v>
      </c>
      <c r="AB402" s="4">
        <f>Table1[[#This Row],[Total_Price]]*(1-Table1[[#This Row],[Discount 2]])</f>
        <v>2828961.1349999998</v>
      </c>
      <c r="AC402" s="4" t="str" cm="1">
        <f t="array" ref="AC402">_xlfn.IFS(Table1[[#This Row],[Revenue]]&gt;=30000000,"High Value",Table1[[#This Row],[Revenue]]&gt;=10000000,"Moderate Value",TRUE,"Low Value")</f>
        <v>Low Value</v>
      </c>
      <c r="AD402" t="str">
        <f>IF(Table1[[#This Row],[Discount 2]]&gt;=5%, "YES", "NO")</f>
        <v>NO</v>
      </c>
      <c r="AE402" t="str" cm="1">
        <f t="array" ref="AE402">_xlfn.IFS(Table1[[#This Row],[Revenue]]&gt;=30000000,"High Spender",Table1[[#This Row],[Revenue]]&gt;=10000000,"Moderate Spender",TRUE,"Low Spender")</f>
        <v>Low Spender</v>
      </c>
      <c r="AF402" s="4" t="str" cm="1">
        <f t="array" ref="AF402">_xlfn.IFS(Table1[[#This Row],[Land_Size_SQM]]&gt;=730,"LARGE",Table1[[#This Row],[Land_Size_SQM]]&gt;=465,"MEDIUM",TRUE,"SMALL")</f>
        <v>MEDIUM</v>
      </c>
    </row>
    <row r="403" spans="1:32" x14ac:dyDescent="0.3">
      <c r="A403" t="s">
        <v>427</v>
      </c>
      <c r="B403" t="s">
        <v>531</v>
      </c>
      <c r="C403" t="s">
        <v>627</v>
      </c>
      <c r="D403">
        <v>59</v>
      </c>
      <c r="E403" t="s">
        <v>629</v>
      </c>
      <c r="F403">
        <v>885</v>
      </c>
      <c r="G403" s="4">
        <v>8825</v>
      </c>
      <c r="H403" s="4">
        <v>7810125</v>
      </c>
      <c r="I403" t="s">
        <v>644</v>
      </c>
      <c r="J403" t="s">
        <v>668</v>
      </c>
      <c r="K403" t="s">
        <v>674</v>
      </c>
      <c r="L403" t="s">
        <v>680</v>
      </c>
      <c r="M403" t="s">
        <v>686</v>
      </c>
      <c r="N403" t="s">
        <v>689</v>
      </c>
      <c r="O403" t="s">
        <v>693</v>
      </c>
      <c r="P403" s="4">
        <v>7810125</v>
      </c>
      <c r="Q403">
        <v>0</v>
      </c>
      <c r="R403" s="7">
        <v>9.27</v>
      </c>
      <c r="S403" s="8">
        <f>Table1[[#This Row],[Discount_%]]/100</f>
        <v>9.2699999999999991E-2</v>
      </c>
      <c r="T403" s="6" t="s">
        <v>955</v>
      </c>
      <c r="U403" t="s">
        <v>989</v>
      </c>
      <c r="V403">
        <v>2024</v>
      </c>
      <c r="W403" t="s">
        <v>993</v>
      </c>
      <c r="X403" t="s">
        <v>999</v>
      </c>
      <c r="Y403" t="s">
        <v>1001</v>
      </c>
      <c r="Z403">
        <v>1</v>
      </c>
      <c r="AA403">
        <v>14</v>
      </c>
      <c r="AB403" s="4">
        <f>Table1[[#This Row],[Total_Price]]*(1-Table1[[#This Row],[Discount 2]])</f>
        <v>7086126.4124999996</v>
      </c>
      <c r="AC403" s="4" t="str" cm="1">
        <f t="array" ref="AC403">_xlfn.IFS(Table1[[#This Row],[Revenue]]&gt;=30000000,"High Value",Table1[[#This Row],[Revenue]]&gt;=10000000,"Moderate Value",TRUE,"Low Value")</f>
        <v>Low Value</v>
      </c>
      <c r="AD403" t="str">
        <f>IF(Table1[[#This Row],[Discount 2]]&gt;=5%, "YES", "NO")</f>
        <v>YES</v>
      </c>
      <c r="AE403" t="str" cm="1">
        <f t="array" ref="AE403">_xlfn.IFS(Table1[[#This Row],[Revenue]]&gt;=30000000,"High Spender",Table1[[#This Row],[Revenue]]&gt;=10000000,"Moderate Spender",TRUE,"Low Spender")</f>
        <v>Low Spender</v>
      </c>
      <c r="AF403" s="4" t="str" cm="1">
        <f t="array" ref="AF403">_xlfn.IFS(Table1[[#This Row],[Land_Size_SQM]]&gt;=730,"LARGE",Table1[[#This Row],[Land_Size_SQM]]&gt;=465,"MEDIUM",TRUE,"SMALL")</f>
        <v>LARGE</v>
      </c>
    </row>
    <row r="404" spans="1:32" x14ac:dyDescent="0.3">
      <c r="A404" t="s">
        <v>428</v>
      </c>
      <c r="B404" t="s">
        <v>565</v>
      </c>
      <c r="C404" t="s">
        <v>626</v>
      </c>
      <c r="D404">
        <v>46</v>
      </c>
      <c r="E404" t="s">
        <v>628</v>
      </c>
      <c r="F404">
        <v>925</v>
      </c>
      <c r="G404" s="4">
        <v>30935</v>
      </c>
      <c r="H404" s="4">
        <v>28614875</v>
      </c>
      <c r="I404" t="s">
        <v>648</v>
      </c>
      <c r="J404" t="s">
        <v>671</v>
      </c>
      <c r="K404" t="s">
        <v>677</v>
      </c>
      <c r="L404" t="s">
        <v>680</v>
      </c>
      <c r="M404" t="s">
        <v>684</v>
      </c>
      <c r="N404" t="s">
        <v>690</v>
      </c>
      <c r="O404" t="s">
        <v>694</v>
      </c>
      <c r="P404" s="4">
        <v>7047521</v>
      </c>
      <c r="Q404">
        <v>3</v>
      </c>
      <c r="R404" s="7">
        <v>3.64</v>
      </c>
      <c r="S404" s="8">
        <f>Table1[[#This Row],[Discount_%]]/100</f>
        <v>3.6400000000000002E-2</v>
      </c>
      <c r="T404" s="6" t="s">
        <v>956</v>
      </c>
      <c r="U404" t="s">
        <v>987</v>
      </c>
      <c r="V404">
        <v>2024</v>
      </c>
      <c r="W404" t="s">
        <v>994</v>
      </c>
      <c r="X404" t="s">
        <v>997</v>
      </c>
      <c r="Y404" t="s">
        <v>1000</v>
      </c>
      <c r="Z404">
        <v>1</v>
      </c>
      <c r="AA404">
        <v>18</v>
      </c>
      <c r="AB404" s="4">
        <f>Table1[[#This Row],[Total_Price]]*(1-Table1[[#This Row],[Discount 2]])</f>
        <v>27573293.550000001</v>
      </c>
      <c r="AC404" s="4" t="str" cm="1">
        <f t="array" ref="AC404">_xlfn.IFS(Table1[[#This Row],[Revenue]]&gt;=30000000,"High Value",Table1[[#This Row],[Revenue]]&gt;=10000000,"Moderate Value",TRUE,"Low Value")</f>
        <v>Moderate Value</v>
      </c>
      <c r="AD404" t="str">
        <f>IF(Table1[[#This Row],[Discount 2]]&gt;=5%, "YES", "NO")</f>
        <v>NO</v>
      </c>
      <c r="AE404" t="str" cm="1">
        <f t="array" ref="AE404">_xlfn.IFS(Table1[[#This Row],[Revenue]]&gt;=30000000,"High Spender",Table1[[#This Row],[Revenue]]&gt;=10000000,"Moderate Spender",TRUE,"Low Spender")</f>
        <v>Moderate Spender</v>
      </c>
      <c r="AF404" s="4" t="str" cm="1">
        <f t="array" ref="AF404">_xlfn.IFS(Table1[[#This Row],[Land_Size_SQM]]&gt;=730,"LARGE",Table1[[#This Row],[Land_Size_SQM]]&gt;=465,"MEDIUM",TRUE,"SMALL")</f>
        <v>LARGE</v>
      </c>
    </row>
    <row r="405" spans="1:32" x14ac:dyDescent="0.3">
      <c r="A405" t="s">
        <v>429</v>
      </c>
      <c r="B405" t="s">
        <v>599</v>
      </c>
      <c r="C405" t="s">
        <v>627</v>
      </c>
      <c r="D405">
        <v>47</v>
      </c>
      <c r="E405" t="s">
        <v>630</v>
      </c>
      <c r="F405">
        <v>569</v>
      </c>
      <c r="G405" s="4">
        <v>43251</v>
      </c>
      <c r="H405" s="4">
        <v>24609819</v>
      </c>
      <c r="I405" t="s">
        <v>636</v>
      </c>
      <c r="J405" t="s">
        <v>671</v>
      </c>
      <c r="K405" t="s">
        <v>640</v>
      </c>
      <c r="L405" t="s">
        <v>681</v>
      </c>
      <c r="M405" t="s">
        <v>684</v>
      </c>
      <c r="N405" t="s">
        <v>692</v>
      </c>
      <c r="O405" t="s">
        <v>693</v>
      </c>
      <c r="P405" s="4">
        <v>24609819</v>
      </c>
      <c r="Q405">
        <v>0</v>
      </c>
      <c r="R405" s="7">
        <v>1.52</v>
      </c>
      <c r="S405" s="8">
        <f>Table1[[#This Row],[Discount_%]]/100</f>
        <v>1.52E-2</v>
      </c>
      <c r="T405" s="6" t="s">
        <v>868</v>
      </c>
      <c r="U405" t="s">
        <v>986</v>
      </c>
      <c r="V405">
        <v>2024</v>
      </c>
      <c r="W405" t="s">
        <v>994</v>
      </c>
      <c r="X405" t="s">
        <v>999</v>
      </c>
      <c r="Y405" t="s">
        <v>1002</v>
      </c>
      <c r="Z405">
        <v>2</v>
      </c>
      <c r="AA405">
        <v>50</v>
      </c>
      <c r="AB405" s="4">
        <f>Table1[[#This Row],[Total_Price]]*(1-Table1[[#This Row],[Discount 2]])</f>
        <v>24235749.751200002</v>
      </c>
      <c r="AC405" s="4" t="str" cm="1">
        <f t="array" ref="AC405">_xlfn.IFS(Table1[[#This Row],[Revenue]]&gt;=30000000,"High Value",Table1[[#This Row],[Revenue]]&gt;=10000000,"Moderate Value",TRUE,"Low Value")</f>
        <v>Moderate Value</v>
      </c>
      <c r="AD405" t="str">
        <f>IF(Table1[[#This Row],[Discount 2]]&gt;=5%, "YES", "NO")</f>
        <v>NO</v>
      </c>
      <c r="AE405" t="str" cm="1">
        <f t="array" ref="AE405">_xlfn.IFS(Table1[[#This Row],[Revenue]]&gt;=30000000,"High Spender",Table1[[#This Row],[Revenue]]&gt;=10000000,"Moderate Spender",TRUE,"Low Spender")</f>
        <v>Moderate Spender</v>
      </c>
      <c r="AF405" s="4" t="str" cm="1">
        <f t="array" ref="AF405">_xlfn.IFS(Table1[[#This Row],[Land_Size_SQM]]&gt;=730,"LARGE",Table1[[#This Row],[Land_Size_SQM]]&gt;=465,"MEDIUM",TRUE,"SMALL")</f>
        <v>MEDIUM</v>
      </c>
    </row>
    <row r="406" spans="1:32" x14ac:dyDescent="0.3">
      <c r="A406" t="s">
        <v>430</v>
      </c>
      <c r="B406" t="s">
        <v>576</v>
      </c>
      <c r="C406" t="s">
        <v>627</v>
      </c>
      <c r="D406">
        <v>62</v>
      </c>
      <c r="E406" t="s">
        <v>629</v>
      </c>
      <c r="F406">
        <v>271</v>
      </c>
      <c r="G406" s="4">
        <v>7556</v>
      </c>
      <c r="H406" s="4">
        <v>2047676</v>
      </c>
      <c r="I406" t="s">
        <v>662</v>
      </c>
      <c r="J406" t="s">
        <v>673</v>
      </c>
      <c r="K406" t="s">
        <v>675</v>
      </c>
      <c r="L406" t="s">
        <v>680</v>
      </c>
      <c r="M406" t="s">
        <v>686</v>
      </c>
      <c r="N406" t="s">
        <v>689</v>
      </c>
      <c r="O406" t="s">
        <v>694</v>
      </c>
      <c r="P406" s="4">
        <v>656270</v>
      </c>
      <c r="Q406">
        <v>12</v>
      </c>
      <c r="R406" s="7">
        <v>7.72</v>
      </c>
      <c r="S406" s="8">
        <f>Table1[[#This Row],[Discount_%]]/100</f>
        <v>7.7199999999999991E-2</v>
      </c>
      <c r="T406" s="6" t="s">
        <v>817</v>
      </c>
      <c r="U406" t="s">
        <v>989</v>
      </c>
      <c r="V406">
        <v>2024</v>
      </c>
      <c r="W406" t="s">
        <v>994</v>
      </c>
      <c r="X406" t="s">
        <v>998</v>
      </c>
      <c r="Y406" t="s">
        <v>1002</v>
      </c>
      <c r="Z406">
        <v>5</v>
      </c>
      <c r="AA406">
        <v>20</v>
      </c>
      <c r="AB406" s="4">
        <f>Table1[[#This Row],[Total_Price]]*(1-Table1[[#This Row],[Discount 2]])</f>
        <v>1889595.4128</v>
      </c>
      <c r="AC406" s="4" t="str" cm="1">
        <f t="array" ref="AC406">_xlfn.IFS(Table1[[#This Row],[Revenue]]&gt;=30000000,"High Value",Table1[[#This Row],[Revenue]]&gt;=10000000,"Moderate Value",TRUE,"Low Value")</f>
        <v>Low Value</v>
      </c>
      <c r="AD406" t="str">
        <f>IF(Table1[[#This Row],[Discount 2]]&gt;=5%, "YES", "NO")</f>
        <v>YES</v>
      </c>
      <c r="AE406" t="str" cm="1">
        <f t="array" ref="AE406">_xlfn.IFS(Table1[[#This Row],[Revenue]]&gt;=30000000,"High Spender",Table1[[#This Row],[Revenue]]&gt;=10000000,"Moderate Spender",TRUE,"Low Spender")</f>
        <v>Low Spender</v>
      </c>
      <c r="AF406" s="4" t="str" cm="1">
        <f t="array" ref="AF406">_xlfn.IFS(Table1[[#This Row],[Land_Size_SQM]]&gt;=730,"LARGE",Table1[[#This Row],[Land_Size_SQM]]&gt;=465,"MEDIUM",TRUE,"SMALL")</f>
        <v>SMALL</v>
      </c>
    </row>
    <row r="407" spans="1:32" x14ac:dyDescent="0.3">
      <c r="A407" t="s">
        <v>431</v>
      </c>
      <c r="B407" t="s">
        <v>568</v>
      </c>
      <c r="C407" t="s">
        <v>626</v>
      </c>
      <c r="D407">
        <v>64</v>
      </c>
      <c r="E407" t="s">
        <v>630</v>
      </c>
      <c r="F407">
        <v>552</v>
      </c>
      <c r="G407" s="4">
        <v>2517</v>
      </c>
      <c r="H407" s="4">
        <v>1389384</v>
      </c>
      <c r="I407" t="s">
        <v>659</v>
      </c>
      <c r="J407" t="s">
        <v>668</v>
      </c>
      <c r="K407" t="s">
        <v>651</v>
      </c>
      <c r="L407" t="s">
        <v>682</v>
      </c>
      <c r="M407" t="s">
        <v>684</v>
      </c>
      <c r="N407" t="s">
        <v>688</v>
      </c>
      <c r="O407" t="s">
        <v>694</v>
      </c>
      <c r="P407" s="4">
        <v>569770</v>
      </c>
      <c r="Q407">
        <v>6</v>
      </c>
      <c r="R407" s="7">
        <v>4.46</v>
      </c>
      <c r="S407" s="8">
        <f>Table1[[#This Row],[Discount_%]]/100</f>
        <v>4.4600000000000001E-2</v>
      </c>
      <c r="T407" s="6" t="s">
        <v>942</v>
      </c>
      <c r="U407" t="s">
        <v>990</v>
      </c>
      <c r="V407">
        <v>2024</v>
      </c>
      <c r="W407" t="s">
        <v>994</v>
      </c>
      <c r="X407" t="s">
        <v>999</v>
      </c>
      <c r="Y407" t="s">
        <v>1000</v>
      </c>
      <c r="Z407">
        <v>5</v>
      </c>
      <c r="AA407">
        <v>22</v>
      </c>
      <c r="AB407" s="4">
        <f>Table1[[#This Row],[Total_Price]]*(1-Table1[[#This Row],[Discount 2]])</f>
        <v>1327417.4736000001</v>
      </c>
      <c r="AC407" s="4" t="str" cm="1">
        <f t="array" ref="AC407">_xlfn.IFS(Table1[[#This Row],[Revenue]]&gt;=30000000,"High Value",Table1[[#This Row],[Revenue]]&gt;=10000000,"Moderate Value",TRUE,"Low Value")</f>
        <v>Low Value</v>
      </c>
      <c r="AD407" t="str">
        <f>IF(Table1[[#This Row],[Discount 2]]&gt;=5%, "YES", "NO")</f>
        <v>NO</v>
      </c>
      <c r="AE407" t="str" cm="1">
        <f t="array" ref="AE407">_xlfn.IFS(Table1[[#This Row],[Revenue]]&gt;=30000000,"High Spender",Table1[[#This Row],[Revenue]]&gt;=10000000,"Moderate Spender",TRUE,"Low Spender")</f>
        <v>Low Spender</v>
      </c>
      <c r="AF407" s="4" t="str" cm="1">
        <f t="array" ref="AF407">_xlfn.IFS(Table1[[#This Row],[Land_Size_SQM]]&gt;=730,"LARGE",Table1[[#This Row],[Land_Size_SQM]]&gt;=465,"MEDIUM",TRUE,"SMALL")</f>
        <v>MEDIUM</v>
      </c>
    </row>
    <row r="408" spans="1:32" x14ac:dyDescent="0.3">
      <c r="A408" t="s">
        <v>432</v>
      </c>
      <c r="B408" t="s">
        <v>581</v>
      </c>
      <c r="C408" t="s">
        <v>627</v>
      </c>
      <c r="D408">
        <v>21</v>
      </c>
      <c r="E408" t="s">
        <v>629</v>
      </c>
      <c r="F408">
        <v>732</v>
      </c>
      <c r="G408" s="4">
        <v>37441</v>
      </c>
      <c r="H408" s="4">
        <v>27406812</v>
      </c>
      <c r="I408" t="s">
        <v>634</v>
      </c>
      <c r="J408" t="s">
        <v>670</v>
      </c>
      <c r="K408" t="s">
        <v>638</v>
      </c>
      <c r="L408" t="s">
        <v>682</v>
      </c>
      <c r="M408" t="s">
        <v>687</v>
      </c>
      <c r="N408" t="s">
        <v>688</v>
      </c>
      <c r="O408" t="s">
        <v>694</v>
      </c>
      <c r="P408" s="4">
        <v>6244529</v>
      </c>
      <c r="Q408">
        <v>6</v>
      </c>
      <c r="R408" s="7">
        <v>5.52</v>
      </c>
      <c r="S408" s="8">
        <f>Table1[[#This Row],[Discount_%]]/100</f>
        <v>5.5199999999999999E-2</v>
      </c>
      <c r="T408" s="6" t="s">
        <v>820</v>
      </c>
      <c r="U408" t="s">
        <v>986</v>
      </c>
      <c r="V408">
        <v>2024</v>
      </c>
      <c r="W408" t="s">
        <v>994</v>
      </c>
      <c r="X408" t="s">
        <v>997</v>
      </c>
      <c r="Y408" t="s">
        <v>1002</v>
      </c>
      <c r="Z408">
        <v>5</v>
      </c>
      <c r="AA408">
        <v>8</v>
      </c>
      <c r="AB408" s="4">
        <f>Table1[[#This Row],[Total_Price]]*(1-Table1[[#This Row],[Discount 2]])</f>
        <v>25893955.977600001</v>
      </c>
      <c r="AC408" s="4" t="str" cm="1">
        <f t="array" ref="AC408">_xlfn.IFS(Table1[[#This Row],[Revenue]]&gt;=30000000,"High Value",Table1[[#This Row],[Revenue]]&gt;=10000000,"Moderate Value",TRUE,"Low Value")</f>
        <v>Moderate Value</v>
      </c>
      <c r="AD408" t="str">
        <f>IF(Table1[[#This Row],[Discount 2]]&gt;=5%, "YES", "NO")</f>
        <v>YES</v>
      </c>
      <c r="AE408" t="str" cm="1">
        <f t="array" ref="AE408">_xlfn.IFS(Table1[[#This Row],[Revenue]]&gt;=30000000,"High Spender",Table1[[#This Row],[Revenue]]&gt;=10000000,"Moderate Spender",TRUE,"Low Spender")</f>
        <v>Moderate Spender</v>
      </c>
      <c r="AF408" s="4" t="str" cm="1">
        <f t="array" ref="AF408">_xlfn.IFS(Table1[[#This Row],[Land_Size_SQM]]&gt;=730,"LARGE",Table1[[#This Row],[Land_Size_SQM]]&gt;=465,"MEDIUM",TRUE,"SMALL")</f>
        <v>LARGE</v>
      </c>
    </row>
    <row r="409" spans="1:32" x14ac:dyDescent="0.3">
      <c r="A409" t="s">
        <v>433</v>
      </c>
      <c r="B409" t="s">
        <v>558</v>
      </c>
      <c r="C409" t="s">
        <v>627</v>
      </c>
      <c r="D409">
        <v>49</v>
      </c>
      <c r="E409" t="s">
        <v>630</v>
      </c>
      <c r="F409">
        <v>465</v>
      </c>
      <c r="G409" s="4">
        <v>43090</v>
      </c>
      <c r="H409" s="4">
        <v>20036850</v>
      </c>
      <c r="I409" t="s">
        <v>631</v>
      </c>
      <c r="J409" t="s">
        <v>668</v>
      </c>
      <c r="K409" t="s">
        <v>651</v>
      </c>
      <c r="L409" t="s">
        <v>680</v>
      </c>
      <c r="M409" t="s">
        <v>686</v>
      </c>
      <c r="N409" t="s">
        <v>692</v>
      </c>
      <c r="O409" t="s">
        <v>694</v>
      </c>
      <c r="P409" s="4">
        <v>4294295</v>
      </c>
      <c r="Q409">
        <v>3</v>
      </c>
      <c r="R409" s="7">
        <v>6.51</v>
      </c>
      <c r="S409" s="8">
        <f>Table1[[#This Row],[Discount_%]]/100</f>
        <v>6.5099999999999991E-2</v>
      </c>
      <c r="T409" s="6" t="s">
        <v>907</v>
      </c>
      <c r="U409" t="s">
        <v>987</v>
      </c>
      <c r="V409">
        <v>2024</v>
      </c>
      <c r="W409" t="s">
        <v>996</v>
      </c>
      <c r="X409" t="s">
        <v>998</v>
      </c>
      <c r="Y409" t="s">
        <v>1002</v>
      </c>
      <c r="Z409">
        <v>3</v>
      </c>
      <c r="AA409">
        <v>43</v>
      </c>
      <c r="AB409" s="4">
        <f>Table1[[#This Row],[Total_Price]]*(1-Table1[[#This Row],[Discount 2]])</f>
        <v>18732451.065000001</v>
      </c>
      <c r="AC409" s="4" t="str" cm="1">
        <f t="array" ref="AC409">_xlfn.IFS(Table1[[#This Row],[Revenue]]&gt;=30000000,"High Value",Table1[[#This Row],[Revenue]]&gt;=10000000,"Moderate Value",TRUE,"Low Value")</f>
        <v>Moderate Value</v>
      </c>
      <c r="AD409" t="str">
        <f>IF(Table1[[#This Row],[Discount 2]]&gt;=5%, "YES", "NO")</f>
        <v>YES</v>
      </c>
      <c r="AE409" t="str" cm="1">
        <f t="array" ref="AE409">_xlfn.IFS(Table1[[#This Row],[Revenue]]&gt;=30000000,"High Spender",Table1[[#This Row],[Revenue]]&gt;=10000000,"Moderate Spender",TRUE,"Low Spender")</f>
        <v>Moderate Spender</v>
      </c>
      <c r="AF409" s="4" t="str" cm="1">
        <f t="array" ref="AF409">_xlfn.IFS(Table1[[#This Row],[Land_Size_SQM]]&gt;=730,"LARGE",Table1[[#This Row],[Land_Size_SQM]]&gt;=465,"MEDIUM",TRUE,"SMALL")</f>
        <v>MEDIUM</v>
      </c>
    </row>
    <row r="410" spans="1:32" x14ac:dyDescent="0.3">
      <c r="A410" t="s">
        <v>434</v>
      </c>
      <c r="B410" t="s">
        <v>550</v>
      </c>
      <c r="C410" t="s">
        <v>626</v>
      </c>
      <c r="D410">
        <v>49</v>
      </c>
      <c r="E410" t="s">
        <v>628</v>
      </c>
      <c r="F410">
        <v>931</v>
      </c>
      <c r="G410" s="4">
        <v>26750</v>
      </c>
      <c r="H410" s="4">
        <v>24904250</v>
      </c>
      <c r="I410" t="s">
        <v>644</v>
      </c>
      <c r="J410" t="s">
        <v>668</v>
      </c>
      <c r="K410" t="s">
        <v>638</v>
      </c>
      <c r="L410" t="s">
        <v>680</v>
      </c>
      <c r="M410" t="s">
        <v>684</v>
      </c>
      <c r="N410" t="s">
        <v>691</v>
      </c>
      <c r="O410" t="s">
        <v>693</v>
      </c>
      <c r="P410" s="4">
        <v>24904250</v>
      </c>
      <c r="Q410">
        <v>0</v>
      </c>
      <c r="R410" s="7">
        <v>1.05</v>
      </c>
      <c r="S410" s="8">
        <f>Table1[[#This Row],[Discount_%]]/100</f>
        <v>1.0500000000000001E-2</v>
      </c>
      <c r="T410" s="6" t="s">
        <v>905</v>
      </c>
      <c r="U410" t="s">
        <v>986</v>
      </c>
      <c r="V410">
        <v>2024</v>
      </c>
      <c r="W410" t="s">
        <v>993</v>
      </c>
      <c r="X410" t="s">
        <v>999</v>
      </c>
      <c r="Y410" t="s">
        <v>1000</v>
      </c>
      <c r="Z410">
        <v>4</v>
      </c>
      <c r="AA410">
        <v>9</v>
      </c>
      <c r="AB410" s="4">
        <f>Table1[[#This Row],[Total_Price]]*(1-Table1[[#This Row],[Discount 2]])</f>
        <v>24642755.375</v>
      </c>
      <c r="AC410" s="4" t="str" cm="1">
        <f t="array" ref="AC410">_xlfn.IFS(Table1[[#This Row],[Revenue]]&gt;=30000000,"High Value",Table1[[#This Row],[Revenue]]&gt;=10000000,"Moderate Value",TRUE,"Low Value")</f>
        <v>Moderate Value</v>
      </c>
      <c r="AD410" t="str">
        <f>IF(Table1[[#This Row],[Discount 2]]&gt;=5%, "YES", "NO")</f>
        <v>NO</v>
      </c>
      <c r="AE410" t="str" cm="1">
        <f t="array" ref="AE410">_xlfn.IFS(Table1[[#This Row],[Revenue]]&gt;=30000000,"High Spender",Table1[[#This Row],[Revenue]]&gt;=10000000,"Moderate Spender",TRUE,"Low Spender")</f>
        <v>Moderate Spender</v>
      </c>
      <c r="AF410" s="4" t="str" cm="1">
        <f t="array" ref="AF410">_xlfn.IFS(Table1[[#This Row],[Land_Size_SQM]]&gt;=730,"LARGE",Table1[[#This Row],[Land_Size_SQM]]&gt;=465,"MEDIUM",TRUE,"SMALL")</f>
        <v>LARGE</v>
      </c>
    </row>
    <row r="411" spans="1:32" x14ac:dyDescent="0.3">
      <c r="A411" t="s">
        <v>435</v>
      </c>
      <c r="B411" t="s">
        <v>552</v>
      </c>
      <c r="C411" t="s">
        <v>626</v>
      </c>
      <c r="D411">
        <v>46</v>
      </c>
      <c r="E411" t="s">
        <v>628</v>
      </c>
      <c r="F411">
        <v>279</v>
      </c>
      <c r="G411" s="4">
        <v>26202</v>
      </c>
      <c r="H411" s="4">
        <v>7310358</v>
      </c>
      <c r="I411" t="s">
        <v>650</v>
      </c>
      <c r="J411" t="s">
        <v>670</v>
      </c>
      <c r="K411" t="s">
        <v>678</v>
      </c>
      <c r="L411" t="s">
        <v>680</v>
      </c>
      <c r="M411" t="s">
        <v>686</v>
      </c>
      <c r="N411" t="s">
        <v>688</v>
      </c>
      <c r="O411" t="s">
        <v>694</v>
      </c>
      <c r="P411" s="4">
        <v>3374494</v>
      </c>
      <c r="Q411">
        <v>24</v>
      </c>
      <c r="R411" s="7">
        <v>5.84</v>
      </c>
      <c r="S411" s="8">
        <f>Table1[[#This Row],[Discount_%]]/100</f>
        <v>5.8400000000000001E-2</v>
      </c>
      <c r="T411" s="6" t="s">
        <v>743</v>
      </c>
      <c r="U411" t="s">
        <v>983</v>
      </c>
      <c r="V411">
        <v>2024</v>
      </c>
      <c r="W411" t="s">
        <v>995</v>
      </c>
      <c r="X411" t="s">
        <v>997</v>
      </c>
      <c r="Y411" t="s">
        <v>1002</v>
      </c>
      <c r="Z411">
        <v>2</v>
      </c>
      <c r="AA411">
        <v>46</v>
      </c>
      <c r="AB411" s="4">
        <f>Table1[[#This Row],[Total_Price]]*(1-Table1[[#This Row],[Discount 2]])</f>
        <v>6883433.0927999998</v>
      </c>
      <c r="AC411" s="4" t="str" cm="1">
        <f t="array" ref="AC411">_xlfn.IFS(Table1[[#This Row],[Revenue]]&gt;=30000000,"High Value",Table1[[#This Row],[Revenue]]&gt;=10000000,"Moderate Value",TRUE,"Low Value")</f>
        <v>Low Value</v>
      </c>
      <c r="AD411" t="str">
        <f>IF(Table1[[#This Row],[Discount 2]]&gt;=5%, "YES", "NO")</f>
        <v>YES</v>
      </c>
      <c r="AE411" t="str" cm="1">
        <f t="array" ref="AE411">_xlfn.IFS(Table1[[#This Row],[Revenue]]&gt;=30000000,"High Spender",Table1[[#This Row],[Revenue]]&gt;=10000000,"Moderate Spender",TRUE,"Low Spender")</f>
        <v>Low Spender</v>
      </c>
      <c r="AF411" s="4" t="str" cm="1">
        <f t="array" ref="AF411">_xlfn.IFS(Table1[[#This Row],[Land_Size_SQM]]&gt;=730,"LARGE",Table1[[#This Row],[Land_Size_SQM]]&gt;=465,"MEDIUM",TRUE,"SMALL")</f>
        <v>SMALL</v>
      </c>
    </row>
    <row r="412" spans="1:32" x14ac:dyDescent="0.3">
      <c r="A412" t="s">
        <v>436</v>
      </c>
      <c r="B412" t="s">
        <v>567</v>
      </c>
      <c r="C412" t="s">
        <v>626</v>
      </c>
      <c r="D412">
        <v>27</v>
      </c>
      <c r="E412" t="s">
        <v>629</v>
      </c>
      <c r="F412">
        <v>320</v>
      </c>
      <c r="G412" s="4">
        <v>47512</v>
      </c>
      <c r="H412" s="4">
        <v>15203840</v>
      </c>
      <c r="I412" t="s">
        <v>652</v>
      </c>
      <c r="J412" t="s">
        <v>672</v>
      </c>
      <c r="K412" t="s">
        <v>675</v>
      </c>
      <c r="L412" t="s">
        <v>681</v>
      </c>
      <c r="M412" t="s">
        <v>685</v>
      </c>
      <c r="N412" t="s">
        <v>689</v>
      </c>
      <c r="O412" t="s">
        <v>693</v>
      </c>
      <c r="P412" s="4">
        <v>15203840</v>
      </c>
      <c r="Q412">
        <v>0</v>
      </c>
      <c r="R412" s="7">
        <v>4.55</v>
      </c>
      <c r="S412" s="8">
        <f>Table1[[#This Row],[Discount_%]]/100</f>
        <v>4.5499999999999999E-2</v>
      </c>
      <c r="T412" s="6" t="s">
        <v>957</v>
      </c>
      <c r="U412" t="s">
        <v>988</v>
      </c>
      <c r="V412">
        <v>2024</v>
      </c>
      <c r="W412" t="s">
        <v>994</v>
      </c>
      <c r="X412" t="s">
        <v>997</v>
      </c>
      <c r="Y412" t="s">
        <v>1002</v>
      </c>
      <c r="Z412">
        <v>1</v>
      </c>
      <c r="AA412">
        <v>34</v>
      </c>
      <c r="AB412" s="4">
        <f>Table1[[#This Row],[Total_Price]]*(1-Table1[[#This Row],[Discount 2]])</f>
        <v>14512065.279999999</v>
      </c>
      <c r="AC412" s="4" t="str" cm="1">
        <f t="array" ref="AC412">_xlfn.IFS(Table1[[#This Row],[Revenue]]&gt;=30000000,"High Value",Table1[[#This Row],[Revenue]]&gt;=10000000,"Moderate Value",TRUE,"Low Value")</f>
        <v>Moderate Value</v>
      </c>
      <c r="AD412" t="str">
        <f>IF(Table1[[#This Row],[Discount 2]]&gt;=5%, "YES", "NO")</f>
        <v>NO</v>
      </c>
      <c r="AE412" t="str" cm="1">
        <f t="array" ref="AE412">_xlfn.IFS(Table1[[#This Row],[Revenue]]&gt;=30000000,"High Spender",Table1[[#This Row],[Revenue]]&gt;=10000000,"Moderate Spender",TRUE,"Low Spender")</f>
        <v>Moderate Spender</v>
      </c>
      <c r="AF412" s="4" t="str" cm="1">
        <f t="array" ref="AF412">_xlfn.IFS(Table1[[#This Row],[Land_Size_SQM]]&gt;=730,"LARGE",Table1[[#This Row],[Land_Size_SQM]]&gt;=465,"MEDIUM",TRUE,"SMALL")</f>
        <v>SMALL</v>
      </c>
    </row>
    <row r="413" spans="1:32" x14ac:dyDescent="0.3">
      <c r="A413" t="s">
        <v>437</v>
      </c>
      <c r="B413" t="s">
        <v>578</v>
      </c>
      <c r="C413" t="s">
        <v>627</v>
      </c>
      <c r="D413">
        <v>39</v>
      </c>
      <c r="E413" t="s">
        <v>630</v>
      </c>
      <c r="F413">
        <v>512</v>
      </c>
      <c r="G413" s="4">
        <v>26540</v>
      </c>
      <c r="H413" s="4">
        <v>13588480</v>
      </c>
      <c r="I413" t="s">
        <v>649</v>
      </c>
      <c r="J413" t="s">
        <v>669</v>
      </c>
      <c r="K413" t="s">
        <v>651</v>
      </c>
      <c r="L413" t="s">
        <v>680</v>
      </c>
      <c r="M413" t="s">
        <v>683</v>
      </c>
      <c r="N413" t="s">
        <v>691</v>
      </c>
      <c r="O413" t="s">
        <v>694</v>
      </c>
      <c r="P413" s="4">
        <v>4698593</v>
      </c>
      <c r="Q413">
        <v>12</v>
      </c>
      <c r="R413" s="7">
        <v>7.91</v>
      </c>
      <c r="S413" s="8">
        <f>Table1[[#This Row],[Discount_%]]/100</f>
        <v>7.9100000000000004E-2</v>
      </c>
      <c r="T413" s="6" t="s">
        <v>958</v>
      </c>
      <c r="U413" t="s">
        <v>987</v>
      </c>
      <c r="V413">
        <v>2024</v>
      </c>
      <c r="W413" t="s">
        <v>993</v>
      </c>
      <c r="X413" t="s">
        <v>999</v>
      </c>
      <c r="Y413" t="s">
        <v>1001</v>
      </c>
      <c r="Z413">
        <v>3</v>
      </c>
      <c r="AA413">
        <v>5</v>
      </c>
      <c r="AB413" s="4">
        <f>Table1[[#This Row],[Total_Price]]*(1-Table1[[#This Row],[Discount 2]])</f>
        <v>12513631.232000001</v>
      </c>
      <c r="AC413" s="4" t="str" cm="1">
        <f t="array" ref="AC413">_xlfn.IFS(Table1[[#This Row],[Revenue]]&gt;=30000000,"High Value",Table1[[#This Row],[Revenue]]&gt;=10000000,"Moderate Value",TRUE,"Low Value")</f>
        <v>Moderate Value</v>
      </c>
      <c r="AD413" t="str">
        <f>IF(Table1[[#This Row],[Discount 2]]&gt;=5%, "YES", "NO")</f>
        <v>YES</v>
      </c>
      <c r="AE413" t="str" cm="1">
        <f t="array" ref="AE413">_xlfn.IFS(Table1[[#This Row],[Revenue]]&gt;=30000000,"High Spender",Table1[[#This Row],[Revenue]]&gt;=10000000,"Moderate Spender",TRUE,"Low Spender")</f>
        <v>Moderate Spender</v>
      </c>
      <c r="AF413" s="4" t="str" cm="1">
        <f t="array" ref="AF413">_xlfn.IFS(Table1[[#This Row],[Land_Size_SQM]]&gt;=730,"LARGE",Table1[[#This Row],[Land_Size_SQM]]&gt;=465,"MEDIUM",TRUE,"SMALL")</f>
        <v>MEDIUM</v>
      </c>
    </row>
    <row r="414" spans="1:32" x14ac:dyDescent="0.3">
      <c r="A414" t="s">
        <v>438</v>
      </c>
      <c r="B414" t="s">
        <v>534</v>
      </c>
      <c r="C414" t="s">
        <v>626</v>
      </c>
      <c r="D414">
        <v>48</v>
      </c>
      <c r="E414" t="s">
        <v>629</v>
      </c>
      <c r="F414">
        <v>786</v>
      </c>
      <c r="G414" s="4">
        <v>22296</v>
      </c>
      <c r="H414" s="4">
        <v>17524656</v>
      </c>
      <c r="I414" t="s">
        <v>661</v>
      </c>
      <c r="J414" t="s">
        <v>673</v>
      </c>
      <c r="K414" t="s">
        <v>678</v>
      </c>
      <c r="L414" t="s">
        <v>681</v>
      </c>
      <c r="M414" t="s">
        <v>683</v>
      </c>
      <c r="N414" t="s">
        <v>690</v>
      </c>
      <c r="O414" t="s">
        <v>694</v>
      </c>
      <c r="P414" s="4">
        <v>7612795</v>
      </c>
      <c r="Q414">
        <v>12</v>
      </c>
      <c r="R414" s="7">
        <v>4.75</v>
      </c>
      <c r="S414" s="8">
        <f>Table1[[#This Row],[Discount_%]]/100</f>
        <v>4.7500000000000001E-2</v>
      </c>
      <c r="T414" s="6" t="s">
        <v>948</v>
      </c>
      <c r="U414" t="s">
        <v>983</v>
      </c>
      <c r="V414">
        <v>2024</v>
      </c>
      <c r="W414" t="s">
        <v>993</v>
      </c>
      <c r="X414" t="s">
        <v>997</v>
      </c>
      <c r="Y414" t="s">
        <v>1001</v>
      </c>
      <c r="Z414">
        <v>5</v>
      </c>
      <c r="AA414">
        <v>27</v>
      </c>
      <c r="AB414" s="4">
        <f>Table1[[#This Row],[Total_Price]]*(1-Table1[[#This Row],[Discount 2]])</f>
        <v>16692234.84</v>
      </c>
      <c r="AC414" s="4" t="str" cm="1">
        <f t="array" ref="AC414">_xlfn.IFS(Table1[[#This Row],[Revenue]]&gt;=30000000,"High Value",Table1[[#This Row],[Revenue]]&gt;=10000000,"Moderate Value",TRUE,"Low Value")</f>
        <v>Moderate Value</v>
      </c>
      <c r="AD414" t="str">
        <f>IF(Table1[[#This Row],[Discount 2]]&gt;=5%, "YES", "NO")</f>
        <v>NO</v>
      </c>
      <c r="AE414" t="str" cm="1">
        <f t="array" ref="AE414">_xlfn.IFS(Table1[[#This Row],[Revenue]]&gt;=30000000,"High Spender",Table1[[#This Row],[Revenue]]&gt;=10000000,"Moderate Spender",TRUE,"Low Spender")</f>
        <v>Moderate Spender</v>
      </c>
      <c r="AF414" s="4" t="str" cm="1">
        <f t="array" ref="AF414">_xlfn.IFS(Table1[[#This Row],[Land_Size_SQM]]&gt;=730,"LARGE",Table1[[#This Row],[Land_Size_SQM]]&gt;=465,"MEDIUM",TRUE,"SMALL")</f>
        <v>LARGE</v>
      </c>
    </row>
    <row r="415" spans="1:32" x14ac:dyDescent="0.3">
      <c r="A415" t="s">
        <v>439</v>
      </c>
      <c r="B415" t="s">
        <v>602</v>
      </c>
      <c r="C415" t="s">
        <v>627</v>
      </c>
      <c r="D415">
        <v>65</v>
      </c>
      <c r="E415" t="s">
        <v>628</v>
      </c>
      <c r="F415">
        <v>547</v>
      </c>
      <c r="G415" s="4">
        <v>37454</v>
      </c>
      <c r="H415" s="4">
        <v>20487338</v>
      </c>
      <c r="I415" t="s">
        <v>650</v>
      </c>
      <c r="J415" t="s">
        <v>670</v>
      </c>
      <c r="K415" t="s">
        <v>640</v>
      </c>
      <c r="L415" t="s">
        <v>682</v>
      </c>
      <c r="M415" t="s">
        <v>687</v>
      </c>
      <c r="N415" t="s">
        <v>692</v>
      </c>
      <c r="O415" t="s">
        <v>693</v>
      </c>
      <c r="P415" s="4">
        <v>20487338</v>
      </c>
      <c r="Q415">
        <v>0</v>
      </c>
      <c r="R415" s="7">
        <v>9.58</v>
      </c>
      <c r="S415" s="8">
        <f>Table1[[#This Row],[Discount_%]]/100</f>
        <v>9.5799999999999996E-2</v>
      </c>
      <c r="T415" s="6" t="s">
        <v>837</v>
      </c>
      <c r="U415" t="s">
        <v>989</v>
      </c>
      <c r="V415">
        <v>2024</v>
      </c>
      <c r="W415" t="s">
        <v>993</v>
      </c>
      <c r="X415" t="s">
        <v>997</v>
      </c>
      <c r="Y415" t="s">
        <v>1001</v>
      </c>
      <c r="Z415">
        <v>1</v>
      </c>
      <c r="AA415">
        <v>13</v>
      </c>
      <c r="AB415" s="4">
        <f>Table1[[#This Row],[Total_Price]]*(1-Table1[[#This Row],[Discount 2]])</f>
        <v>18524651.0196</v>
      </c>
      <c r="AC415" s="4" t="str" cm="1">
        <f t="array" ref="AC415">_xlfn.IFS(Table1[[#This Row],[Revenue]]&gt;=30000000,"High Value",Table1[[#This Row],[Revenue]]&gt;=10000000,"Moderate Value",TRUE,"Low Value")</f>
        <v>Moderate Value</v>
      </c>
      <c r="AD415" t="str">
        <f>IF(Table1[[#This Row],[Discount 2]]&gt;=5%, "YES", "NO")</f>
        <v>YES</v>
      </c>
      <c r="AE415" t="str" cm="1">
        <f t="array" ref="AE415">_xlfn.IFS(Table1[[#This Row],[Revenue]]&gt;=30000000,"High Spender",Table1[[#This Row],[Revenue]]&gt;=10000000,"Moderate Spender",TRUE,"Low Spender")</f>
        <v>Moderate Spender</v>
      </c>
      <c r="AF415" s="4" t="str" cm="1">
        <f t="array" ref="AF415">_xlfn.IFS(Table1[[#This Row],[Land_Size_SQM]]&gt;=730,"LARGE",Table1[[#This Row],[Land_Size_SQM]]&gt;=465,"MEDIUM",TRUE,"SMALL")</f>
        <v>MEDIUM</v>
      </c>
    </row>
    <row r="416" spans="1:32" x14ac:dyDescent="0.3">
      <c r="A416" t="s">
        <v>440</v>
      </c>
      <c r="B416" t="s">
        <v>620</v>
      </c>
      <c r="C416" t="s">
        <v>627</v>
      </c>
      <c r="D416">
        <v>21</v>
      </c>
      <c r="E416" t="s">
        <v>630</v>
      </c>
      <c r="F416">
        <v>975</v>
      </c>
      <c r="G416" s="4">
        <v>5465</v>
      </c>
      <c r="H416" s="4">
        <v>5328375</v>
      </c>
      <c r="I416" t="s">
        <v>665</v>
      </c>
      <c r="J416" t="s">
        <v>672</v>
      </c>
      <c r="K416" t="s">
        <v>674</v>
      </c>
      <c r="L416" t="s">
        <v>680</v>
      </c>
      <c r="M416" t="s">
        <v>683</v>
      </c>
      <c r="N416" t="s">
        <v>692</v>
      </c>
      <c r="O416" t="s">
        <v>693</v>
      </c>
      <c r="P416" s="4">
        <v>5328375</v>
      </c>
      <c r="Q416">
        <v>0</v>
      </c>
      <c r="R416" s="7">
        <v>7.51</v>
      </c>
      <c r="S416" s="8">
        <f>Table1[[#This Row],[Discount_%]]/100</f>
        <v>7.51E-2</v>
      </c>
      <c r="T416" s="6" t="s">
        <v>872</v>
      </c>
      <c r="U416" t="s">
        <v>986</v>
      </c>
      <c r="V416">
        <v>2024</v>
      </c>
      <c r="W416" t="s">
        <v>995</v>
      </c>
      <c r="X416" t="s">
        <v>999</v>
      </c>
      <c r="Y416" t="s">
        <v>1001</v>
      </c>
      <c r="Z416">
        <v>5</v>
      </c>
      <c r="AA416">
        <v>21</v>
      </c>
      <c r="AB416" s="4">
        <f>Table1[[#This Row],[Total_Price]]*(1-Table1[[#This Row],[Discount 2]])</f>
        <v>4928214.0375000006</v>
      </c>
      <c r="AC416" s="4" t="str" cm="1">
        <f t="array" ref="AC416">_xlfn.IFS(Table1[[#This Row],[Revenue]]&gt;=30000000,"High Value",Table1[[#This Row],[Revenue]]&gt;=10000000,"Moderate Value",TRUE,"Low Value")</f>
        <v>Low Value</v>
      </c>
      <c r="AD416" t="str">
        <f>IF(Table1[[#This Row],[Discount 2]]&gt;=5%, "YES", "NO")</f>
        <v>YES</v>
      </c>
      <c r="AE416" t="str" cm="1">
        <f t="array" ref="AE416">_xlfn.IFS(Table1[[#This Row],[Revenue]]&gt;=30000000,"High Spender",Table1[[#This Row],[Revenue]]&gt;=10000000,"Moderate Spender",TRUE,"Low Spender")</f>
        <v>Low Spender</v>
      </c>
      <c r="AF416" s="4" t="str" cm="1">
        <f t="array" ref="AF416">_xlfn.IFS(Table1[[#This Row],[Land_Size_SQM]]&gt;=730,"LARGE",Table1[[#This Row],[Land_Size_SQM]]&gt;=465,"MEDIUM",TRUE,"SMALL")</f>
        <v>LARGE</v>
      </c>
    </row>
    <row r="417" spans="1:32" x14ac:dyDescent="0.3">
      <c r="A417" t="s">
        <v>441</v>
      </c>
      <c r="B417" t="s">
        <v>618</v>
      </c>
      <c r="C417" t="s">
        <v>626</v>
      </c>
      <c r="D417">
        <v>25</v>
      </c>
      <c r="E417" t="s">
        <v>628</v>
      </c>
      <c r="F417">
        <v>703</v>
      </c>
      <c r="G417" s="4">
        <v>3524</v>
      </c>
      <c r="H417" s="4">
        <v>2477372</v>
      </c>
      <c r="I417" t="s">
        <v>647</v>
      </c>
      <c r="J417" t="s">
        <v>670</v>
      </c>
      <c r="K417" t="s">
        <v>664</v>
      </c>
      <c r="L417" t="s">
        <v>680</v>
      </c>
      <c r="M417" t="s">
        <v>686</v>
      </c>
      <c r="N417" t="s">
        <v>688</v>
      </c>
      <c r="O417" t="s">
        <v>694</v>
      </c>
      <c r="P417" s="4">
        <v>629630</v>
      </c>
      <c r="Q417">
        <v>24</v>
      </c>
      <c r="R417" s="7">
        <v>0.24</v>
      </c>
      <c r="S417" s="8">
        <f>Table1[[#This Row],[Discount_%]]/100</f>
        <v>2.3999999999999998E-3</v>
      </c>
      <c r="T417" s="6" t="s">
        <v>790</v>
      </c>
      <c r="U417" t="s">
        <v>986</v>
      </c>
      <c r="V417">
        <v>2024</v>
      </c>
      <c r="W417" t="s">
        <v>994</v>
      </c>
      <c r="X417" t="s">
        <v>999</v>
      </c>
      <c r="Y417" t="s">
        <v>1000</v>
      </c>
      <c r="Z417">
        <v>3</v>
      </c>
      <c r="AA417">
        <v>50</v>
      </c>
      <c r="AB417" s="4">
        <f>Table1[[#This Row],[Total_Price]]*(1-Table1[[#This Row],[Discount 2]])</f>
        <v>2471426.3072000002</v>
      </c>
      <c r="AC417" s="4" t="str" cm="1">
        <f t="array" ref="AC417">_xlfn.IFS(Table1[[#This Row],[Revenue]]&gt;=30000000,"High Value",Table1[[#This Row],[Revenue]]&gt;=10000000,"Moderate Value",TRUE,"Low Value")</f>
        <v>Low Value</v>
      </c>
      <c r="AD417" t="str">
        <f>IF(Table1[[#This Row],[Discount 2]]&gt;=5%, "YES", "NO")</f>
        <v>NO</v>
      </c>
      <c r="AE417" t="str" cm="1">
        <f t="array" ref="AE417">_xlfn.IFS(Table1[[#This Row],[Revenue]]&gt;=30000000,"High Spender",Table1[[#This Row],[Revenue]]&gt;=10000000,"Moderate Spender",TRUE,"Low Spender")</f>
        <v>Low Spender</v>
      </c>
      <c r="AF417" s="4" t="str" cm="1">
        <f t="array" ref="AF417">_xlfn.IFS(Table1[[#This Row],[Land_Size_SQM]]&gt;=730,"LARGE",Table1[[#This Row],[Land_Size_SQM]]&gt;=465,"MEDIUM",TRUE,"SMALL")</f>
        <v>MEDIUM</v>
      </c>
    </row>
    <row r="418" spans="1:32" x14ac:dyDescent="0.3">
      <c r="A418" t="s">
        <v>442</v>
      </c>
      <c r="B418" t="s">
        <v>624</v>
      </c>
      <c r="C418" t="s">
        <v>627</v>
      </c>
      <c r="D418">
        <v>39</v>
      </c>
      <c r="E418" t="s">
        <v>630</v>
      </c>
      <c r="F418">
        <v>617</v>
      </c>
      <c r="G418" s="4">
        <v>46473</v>
      </c>
      <c r="H418" s="4">
        <v>28673841</v>
      </c>
      <c r="I418" t="s">
        <v>641</v>
      </c>
      <c r="J418" t="s">
        <v>673</v>
      </c>
      <c r="K418" t="s">
        <v>677</v>
      </c>
      <c r="L418" t="s">
        <v>680</v>
      </c>
      <c r="M418" t="s">
        <v>687</v>
      </c>
      <c r="N418" t="s">
        <v>688</v>
      </c>
      <c r="O418" t="s">
        <v>693</v>
      </c>
      <c r="P418" s="4">
        <v>28673841</v>
      </c>
      <c r="Q418">
        <v>0</v>
      </c>
      <c r="R418" s="7">
        <v>0.59</v>
      </c>
      <c r="S418" s="8">
        <f>Table1[[#This Row],[Discount_%]]/100</f>
        <v>5.8999999999999999E-3</v>
      </c>
      <c r="T418" s="6" t="s">
        <v>755</v>
      </c>
      <c r="U418" t="s">
        <v>982</v>
      </c>
      <c r="V418">
        <v>2024</v>
      </c>
      <c r="W418" t="s">
        <v>995</v>
      </c>
      <c r="X418" t="s">
        <v>998</v>
      </c>
      <c r="Y418" t="s">
        <v>1002</v>
      </c>
      <c r="Z418">
        <v>4</v>
      </c>
      <c r="AA418">
        <v>8</v>
      </c>
      <c r="AB418" s="4">
        <f>Table1[[#This Row],[Total_Price]]*(1-Table1[[#This Row],[Discount 2]])</f>
        <v>28504665.338100001</v>
      </c>
      <c r="AC418" s="4" t="str" cm="1">
        <f t="array" ref="AC418">_xlfn.IFS(Table1[[#This Row],[Revenue]]&gt;=30000000,"High Value",Table1[[#This Row],[Revenue]]&gt;=10000000,"Moderate Value",TRUE,"Low Value")</f>
        <v>Moderate Value</v>
      </c>
      <c r="AD418" t="str">
        <f>IF(Table1[[#This Row],[Discount 2]]&gt;=5%, "YES", "NO")</f>
        <v>NO</v>
      </c>
      <c r="AE418" t="str" cm="1">
        <f t="array" ref="AE418">_xlfn.IFS(Table1[[#This Row],[Revenue]]&gt;=30000000,"High Spender",Table1[[#This Row],[Revenue]]&gt;=10000000,"Moderate Spender",TRUE,"Low Spender")</f>
        <v>Moderate Spender</v>
      </c>
      <c r="AF418" s="4" t="str" cm="1">
        <f t="array" ref="AF418">_xlfn.IFS(Table1[[#This Row],[Land_Size_SQM]]&gt;=730,"LARGE",Table1[[#This Row],[Land_Size_SQM]]&gt;=465,"MEDIUM",TRUE,"SMALL")</f>
        <v>MEDIUM</v>
      </c>
    </row>
    <row r="419" spans="1:32" x14ac:dyDescent="0.3">
      <c r="A419" t="s">
        <v>443</v>
      </c>
      <c r="B419" t="s">
        <v>611</v>
      </c>
      <c r="C419" t="s">
        <v>626</v>
      </c>
      <c r="D419">
        <v>23</v>
      </c>
      <c r="E419" t="s">
        <v>630</v>
      </c>
      <c r="F419">
        <v>970</v>
      </c>
      <c r="G419" s="4">
        <v>41125</v>
      </c>
      <c r="H419" s="4">
        <v>39891250</v>
      </c>
      <c r="I419" t="s">
        <v>641</v>
      </c>
      <c r="J419" t="s">
        <v>673</v>
      </c>
      <c r="K419" t="s">
        <v>679</v>
      </c>
      <c r="L419" t="s">
        <v>681</v>
      </c>
      <c r="M419" t="s">
        <v>686</v>
      </c>
      <c r="N419" t="s">
        <v>691</v>
      </c>
      <c r="O419" t="s">
        <v>693</v>
      </c>
      <c r="P419" s="4">
        <v>39891250</v>
      </c>
      <c r="Q419">
        <v>0</v>
      </c>
      <c r="R419" s="7">
        <v>4.93</v>
      </c>
      <c r="S419" s="8">
        <f>Table1[[#This Row],[Discount_%]]/100</f>
        <v>4.9299999999999997E-2</v>
      </c>
      <c r="T419" s="6" t="s">
        <v>857</v>
      </c>
      <c r="U419" t="s">
        <v>986</v>
      </c>
      <c r="V419">
        <v>2024</v>
      </c>
      <c r="W419" t="s">
        <v>993</v>
      </c>
      <c r="X419" t="s">
        <v>998</v>
      </c>
      <c r="Y419" t="s">
        <v>1000</v>
      </c>
      <c r="Z419">
        <v>4</v>
      </c>
      <c r="AA419">
        <v>41</v>
      </c>
      <c r="AB419" s="4">
        <f>Table1[[#This Row],[Total_Price]]*(1-Table1[[#This Row],[Discount 2]])</f>
        <v>37924611.375</v>
      </c>
      <c r="AC419" s="4" t="str" cm="1">
        <f t="array" ref="AC419">_xlfn.IFS(Table1[[#This Row],[Revenue]]&gt;=30000000,"High Value",Table1[[#This Row],[Revenue]]&gt;=10000000,"Moderate Value",TRUE,"Low Value")</f>
        <v>High Value</v>
      </c>
      <c r="AD419" t="str">
        <f>IF(Table1[[#This Row],[Discount 2]]&gt;=5%, "YES", "NO")</f>
        <v>NO</v>
      </c>
      <c r="AE419" t="str" cm="1">
        <f t="array" ref="AE419">_xlfn.IFS(Table1[[#This Row],[Revenue]]&gt;=30000000,"High Spender",Table1[[#This Row],[Revenue]]&gt;=10000000,"Moderate Spender",TRUE,"Low Spender")</f>
        <v>High Spender</v>
      </c>
      <c r="AF419" s="4" t="str" cm="1">
        <f t="array" ref="AF419">_xlfn.IFS(Table1[[#This Row],[Land_Size_SQM]]&gt;=730,"LARGE",Table1[[#This Row],[Land_Size_SQM]]&gt;=465,"MEDIUM",TRUE,"SMALL")</f>
        <v>LARGE</v>
      </c>
    </row>
    <row r="420" spans="1:32" x14ac:dyDescent="0.3">
      <c r="A420" t="s">
        <v>444</v>
      </c>
      <c r="B420" t="s">
        <v>560</v>
      </c>
      <c r="C420" t="s">
        <v>626</v>
      </c>
      <c r="D420">
        <v>48</v>
      </c>
      <c r="E420" t="s">
        <v>628</v>
      </c>
      <c r="F420">
        <v>767</v>
      </c>
      <c r="G420" s="4">
        <v>40415</v>
      </c>
      <c r="H420" s="4">
        <v>30998305</v>
      </c>
      <c r="I420" t="s">
        <v>649</v>
      </c>
      <c r="J420" t="s">
        <v>669</v>
      </c>
      <c r="K420" t="s">
        <v>677</v>
      </c>
      <c r="L420" t="s">
        <v>682</v>
      </c>
      <c r="M420" t="s">
        <v>686</v>
      </c>
      <c r="N420" t="s">
        <v>688</v>
      </c>
      <c r="O420" t="s">
        <v>693</v>
      </c>
      <c r="P420" s="4">
        <v>30998305</v>
      </c>
      <c r="Q420">
        <v>0</v>
      </c>
      <c r="R420" s="7">
        <v>2.46</v>
      </c>
      <c r="S420" s="8">
        <f>Table1[[#This Row],[Discount_%]]/100</f>
        <v>2.46E-2</v>
      </c>
      <c r="T420" s="6" t="s">
        <v>959</v>
      </c>
      <c r="U420" t="s">
        <v>985</v>
      </c>
      <c r="V420">
        <v>2024</v>
      </c>
      <c r="W420" t="s">
        <v>996</v>
      </c>
      <c r="X420" t="s">
        <v>998</v>
      </c>
      <c r="Y420" t="s">
        <v>1001</v>
      </c>
      <c r="Z420">
        <v>2</v>
      </c>
      <c r="AA420">
        <v>16</v>
      </c>
      <c r="AB420" s="4">
        <f>Table1[[#This Row],[Total_Price]]*(1-Table1[[#This Row],[Discount 2]])</f>
        <v>30235746.697000001</v>
      </c>
      <c r="AC420" s="4" t="str" cm="1">
        <f t="array" ref="AC420">_xlfn.IFS(Table1[[#This Row],[Revenue]]&gt;=30000000,"High Value",Table1[[#This Row],[Revenue]]&gt;=10000000,"Moderate Value",TRUE,"Low Value")</f>
        <v>High Value</v>
      </c>
      <c r="AD420" t="str">
        <f>IF(Table1[[#This Row],[Discount 2]]&gt;=5%, "YES", "NO")</f>
        <v>NO</v>
      </c>
      <c r="AE420" t="str" cm="1">
        <f t="array" ref="AE420">_xlfn.IFS(Table1[[#This Row],[Revenue]]&gt;=30000000,"High Spender",Table1[[#This Row],[Revenue]]&gt;=10000000,"Moderate Spender",TRUE,"Low Spender")</f>
        <v>High Spender</v>
      </c>
      <c r="AF420" s="4" t="str" cm="1">
        <f t="array" ref="AF420">_xlfn.IFS(Table1[[#This Row],[Land_Size_SQM]]&gt;=730,"LARGE",Table1[[#This Row],[Land_Size_SQM]]&gt;=465,"MEDIUM",TRUE,"SMALL")</f>
        <v>LARGE</v>
      </c>
    </row>
    <row r="421" spans="1:32" x14ac:dyDescent="0.3">
      <c r="A421" t="s">
        <v>445</v>
      </c>
      <c r="B421" t="s">
        <v>527</v>
      </c>
      <c r="C421" t="s">
        <v>627</v>
      </c>
      <c r="D421">
        <v>23</v>
      </c>
      <c r="E421" t="s">
        <v>630</v>
      </c>
      <c r="F421">
        <v>662</v>
      </c>
      <c r="G421" s="4">
        <v>4738</v>
      </c>
      <c r="H421" s="4">
        <v>3136556</v>
      </c>
      <c r="I421" t="s">
        <v>660</v>
      </c>
      <c r="J421" t="s">
        <v>672</v>
      </c>
      <c r="K421" t="s">
        <v>675</v>
      </c>
      <c r="L421" t="s">
        <v>681</v>
      </c>
      <c r="M421" t="s">
        <v>686</v>
      </c>
      <c r="N421" t="s">
        <v>690</v>
      </c>
      <c r="O421" t="s">
        <v>693</v>
      </c>
      <c r="P421" s="4">
        <v>3136556</v>
      </c>
      <c r="Q421">
        <v>0</v>
      </c>
      <c r="R421" s="7">
        <v>8.1300000000000008</v>
      </c>
      <c r="S421" s="8">
        <f>Table1[[#This Row],[Discount_%]]/100</f>
        <v>8.1300000000000011E-2</v>
      </c>
      <c r="T421" s="6" t="s">
        <v>916</v>
      </c>
      <c r="U421" t="s">
        <v>983</v>
      </c>
      <c r="V421">
        <v>2024</v>
      </c>
      <c r="W421" t="s">
        <v>995</v>
      </c>
      <c r="X421" t="s">
        <v>998</v>
      </c>
      <c r="Y421" t="s">
        <v>1001</v>
      </c>
      <c r="Z421">
        <v>2</v>
      </c>
      <c r="AA421">
        <v>38</v>
      </c>
      <c r="AB421" s="4">
        <f>Table1[[#This Row],[Total_Price]]*(1-Table1[[#This Row],[Discount 2]])</f>
        <v>2881553.9972000001</v>
      </c>
      <c r="AC421" s="4" t="str" cm="1">
        <f t="array" ref="AC421">_xlfn.IFS(Table1[[#This Row],[Revenue]]&gt;=30000000,"High Value",Table1[[#This Row],[Revenue]]&gt;=10000000,"Moderate Value",TRUE,"Low Value")</f>
        <v>Low Value</v>
      </c>
      <c r="AD421" t="str">
        <f>IF(Table1[[#This Row],[Discount 2]]&gt;=5%, "YES", "NO")</f>
        <v>YES</v>
      </c>
      <c r="AE421" t="str" cm="1">
        <f t="array" ref="AE421">_xlfn.IFS(Table1[[#This Row],[Revenue]]&gt;=30000000,"High Spender",Table1[[#This Row],[Revenue]]&gt;=10000000,"Moderate Spender",TRUE,"Low Spender")</f>
        <v>Low Spender</v>
      </c>
      <c r="AF421" s="4" t="str" cm="1">
        <f t="array" ref="AF421">_xlfn.IFS(Table1[[#This Row],[Land_Size_SQM]]&gt;=730,"LARGE",Table1[[#This Row],[Land_Size_SQM]]&gt;=465,"MEDIUM",TRUE,"SMALL")</f>
        <v>MEDIUM</v>
      </c>
    </row>
    <row r="422" spans="1:32" x14ac:dyDescent="0.3">
      <c r="A422" t="s">
        <v>446</v>
      </c>
      <c r="B422" t="s">
        <v>556</v>
      </c>
      <c r="C422" t="s">
        <v>626</v>
      </c>
      <c r="D422">
        <v>47</v>
      </c>
      <c r="E422" t="s">
        <v>628</v>
      </c>
      <c r="F422">
        <v>365</v>
      </c>
      <c r="G422" s="4">
        <v>37002</v>
      </c>
      <c r="H422" s="4">
        <v>13505730</v>
      </c>
      <c r="I422" t="s">
        <v>637</v>
      </c>
      <c r="J422" t="s">
        <v>672</v>
      </c>
      <c r="K422" t="s">
        <v>664</v>
      </c>
      <c r="L422" t="s">
        <v>682</v>
      </c>
      <c r="M422" t="s">
        <v>686</v>
      </c>
      <c r="N422" t="s">
        <v>690</v>
      </c>
      <c r="O422" t="s">
        <v>693</v>
      </c>
      <c r="P422" s="4">
        <v>13505730</v>
      </c>
      <c r="Q422">
        <v>0</v>
      </c>
      <c r="R422" s="7">
        <v>3.01</v>
      </c>
      <c r="S422" s="8">
        <f>Table1[[#This Row],[Discount_%]]/100</f>
        <v>3.0099999999999998E-2</v>
      </c>
      <c r="T422" s="6" t="s">
        <v>960</v>
      </c>
      <c r="U422" t="s">
        <v>991</v>
      </c>
      <c r="V422">
        <v>2024</v>
      </c>
      <c r="W422" t="s">
        <v>994</v>
      </c>
      <c r="X422" t="s">
        <v>997</v>
      </c>
      <c r="Y422" t="s">
        <v>1002</v>
      </c>
      <c r="Z422">
        <v>4</v>
      </c>
      <c r="AA422">
        <v>18</v>
      </c>
      <c r="AB422" s="4">
        <f>Table1[[#This Row],[Total_Price]]*(1-Table1[[#This Row],[Discount 2]])</f>
        <v>13099207.527000001</v>
      </c>
      <c r="AC422" s="4" t="str" cm="1">
        <f t="array" ref="AC422">_xlfn.IFS(Table1[[#This Row],[Revenue]]&gt;=30000000,"High Value",Table1[[#This Row],[Revenue]]&gt;=10000000,"Moderate Value",TRUE,"Low Value")</f>
        <v>Moderate Value</v>
      </c>
      <c r="AD422" t="str">
        <f>IF(Table1[[#This Row],[Discount 2]]&gt;=5%, "YES", "NO")</f>
        <v>NO</v>
      </c>
      <c r="AE422" t="str" cm="1">
        <f t="array" ref="AE422">_xlfn.IFS(Table1[[#This Row],[Revenue]]&gt;=30000000,"High Spender",Table1[[#This Row],[Revenue]]&gt;=10000000,"Moderate Spender",TRUE,"Low Spender")</f>
        <v>Moderate Spender</v>
      </c>
      <c r="AF422" s="4" t="str" cm="1">
        <f t="array" ref="AF422">_xlfn.IFS(Table1[[#This Row],[Land_Size_SQM]]&gt;=730,"LARGE",Table1[[#This Row],[Land_Size_SQM]]&gt;=465,"MEDIUM",TRUE,"SMALL")</f>
        <v>SMALL</v>
      </c>
    </row>
    <row r="423" spans="1:32" x14ac:dyDescent="0.3">
      <c r="A423" t="s">
        <v>447</v>
      </c>
      <c r="B423" t="s">
        <v>536</v>
      </c>
      <c r="C423" t="s">
        <v>627</v>
      </c>
      <c r="D423">
        <v>20</v>
      </c>
      <c r="E423" t="s">
        <v>629</v>
      </c>
      <c r="F423">
        <v>415</v>
      </c>
      <c r="G423" s="4">
        <v>32133</v>
      </c>
      <c r="H423" s="4">
        <v>13335195</v>
      </c>
      <c r="I423" t="s">
        <v>651</v>
      </c>
      <c r="J423" t="s">
        <v>669</v>
      </c>
      <c r="K423" t="s">
        <v>651</v>
      </c>
      <c r="L423" t="s">
        <v>680</v>
      </c>
      <c r="M423" t="s">
        <v>684</v>
      </c>
      <c r="N423" t="s">
        <v>692</v>
      </c>
      <c r="O423" t="s">
        <v>694</v>
      </c>
      <c r="P423" s="4">
        <v>6323622</v>
      </c>
      <c r="Q423">
        <v>3</v>
      </c>
      <c r="R423" s="7">
        <v>1.34</v>
      </c>
      <c r="S423" s="8">
        <f>Table1[[#This Row],[Discount_%]]/100</f>
        <v>1.34E-2</v>
      </c>
      <c r="T423" s="6" t="s">
        <v>961</v>
      </c>
      <c r="U423" t="s">
        <v>988</v>
      </c>
      <c r="V423">
        <v>2024</v>
      </c>
      <c r="W423" t="s">
        <v>995</v>
      </c>
      <c r="X423" t="s">
        <v>998</v>
      </c>
      <c r="Y423" t="s">
        <v>1001</v>
      </c>
      <c r="Z423">
        <v>1</v>
      </c>
      <c r="AA423">
        <v>42</v>
      </c>
      <c r="AB423" s="4">
        <f>Table1[[#This Row],[Total_Price]]*(1-Table1[[#This Row],[Discount 2]])</f>
        <v>13156503.387</v>
      </c>
      <c r="AC423" s="4" t="str" cm="1">
        <f t="array" ref="AC423">_xlfn.IFS(Table1[[#This Row],[Revenue]]&gt;=30000000,"High Value",Table1[[#This Row],[Revenue]]&gt;=10000000,"Moderate Value",TRUE,"Low Value")</f>
        <v>Moderate Value</v>
      </c>
      <c r="AD423" t="str">
        <f>IF(Table1[[#This Row],[Discount 2]]&gt;=5%, "YES", "NO")</f>
        <v>NO</v>
      </c>
      <c r="AE423" t="str" cm="1">
        <f t="array" ref="AE423">_xlfn.IFS(Table1[[#This Row],[Revenue]]&gt;=30000000,"High Spender",Table1[[#This Row],[Revenue]]&gt;=10000000,"Moderate Spender",TRUE,"Low Spender")</f>
        <v>Moderate Spender</v>
      </c>
      <c r="AF423" s="4" t="str" cm="1">
        <f t="array" ref="AF423">_xlfn.IFS(Table1[[#This Row],[Land_Size_SQM]]&gt;=730,"LARGE",Table1[[#This Row],[Land_Size_SQM]]&gt;=465,"MEDIUM",TRUE,"SMALL")</f>
        <v>SMALL</v>
      </c>
    </row>
    <row r="424" spans="1:32" x14ac:dyDescent="0.3">
      <c r="A424" t="s">
        <v>448</v>
      </c>
      <c r="B424" t="s">
        <v>618</v>
      </c>
      <c r="C424" t="s">
        <v>627</v>
      </c>
      <c r="D424">
        <v>64</v>
      </c>
      <c r="E424" t="s">
        <v>628</v>
      </c>
      <c r="F424">
        <v>231</v>
      </c>
      <c r="G424" s="4">
        <v>46014</v>
      </c>
      <c r="H424" s="4">
        <v>10629234</v>
      </c>
      <c r="I424" t="s">
        <v>631</v>
      </c>
      <c r="J424" t="s">
        <v>668</v>
      </c>
      <c r="K424" t="s">
        <v>675</v>
      </c>
      <c r="L424" t="s">
        <v>680</v>
      </c>
      <c r="M424" t="s">
        <v>684</v>
      </c>
      <c r="N424" t="s">
        <v>690</v>
      </c>
      <c r="O424" t="s">
        <v>694</v>
      </c>
      <c r="P424" s="4">
        <v>3251466</v>
      </c>
      <c r="Q424">
        <v>3</v>
      </c>
      <c r="R424" s="7">
        <v>8.1300000000000008</v>
      </c>
      <c r="S424" s="8">
        <f>Table1[[#This Row],[Discount_%]]/100</f>
        <v>8.1300000000000011E-2</v>
      </c>
      <c r="T424" s="6" t="s">
        <v>962</v>
      </c>
      <c r="U424" t="s">
        <v>983</v>
      </c>
      <c r="V424">
        <v>2024</v>
      </c>
      <c r="W424" t="s">
        <v>996</v>
      </c>
      <c r="X424" t="s">
        <v>998</v>
      </c>
      <c r="Y424" t="s">
        <v>1000</v>
      </c>
      <c r="Z424">
        <v>2</v>
      </c>
      <c r="AA424">
        <v>48</v>
      </c>
      <c r="AB424" s="4">
        <f>Table1[[#This Row],[Total_Price]]*(1-Table1[[#This Row],[Discount 2]])</f>
        <v>9765077.275799999</v>
      </c>
      <c r="AC424" s="4" t="str" cm="1">
        <f t="array" ref="AC424">_xlfn.IFS(Table1[[#This Row],[Revenue]]&gt;=30000000,"High Value",Table1[[#This Row],[Revenue]]&gt;=10000000,"Moderate Value",TRUE,"Low Value")</f>
        <v>Low Value</v>
      </c>
      <c r="AD424" t="str">
        <f>IF(Table1[[#This Row],[Discount 2]]&gt;=5%, "YES", "NO")</f>
        <v>YES</v>
      </c>
      <c r="AE424" t="str" cm="1">
        <f t="array" ref="AE424">_xlfn.IFS(Table1[[#This Row],[Revenue]]&gt;=30000000,"High Spender",Table1[[#This Row],[Revenue]]&gt;=10000000,"Moderate Spender",TRUE,"Low Spender")</f>
        <v>Low Spender</v>
      </c>
      <c r="AF424" s="4" t="str" cm="1">
        <f t="array" ref="AF424">_xlfn.IFS(Table1[[#This Row],[Land_Size_SQM]]&gt;=730,"LARGE",Table1[[#This Row],[Land_Size_SQM]]&gt;=465,"MEDIUM",TRUE,"SMALL")</f>
        <v>SMALL</v>
      </c>
    </row>
    <row r="425" spans="1:32" x14ac:dyDescent="0.3">
      <c r="A425" t="s">
        <v>449</v>
      </c>
      <c r="B425" t="s">
        <v>591</v>
      </c>
      <c r="C425" t="s">
        <v>626</v>
      </c>
      <c r="D425">
        <v>65</v>
      </c>
      <c r="E425" t="s">
        <v>629</v>
      </c>
      <c r="F425">
        <v>396</v>
      </c>
      <c r="G425" s="4">
        <v>7896</v>
      </c>
      <c r="H425" s="4">
        <v>3126816</v>
      </c>
      <c r="I425" t="s">
        <v>646</v>
      </c>
      <c r="J425" t="s">
        <v>673</v>
      </c>
      <c r="K425" t="s">
        <v>651</v>
      </c>
      <c r="L425" t="s">
        <v>682</v>
      </c>
      <c r="M425" t="s">
        <v>683</v>
      </c>
      <c r="N425" t="s">
        <v>689</v>
      </c>
      <c r="O425" t="s">
        <v>694</v>
      </c>
      <c r="P425" s="4">
        <v>845108</v>
      </c>
      <c r="Q425">
        <v>6</v>
      </c>
      <c r="R425" s="7">
        <v>4.9400000000000004</v>
      </c>
      <c r="S425" s="8">
        <f>Table1[[#This Row],[Discount_%]]/100</f>
        <v>4.9400000000000006E-2</v>
      </c>
      <c r="T425" s="6" t="s">
        <v>749</v>
      </c>
      <c r="U425" t="s">
        <v>991</v>
      </c>
      <c r="V425">
        <v>2024</v>
      </c>
      <c r="W425" t="s">
        <v>996</v>
      </c>
      <c r="X425" t="s">
        <v>997</v>
      </c>
      <c r="Y425" t="s">
        <v>1002</v>
      </c>
      <c r="Z425">
        <v>1</v>
      </c>
      <c r="AA425">
        <v>18</v>
      </c>
      <c r="AB425" s="4">
        <f>Table1[[#This Row],[Total_Price]]*(1-Table1[[#This Row],[Discount 2]])</f>
        <v>2972351.2895999998</v>
      </c>
      <c r="AC425" s="4" t="str" cm="1">
        <f t="array" ref="AC425">_xlfn.IFS(Table1[[#This Row],[Revenue]]&gt;=30000000,"High Value",Table1[[#This Row],[Revenue]]&gt;=10000000,"Moderate Value",TRUE,"Low Value")</f>
        <v>Low Value</v>
      </c>
      <c r="AD425" t="str">
        <f>IF(Table1[[#This Row],[Discount 2]]&gt;=5%, "YES", "NO")</f>
        <v>NO</v>
      </c>
      <c r="AE425" t="str" cm="1">
        <f t="array" ref="AE425">_xlfn.IFS(Table1[[#This Row],[Revenue]]&gt;=30000000,"High Spender",Table1[[#This Row],[Revenue]]&gt;=10000000,"Moderate Spender",TRUE,"Low Spender")</f>
        <v>Low Spender</v>
      </c>
      <c r="AF425" s="4" t="str" cm="1">
        <f t="array" ref="AF425">_xlfn.IFS(Table1[[#This Row],[Land_Size_SQM]]&gt;=730,"LARGE",Table1[[#This Row],[Land_Size_SQM]]&gt;=465,"MEDIUM",TRUE,"SMALL")</f>
        <v>SMALL</v>
      </c>
    </row>
    <row r="426" spans="1:32" x14ac:dyDescent="0.3">
      <c r="A426" t="s">
        <v>450</v>
      </c>
      <c r="B426" t="s">
        <v>573</v>
      </c>
      <c r="C426" t="s">
        <v>627</v>
      </c>
      <c r="D426">
        <v>24</v>
      </c>
      <c r="E426" t="s">
        <v>629</v>
      </c>
      <c r="F426">
        <v>374</v>
      </c>
      <c r="G426" s="4">
        <v>38161</v>
      </c>
      <c r="H426" s="4">
        <v>14272214</v>
      </c>
      <c r="I426" t="s">
        <v>665</v>
      </c>
      <c r="J426" t="s">
        <v>672</v>
      </c>
      <c r="K426" t="s">
        <v>678</v>
      </c>
      <c r="L426" t="s">
        <v>680</v>
      </c>
      <c r="M426" t="s">
        <v>685</v>
      </c>
      <c r="N426" t="s">
        <v>688</v>
      </c>
      <c r="O426" t="s">
        <v>693</v>
      </c>
      <c r="P426" s="4">
        <v>14272214</v>
      </c>
      <c r="Q426">
        <v>0</v>
      </c>
      <c r="R426" s="7">
        <v>6.6</v>
      </c>
      <c r="S426" s="8">
        <f>Table1[[#This Row],[Discount_%]]/100</f>
        <v>6.6000000000000003E-2</v>
      </c>
      <c r="T426" s="6" t="s">
        <v>894</v>
      </c>
      <c r="U426" t="s">
        <v>985</v>
      </c>
      <c r="V426">
        <v>2024</v>
      </c>
      <c r="W426" t="s">
        <v>994</v>
      </c>
      <c r="X426" t="s">
        <v>997</v>
      </c>
      <c r="Y426" t="s">
        <v>1000</v>
      </c>
      <c r="Z426">
        <v>5</v>
      </c>
      <c r="AA426">
        <v>47</v>
      </c>
      <c r="AB426" s="4">
        <f>Table1[[#This Row],[Total_Price]]*(1-Table1[[#This Row],[Discount 2]])</f>
        <v>13330247.875999998</v>
      </c>
      <c r="AC426" s="4" t="str" cm="1">
        <f t="array" ref="AC426">_xlfn.IFS(Table1[[#This Row],[Revenue]]&gt;=30000000,"High Value",Table1[[#This Row],[Revenue]]&gt;=10000000,"Moderate Value",TRUE,"Low Value")</f>
        <v>Moderate Value</v>
      </c>
      <c r="AD426" t="str">
        <f>IF(Table1[[#This Row],[Discount 2]]&gt;=5%, "YES", "NO")</f>
        <v>YES</v>
      </c>
      <c r="AE426" t="str" cm="1">
        <f t="array" ref="AE426">_xlfn.IFS(Table1[[#This Row],[Revenue]]&gt;=30000000,"High Spender",Table1[[#This Row],[Revenue]]&gt;=10000000,"Moderate Spender",TRUE,"Low Spender")</f>
        <v>Moderate Spender</v>
      </c>
      <c r="AF426" s="4" t="str" cm="1">
        <f t="array" ref="AF426">_xlfn.IFS(Table1[[#This Row],[Land_Size_SQM]]&gt;=730,"LARGE",Table1[[#This Row],[Land_Size_SQM]]&gt;=465,"MEDIUM",TRUE,"SMALL")</f>
        <v>SMALL</v>
      </c>
    </row>
    <row r="427" spans="1:32" x14ac:dyDescent="0.3">
      <c r="A427" t="s">
        <v>451</v>
      </c>
      <c r="B427" t="s">
        <v>603</v>
      </c>
      <c r="C427" t="s">
        <v>626</v>
      </c>
      <c r="D427">
        <v>46</v>
      </c>
      <c r="E427" t="s">
        <v>630</v>
      </c>
      <c r="F427">
        <v>909</v>
      </c>
      <c r="G427" s="4">
        <v>46416</v>
      </c>
      <c r="H427" s="4">
        <v>42192144</v>
      </c>
      <c r="I427" t="s">
        <v>648</v>
      </c>
      <c r="J427" t="s">
        <v>671</v>
      </c>
      <c r="K427" t="s">
        <v>664</v>
      </c>
      <c r="L427" t="s">
        <v>680</v>
      </c>
      <c r="M427" t="s">
        <v>686</v>
      </c>
      <c r="N427" t="s">
        <v>691</v>
      </c>
      <c r="O427" t="s">
        <v>694</v>
      </c>
      <c r="P427" s="4">
        <v>8463174</v>
      </c>
      <c r="Q427">
        <v>24</v>
      </c>
      <c r="R427" s="7">
        <v>4.2699999999999996</v>
      </c>
      <c r="S427" s="8">
        <f>Table1[[#This Row],[Discount_%]]/100</f>
        <v>4.2699999999999995E-2</v>
      </c>
      <c r="T427" s="6" t="s">
        <v>963</v>
      </c>
      <c r="U427" t="s">
        <v>984</v>
      </c>
      <c r="V427">
        <v>2024</v>
      </c>
      <c r="W427" t="s">
        <v>995</v>
      </c>
      <c r="X427" t="s">
        <v>998</v>
      </c>
      <c r="Y427" t="s">
        <v>1001</v>
      </c>
      <c r="Z427">
        <v>1</v>
      </c>
      <c r="AA427">
        <v>47</v>
      </c>
      <c r="AB427" s="4">
        <f>Table1[[#This Row],[Total_Price]]*(1-Table1[[#This Row],[Discount 2]])</f>
        <v>40390539.451200001</v>
      </c>
      <c r="AC427" s="4" t="str" cm="1">
        <f t="array" ref="AC427">_xlfn.IFS(Table1[[#This Row],[Revenue]]&gt;=30000000,"High Value",Table1[[#This Row],[Revenue]]&gt;=10000000,"Moderate Value",TRUE,"Low Value")</f>
        <v>High Value</v>
      </c>
      <c r="AD427" t="str">
        <f>IF(Table1[[#This Row],[Discount 2]]&gt;=5%, "YES", "NO")</f>
        <v>NO</v>
      </c>
      <c r="AE427" t="str" cm="1">
        <f t="array" ref="AE427">_xlfn.IFS(Table1[[#This Row],[Revenue]]&gt;=30000000,"High Spender",Table1[[#This Row],[Revenue]]&gt;=10000000,"Moderate Spender",TRUE,"Low Spender")</f>
        <v>High Spender</v>
      </c>
      <c r="AF427" s="4" t="str" cm="1">
        <f t="array" ref="AF427">_xlfn.IFS(Table1[[#This Row],[Land_Size_SQM]]&gt;=730,"LARGE",Table1[[#This Row],[Land_Size_SQM]]&gt;=465,"MEDIUM",TRUE,"SMALL")</f>
        <v>LARGE</v>
      </c>
    </row>
    <row r="428" spans="1:32" x14ac:dyDescent="0.3">
      <c r="A428" t="s">
        <v>452</v>
      </c>
      <c r="B428" t="s">
        <v>547</v>
      </c>
      <c r="C428" t="s">
        <v>627</v>
      </c>
      <c r="D428">
        <v>64</v>
      </c>
      <c r="E428" t="s">
        <v>630</v>
      </c>
      <c r="F428">
        <v>630</v>
      </c>
      <c r="G428" s="4">
        <v>36892</v>
      </c>
      <c r="H428" s="4">
        <v>23241960</v>
      </c>
      <c r="I428" t="s">
        <v>649</v>
      </c>
      <c r="J428" t="s">
        <v>669</v>
      </c>
      <c r="K428" t="s">
        <v>677</v>
      </c>
      <c r="L428" t="s">
        <v>680</v>
      </c>
      <c r="M428" t="s">
        <v>683</v>
      </c>
      <c r="N428" t="s">
        <v>688</v>
      </c>
      <c r="O428" t="s">
        <v>694</v>
      </c>
      <c r="P428" s="4">
        <v>4684366</v>
      </c>
      <c r="Q428">
        <v>12</v>
      </c>
      <c r="R428" s="7">
        <v>1.95</v>
      </c>
      <c r="S428" s="8">
        <f>Table1[[#This Row],[Discount_%]]/100</f>
        <v>1.95E-2</v>
      </c>
      <c r="T428" s="6" t="s">
        <v>964</v>
      </c>
      <c r="U428" t="s">
        <v>981</v>
      </c>
      <c r="V428">
        <v>2024</v>
      </c>
      <c r="W428" t="s">
        <v>996</v>
      </c>
      <c r="X428" t="s">
        <v>998</v>
      </c>
      <c r="Y428" t="s">
        <v>1002</v>
      </c>
      <c r="Z428">
        <v>1</v>
      </c>
      <c r="AA428">
        <v>41</v>
      </c>
      <c r="AB428" s="4">
        <f>Table1[[#This Row],[Total_Price]]*(1-Table1[[#This Row],[Discount 2]])</f>
        <v>22788741.780000001</v>
      </c>
      <c r="AC428" s="4" t="str" cm="1">
        <f t="array" ref="AC428">_xlfn.IFS(Table1[[#This Row],[Revenue]]&gt;=30000000,"High Value",Table1[[#This Row],[Revenue]]&gt;=10000000,"Moderate Value",TRUE,"Low Value")</f>
        <v>Moderate Value</v>
      </c>
      <c r="AD428" t="str">
        <f>IF(Table1[[#This Row],[Discount 2]]&gt;=5%, "YES", "NO")</f>
        <v>NO</v>
      </c>
      <c r="AE428" t="str" cm="1">
        <f t="array" ref="AE428">_xlfn.IFS(Table1[[#This Row],[Revenue]]&gt;=30000000,"High Spender",Table1[[#This Row],[Revenue]]&gt;=10000000,"Moderate Spender",TRUE,"Low Spender")</f>
        <v>Moderate Spender</v>
      </c>
      <c r="AF428" s="4" t="str" cm="1">
        <f t="array" ref="AF428">_xlfn.IFS(Table1[[#This Row],[Land_Size_SQM]]&gt;=730,"LARGE",Table1[[#This Row],[Land_Size_SQM]]&gt;=465,"MEDIUM",TRUE,"SMALL")</f>
        <v>MEDIUM</v>
      </c>
    </row>
    <row r="429" spans="1:32" x14ac:dyDescent="0.3">
      <c r="A429" t="s">
        <v>453</v>
      </c>
      <c r="B429" t="s">
        <v>585</v>
      </c>
      <c r="C429" t="s">
        <v>627</v>
      </c>
      <c r="D429">
        <v>26</v>
      </c>
      <c r="E429" t="s">
        <v>630</v>
      </c>
      <c r="F429">
        <v>691</v>
      </c>
      <c r="G429" s="4">
        <v>30308</v>
      </c>
      <c r="H429" s="4">
        <v>20942828</v>
      </c>
      <c r="I429" t="s">
        <v>631</v>
      </c>
      <c r="J429" t="s">
        <v>668</v>
      </c>
      <c r="K429" t="s">
        <v>664</v>
      </c>
      <c r="L429" t="s">
        <v>680</v>
      </c>
      <c r="M429" t="s">
        <v>687</v>
      </c>
      <c r="N429" t="s">
        <v>689</v>
      </c>
      <c r="O429" t="s">
        <v>693</v>
      </c>
      <c r="P429" s="4">
        <v>20942828</v>
      </c>
      <c r="Q429">
        <v>0</v>
      </c>
      <c r="R429" s="7">
        <v>5.93</v>
      </c>
      <c r="S429" s="8">
        <f>Table1[[#This Row],[Discount_%]]/100</f>
        <v>5.9299999999999999E-2</v>
      </c>
      <c r="T429" s="6" t="s">
        <v>732</v>
      </c>
      <c r="U429" t="s">
        <v>983</v>
      </c>
      <c r="V429">
        <v>2024</v>
      </c>
      <c r="W429" t="s">
        <v>994</v>
      </c>
      <c r="X429" t="s">
        <v>997</v>
      </c>
      <c r="Y429" t="s">
        <v>1000</v>
      </c>
      <c r="Z429">
        <v>1</v>
      </c>
      <c r="AA429">
        <v>50</v>
      </c>
      <c r="AB429" s="4">
        <f>Table1[[#This Row],[Total_Price]]*(1-Table1[[#This Row],[Discount 2]])</f>
        <v>19700918.299600001</v>
      </c>
      <c r="AC429" s="4" t="str" cm="1">
        <f t="array" ref="AC429">_xlfn.IFS(Table1[[#This Row],[Revenue]]&gt;=30000000,"High Value",Table1[[#This Row],[Revenue]]&gt;=10000000,"Moderate Value",TRUE,"Low Value")</f>
        <v>Moderate Value</v>
      </c>
      <c r="AD429" t="str">
        <f>IF(Table1[[#This Row],[Discount 2]]&gt;=5%, "YES", "NO")</f>
        <v>YES</v>
      </c>
      <c r="AE429" t="str" cm="1">
        <f t="array" ref="AE429">_xlfn.IFS(Table1[[#This Row],[Revenue]]&gt;=30000000,"High Spender",Table1[[#This Row],[Revenue]]&gt;=10000000,"Moderate Spender",TRUE,"Low Spender")</f>
        <v>Moderate Spender</v>
      </c>
      <c r="AF429" s="4" t="str" cm="1">
        <f t="array" ref="AF429">_xlfn.IFS(Table1[[#This Row],[Land_Size_SQM]]&gt;=730,"LARGE",Table1[[#This Row],[Land_Size_SQM]]&gt;=465,"MEDIUM",TRUE,"SMALL")</f>
        <v>MEDIUM</v>
      </c>
    </row>
    <row r="430" spans="1:32" x14ac:dyDescent="0.3">
      <c r="A430" t="s">
        <v>454</v>
      </c>
      <c r="B430" t="s">
        <v>600</v>
      </c>
      <c r="C430" t="s">
        <v>627</v>
      </c>
      <c r="D430">
        <v>28</v>
      </c>
      <c r="E430" t="s">
        <v>628</v>
      </c>
      <c r="F430">
        <v>982</v>
      </c>
      <c r="G430" s="4">
        <v>8269</v>
      </c>
      <c r="H430" s="4">
        <v>8120158</v>
      </c>
      <c r="I430" t="s">
        <v>665</v>
      </c>
      <c r="J430" t="s">
        <v>672</v>
      </c>
      <c r="K430" t="s">
        <v>678</v>
      </c>
      <c r="L430" t="s">
        <v>681</v>
      </c>
      <c r="M430" t="s">
        <v>685</v>
      </c>
      <c r="N430" t="s">
        <v>690</v>
      </c>
      <c r="O430" t="s">
        <v>694</v>
      </c>
      <c r="P430" s="4">
        <v>1832398</v>
      </c>
      <c r="Q430">
        <v>3</v>
      </c>
      <c r="R430" s="7">
        <v>0.61</v>
      </c>
      <c r="S430" s="8">
        <f>Table1[[#This Row],[Discount_%]]/100</f>
        <v>6.0999999999999995E-3</v>
      </c>
      <c r="T430" s="6" t="s">
        <v>938</v>
      </c>
      <c r="U430" t="s">
        <v>988</v>
      </c>
      <c r="V430">
        <v>2024</v>
      </c>
      <c r="W430" t="s">
        <v>995</v>
      </c>
      <c r="X430" t="s">
        <v>999</v>
      </c>
      <c r="Y430" t="s">
        <v>1000</v>
      </c>
      <c r="Z430">
        <v>1</v>
      </c>
      <c r="AA430">
        <v>36</v>
      </c>
      <c r="AB430" s="4">
        <f>Table1[[#This Row],[Total_Price]]*(1-Table1[[#This Row],[Discount 2]])</f>
        <v>8070625.0362</v>
      </c>
      <c r="AC430" s="4" t="str" cm="1">
        <f t="array" ref="AC430">_xlfn.IFS(Table1[[#This Row],[Revenue]]&gt;=30000000,"High Value",Table1[[#This Row],[Revenue]]&gt;=10000000,"Moderate Value",TRUE,"Low Value")</f>
        <v>Low Value</v>
      </c>
      <c r="AD430" t="str">
        <f>IF(Table1[[#This Row],[Discount 2]]&gt;=5%, "YES", "NO")</f>
        <v>NO</v>
      </c>
      <c r="AE430" t="str" cm="1">
        <f t="array" ref="AE430">_xlfn.IFS(Table1[[#This Row],[Revenue]]&gt;=30000000,"High Spender",Table1[[#This Row],[Revenue]]&gt;=10000000,"Moderate Spender",TRUE,"Low Spender")</f>
        <v>Low Spender</v>
      </c>
      <c r="AF430" s="4" t="str" cm="1">
        <f t="array" ref="AF430">_xlfn.IFS(Table1[[#This Row],[Land_Size_SQM]]&gt;=730,"LARGE",Table1[[#This Row],[Land_Size_SQM]]&gt;=465,"MEDIUM",TRUE,"SMALL")</f>
        <v>LARGE</v>
      </c>
    </row>
    <row r="431" spans="1:32" x14ac:dyDescent="0.3">
      <c r="A431" t="s">
        <v>455</v>
      </c>
      <c r="B431" t="s">
        <v>559</v>
      </c>
      <c r="C431" t="s">
        <v>626</v>
      </c>
      <c r="D431">
        <v>49</v>
      </c>
      <c r="E431" t="s">
        <v>630</v>
      </c>
      <c r="F431">
        <v>611</v>
      </c>
      <c r="G431" s="4">
        <v>8280</v>
      </c>
      <c r="H431" s="4">
        <v>5059080</v>
      </c>
      <c r="I431" t="s">
        <v>646</v>
      </c>
      <c r="J431" t="s">
        <v>673</v>
      </c>
      <c r="K431" t="s">
        <v>640</v>
      </c>
      <c r="L431" t="s">
        <v>682</v>
      </c>
      <c r="M431" t="s">
        <v>686</v>
      </c>
      <c r="N431" t="s">
        <v>689</v>
      </c>
      <c r="O431" t="s">
        <v>694</v>
      </c>
      <c r="P431" s="4">
        <v>2324014</v>
      </c>
      <c r="Q431">
        <v>6</v>
      </c>
      <c r="R431" s="7">
        <v>7.87</v>
      </c>
      <c r="S431" s="8">
        <f>Table1[[#This Row],[Discount_%]]/100</f>
        <v>7.8700000000000006E-2</v>
      </c>
      <c r="T431" s="6" t="s">
        <v>965</v>
      </c>
      <c r="U431" t="s">
        <v>983</v>
      </c>
      <c r="V431">
        <v>2024</v>
      </c>
      <c r="W431" t="s">
        <v>994</v>
      </c>
      <c r="X431" t="s">
        <v>997</v>
      </c>
      <c r="Y431" t="s">
        <v>1001</v>
      </c>
      <c r="Z431">
        <v>1</v>
      </c>
      <c r="AA431">
        <v>30</v>
      </c>
      <c r="AB431" s="4">
        <f>Table1[[#This Row],[Total_Price]]*(1-Table1[[#This Row],[Discount 2]])</f>
        <v>4660930.4040000001</v>
      </c>
      <c r="AC431" s="4" t="str" cm="1">
        <f t="array" ref="AC431">_xlfn.IFS(Table1[[#This Row],[Revenue]]&gt;=30000000,"High Value",Table1[[#This Row],[Revenue]]&gt;=10000000,"Moderate Value",TRUE,"Low Value")</f>
        <v>Low Value</v>
      </c>
      <c r="AD431" t="str">
        <f>IF(Table1[[#This Row],[Discount 2]]&gt;=5%, "YES", "NO")</f>
        <v>YES</v>
      </c>
      <c r="AE431" t="str" cm="1">
        <f t="array" ref="AE431">_xlfn.IFS(Table1[[#This Row],[Revenue]]&gt;=30000000,"High Spender",Table1[[#This Row],[Revenue]]&gt;=10000000,"Moderate Spender",TRUE,"Low Spender")</f>
        <v>Low Spender</v>
      </c>
      <c r="AF431" s="4" t="str" cm="1">
        <f t="array" ref="AF431">_xlfn.IFS(Table1[[#This Row],[Land_Size_SQM]]&gt;=730,"LARGE",Table1[[#This Row],[Land_Size_SQM]]&gt;=465,"MEDIUM",TRUE,"SMALL")</f>
        <v>MEDIUM</v>
      </c>
    </row>
    <row r="432" spans="1:32" x14ac:dyDescent="0.3">
      <c r="A432" t="s">
        <v>456</v>
      </c>
      <c r="B432" t="s">
        <v>529</v>
      </c>
      <c r="C432" t="s">
        <v>627</v>
      </c>
      <c r="D432">
        <v>56</v>
      </c>
      <c r="E432" t="s">
        <v>628</v>
      </c>
      <c r="F432">
        <v>397</v>
      </c>
      <c r="G432" s="4">
        <v>9078</v>
      </c>
      <c r="H432" s="4">
        <v>3603966</v>
      </c>
      <c r="I432" t="s">
        <v>637</v>
      </c>
      <c r="J432" t="s">
        <v>672</v>
      </c>
      <c r="K432" t="s">
        <v>674</v>
      </c>
      <c r="L432" t="s">
        <v>682</v>
      </c>
      <c r="M432" t="s">
        <v>686</v>
      </c>
      <c r="N432" t="s">
        <v>690</v>
      </c>
      <c r="O432" t="s">
        <v>693</v>
      </c>
      <c r="P432" s="4">
        <v>3603966</v>
      </c>
      <c r="Q432">
        <v>0</v>
      </c>
      <c r="R432" s="7">
        <v>0.12</v>
      </c>
      <c r="S432" s="8">
        <f>Table1[[#This Row],[Discount_%]]/100</f>
        <v>1.1999999999999999E-3</v>
      </c>
      <c r="T432" s="6" t="s">
        <v>834</v>
      </c>
      <c r="U432" t="s">
        <v>984</v>
      </c>
      <c r="V432">
        <v>2024</v>
      </c>
      <c r="W432" t="s">
        <v>994</v>
      </c>
      <c r="X432" t="s">
        <v>998</v>
      </c>
      <c r="Y432" t="s">
        <v>1002</v>
      </c>
      <c r="Z432">
        <v>5</v>
      </c>
      <c r="AA432">
        <v>29</v>
      </c>
      <c r="AB432" s="4">
        <f>Table1[[#This Row],[Total_Price]]*(1-Table1[[#This Row],[Discount 2]])</f>
        <v>3599641.2408000003</v>
      </c>
      <c r="AC432" s="4" t="str" cm="1">
        <f t="array" ref="AC432">_xlfn.IFS(Table1[[#This Row],[Revenue]]&gt;=30000000,"High Value",Table1[[#This Row],[Revenue]]&gt;=10000000,"Moderate Value",TRUE,"Low Value")</f>
        <v>Low Value</v>
      </c>
      <c r="AD432" t="str">
        <f>IF(Table1[[#This Row],[Discount 2]]&gt;=5%, "YES", "NO")</f>
        <v>NO</v>
      </c>
      <c r="AE432" t="str" cm="1">
        <f t="array" ref="AE432">_xlfn.IFS(Table1[[#This Row],[Revenue]]&gt;=30000000,"High Spender",Table1[[#This Row],[Revenue]]&gt;=10000000,"Moderate Spender",TRUE,"Low Spender")</f>
        <v>Low Spender</v>
      </c>
      <c r="AF432" s="4" t="str" cm="1">
        <f t="array" ref="AF432">_xlfn.IFS(Table1[[#This Row],[Land_Size_SQM]]&gt;=730,"LARGE",Table1[[#This Row],[Land_Size_SQM]]&gt;=465,"MEDIUM",TRUE,"SMALL")</f>
        <v>SMALL</v>
      </c>
    </row>
    <row r="433" spans="1:32" x14ac:dyDescent="0.3">
      <c r="A433" t="s">
        <v>457</v>
      </c>
      <c r="B433" t="s">
        <v>597</v>
      </c>
      <c r="C433" t="s">
        <v>626</v>
      </c>
      <c r="D433">
        <v>57</v>
      </c>
      <c r="E433" t="s">
        <v>629</v>
      </c>
      <c r="F433">
        <v>245</v>
      </c>
      <c r="G433" s="4">
        <v>5964</v>
      </c>
      <c r="H433" s="4">
        <v>1461180</v>
      </c>
      <c r="I433" t="s">
        <v>654</v>
      </c>
      <c r="J433" t="s">
        <v>669</v>
      </c>
      <c r="K433" t="s">
        <v>638</v>
      </c>
      <c r="L433" t="s">
        <v>680</v>
      </c>
      <c r="M433" t="s">
        <v>683</v>
      </c>
      <c r="N433" t="s">
        <v>691</v>
      </c>
      <c r="O433" t="s">
        <v>693</v>
      </c>
      <c r="P433" s="4">
        <v>1461180</v>
      </c>
      <c r="Q433">
        <v>0</v>
      </c>
      <c r="R433" s="7">
        <v>3.12</v>
      </c>
      <c r="S433" s="8">
        <f>Table1[[#This Row],[Discount_%]]/100</f>
        <v>3.1200000000000002E-2</v>
      </c>
      <c r="T433" s="6" t="s">
        <v>951</v>
      </c>
      <c r="U433" t="s">
        <v>989</v>
      </c>
      <c r="V433">
        <v>2024</v>
      </c>
      <c r="W433" t="s">
        <v>994</v>
      </c>
      <c r="X433" t="s">
        <v>997</v>
      </c>
      <c r="Y433" t="s">
        <v>1002</v>
      </c>
      <c r="Z433">
        <v>3</v>
      </c>
      <c r="AA433">
        <v>24</v>
      </c>
      <c r="AB433" s="4">
        <f>Table1[[#This Row],[Total_Price]]*(1-Table1[[#This Row],[Discount 2]])</f>
        <v>1415591.1839999999</v>
      </c>
      <c r="AC433" s="4" t="str" cm="1">
        <f t="array" ref="AC433">_xlfn.IFS(Table1[[#This Row],[Revenue]]&gt;=30000000,"High Value",Table1[[#This Row],[Revenue]]&gt;=10000000,"Moderate Value",TRUE,"Low Value")</f>
        <v>Low Value</v>
      </c>
      <c r="AD433" t="str">
        <f>IF(Table1[[#This Row],[Discount 2]]&gt;=5%, "YES", "NO")</f>
        <v>NO</v>
      </c>
      <c r="AE433" t="str" cm="1">
        <f t="array" ref="AE433">_xlfn.IFS(Table1[[#This Row],[Revenue]]&gt;=30000000,"High Spender",Table1[[#This Row],[Revenue]]&gt;=10000000,"Moderate Spender",TRUE,"Low Spender")</f>
        <v>Low Spender</v>
      </c>
      <c r="AF433" s="4" t="str" cm="1">
        <f t="array" ref="AF433">_xlfn.IFS(Table1[[#This Row],[Land_Size_SQM]]&gt;=730,"LARGE",Table1[[#This Row],[Land_Size_SQM]]&gt;=465,"MEDIUM",TRUE,"SMALL")</f>
        <v>SMALL</v>
      </c>
    </row>
    <row r="434" spans="1:32" x14ac:dyDescent="0.3">
      <c r="A434" t="s">
        <v>458</v>
      </c>
      <c r="B434" t="s">
        <v>563</v>
      </c>
      <c r="C434" t="s">
        <v>626</v>
      </c>
      <c r="D434">
        <v>42</v>
      </c>
      <c r="E434" t="s">
        <v>628</v>
      </c>
      <c r="F434">
        <v>873</v>
      </c>
      <c r="G434" s="4">
        <v>46453</v>
      </c>
      <c r="H434" s="4">
        <v>40553469</v>
      </c>
      <c r="I434" t="s">
        <v>642</v>
      </c>
      <c r="J434" t="s">
        <v>673</v>
      </c>
      <c r="K434" t="s">
        <v>674</v>
      </c>
      <c r="L434" t="s">
        <v>680</v>
      </c>
      <c r="M434" t="s">
        <v>683</v>
      </c>
      <c r="N434" t="s">
        <v>689</v>
      </c>
      <c r="O434" t="s">
        <v>693</v>
      </c>
      <c r="P434" s="4">
        <v>40553469</v>
      </c>
      <c r="Q434">
        <v>0</v>
      </c>
      <c r="R434" s="7">
        <v>0.56999999999999995</v>
      </c>
      <c r="S434" s="8">
        <f>Table1[[#This Row],[Discount_%]]/100</f>
        <v>5.6999999999999993E-3</v>
      </c>
      <c r="T434" s="6" t="s">
        <v>886</v>
      </c>
      <c r="U434" t="s">
        <v>986</v>
      </c>
      <c r="V434">
        <v>2024</v>
      </c>
      <c r="W434" t="s">
        <v>994</v>
      </c>
      <c r="X434" t="s">
        <v>999</v>
      </c>
      <c r="Y434" t="s">
        <v>1001</v>
      </c>
      <c r="Z434">
        <v>4</v>
      </c>
      <c r="AA434">
        <v>45</v>
      </c>
      <c r="AB434" s="4">
        <f>Table1[[#This Row],[Total_Price]]*(1-Table1[[#This Row],[Discount 2]])</f>
        <v>40322314.2267</v>
      </c>
      <c r="AC434" s="4" t="str" cm="1">
        <f t="array" ref="AC434">_xlfn.IFS(Table1[[#This Row],[Revenue]]&gt;=30000000,"High Value",Table1[[#This Row],[Revenue]]&gt;=10000000,"Moderate Value",TRUE,"Low Value")</f>
        <v>High Value</v>
      </c>
      <c r="AD434" t="str">
        <f>IF(Table1[[#This Row],[Discount 2]]&gt;=5%, "YES", "NO")</f>
        <v>NO</v>
      </c>
      <c r="AE434" t="str" cm="1">
        <f t="array" ref="AE434">_xlfn.IFS(Table1[[#This Row],[Revenue]]&gt;=30000000,"High Spender",Table1[[#This Row],[Revenue]]&gt;=10000000,"Moderate Spender",TRUE,"Low Spender")</f>
        <v>High Spender</v>
      </c>
      <c r="AF434" s="4" t="str" cm="1">
        <f t="array" ref="AF434">_xlfn.IFS(Table1[[#This Row],[Land_Size_SQM]]&gt;=730,"LARGE",Table1[[#This Row],[Land_Size_SQM]]&gt;=465,"MEDIUM",TRUE,"SMALL")</f>
        <v>LARGE</v>
      </c>
    </row>
    <row r="435" spans="1:32" x14ac:dyDescent="0.3">
      <c r="A435" t="s">
        <v>459</v>
      </c>
      <c r="B435" t="s">
        <v>559</v>
      </c>
      <c r="C435" t="s">
        <v>627</v>
      </c>
      <c r="D435">
        <v>20</v>
      </c>
      <c r="E435" t="s">
        <v>629</v>
      </c>
      <c r="F435">
        <v>909</v>
      </c>
      <c r="G435" s="4">
        <v>23701</v>
      </c>
      <c r="H435" s="4">
        <v>21544209</v>
      </c>
      <c r="I435" t="s">
        <v>633</v>
      </c>
      <c r="J435" t="s">
        <v>668</v>
      </c>
      <c r="K435" t="s">
        <v>674</v>
      </c>
      <c r="L435" t="s">
        <v>680</v>
      </c>
      <c r="M435" t="s">
        <v>683</v>
      </c>
      <c r="N435" t="s">
        <v>691</v>
      </c>
      <c r="O435" t="s">
        <v>694</v>
      </c>
      <c r="P435" s="4">
        <v>7014979</v>
      </c>
      <c r="Q435">
        <v>12</v>
      </c>
      <c r="R435" s="7">
        <v>1.62</v>
      </c>
      <c r="S435" s="8">
        <f>Table1[[#This Row],[Discount_%]]/100</f>
        <v>1.6200000000000003E-2</v>
      </c>
      <c r="T435" s="6" t="s">
        <v>747</v>
      </c>
      <c r="U435" t="s">
        <v>989</v>
      </c>
      <c r="V435">
        <v>2024</v>
      </c>
      <c r="W435" t="s">
        <v>996</v>
      </c>
      <c r="X435" t="s">
        <v>999</v>
      </c>
      <c r="Y435" t="s">
        <v>1002</v>
      </c>
      <c r="Z435">
        <v>3</v>
      </c>
      <c r="AA435">
        <v>48</v>
      </c>
      <c r="AB435" s="4">
        <f>Table1[[#This Row],[Total_Price]]*(1-Table1[[#This Row],[Discount 2]])</f>
        <v>21195192.814199999</v>
      </c>
      <c r="AC435" s="4" t="str" cm="1">
        <f t="array" ref="AC435">_xlfn.IFS(Table1[[#This Row],[Revenue]]&gt;=30000000,"High Value",Table1[[#This Row],[Revenue]]&gt;=10000000,"Moderate Value",TRUE,"Low Value")</f>
        <v>Moderate Value</v>
      </c>
      <c r="AD435" t="str">
        <f>IF(Table1[[#This Row],[Discount 2]]&gt;=5%, "YES", "NO")</f>
        <v>NO</v>
      </c>
      <c r="AE435" t="str" cm="1">
        <f t="array" ref="AE435">_xlfn.IFS(Table1[[#This Row],[Revenue]]&gt;=30000000,"High Spender",Table1[[#This Row],[Revenue]]&gt;=10000000,"Moderate Spender",TRUE,"Low Spender")</f>
        <v>Moderate Spender</v>
      </c>
      <c r="AF435" s="4" t="str" cm="1">
        <f t="array" ref="AF435">_xlfn.IFS(Table1[[#This Row],[Land_Size_SQM]]&gt;=730,"LARGE",Table1[[#This Row],[Land_Size_SQM]]&gt;=465,"MEDIUM",TRUE,"SMALL")</f>
        <v>LARGE</v>
      </c>
    </row>
    <row r="436" spans="1:32" x14ac:dyDescent="0.3">
      <c r="A436" t="s">
        <v>460</v>
      </c>
      <c r="B436" t="s">
        <v>560</v>
      </c>
      <c r="C436" t="s">
        <v>626</v>
      </c>
      <c r="D436">
        <v>32</v>
      </c>
      <c r="E436" t="s">
        <v>629</v>
      </c>
      <c r="F436">
        <v>388</v>
      </c>
      <c r="G436" s="4">
        <v>2440</v>
      </c>
      <c r="H436" s="4">
        <v>946720</v>
      </c>
      <c r="I436" t="s">
        <v>650</v>
      </c>
      <c r="J436" t="s">
        <v>670</v>
      </c>
      <c r="K436" t="s">
        <v>640</v>
      </c>
      <c r="L436" t="s">
        <v>682</v>
      </c>
      <c r="M436" t="s">
        <v>687</v>
      </c>
      <c r="N436" t="s">
        <v>689</v>
      </c>
      <c r="O436" t="s">
        <v>694</v>
      </c>
      <c r="P436" s="4">
        <v>210285</v>
      </c>
      <c r="Q436">
        <v>3</v>
      </c>
      <c r="R436" s="7">
        <v>0.3</v>
      </c>
      <c r="S436" s="8">
        <f>Table1[[#This Row],[Discount_%]]/100</f>
        <v>3.0000000000000001E-3</v>
      </c>
      <c r="T436" s="6" t="s">
        <v>758</v>
      </c>
      <c r="U436" t="s">
        <v>981</v>
      </c>
      <c r="V436">
        <v>2024</v>
      </c>
      <c r="W436" t="s">
        <v>993</v>
      </c>
      <c r="X436" t="s">
        <v>999</v>
      </c>
      <c r="Y436" t="s">
        <v>1000</v>
      </c>
      <c r="Z436">
        <v>3</v>
      </c>
      <c r="AA436">
        <v>12</v>
      </c>
      <c r="AB436" s="4">
        <f>Table1[[#This Row],[Total_Price]]*(1-Table1[[#This Row],[Discount 2]])</f>
        <v>943879.84</v>
      </c>
      <c r="AC436" s="4" t="str" cm="1">
        <f t="array" ref="AC436">_xlfn.IFS(Table1[[#This Row],[Revenue]]&gt;=30000000,"High Value",Table1[[#This Row],[Revenue]]&gt;=10000000,"Moderate Value",TRUE,"Low Value")</f>
        <v>Low Value</v>
      </c>
      <c r="AD436" t="str">
        <f>IF(Table1[[#This Row],[Discount 2]]&gt;=5%, "YES", "NO")</f>
        <v>NO</v>
      </c>
      <c r="AE436" t="str" cm="1">
        <f t="array" ref="AE436">_xlfn.IFS(Table1[[#This Row],[Revenue]]&gt;=30000000,"High Spender",Table1[[#This Row],[Revenue]]&gt;=10000000,"Moderate Spender",TRUE,"Low Spender")</f>
        <v>Low Spender</v>
      </c>
      <c r="AF436" s="4" t="str" cm="1">
        <f t="array" ref="AF436">_xlfn.IFS(Table1[[#This Row],[Land_Size_SQM]]&gt;=730,"LARGE",Table1[[#This Row],[Land_Size_SQM]]&gt;=465,"MEDIUM",TRUE,"SMALL")</f>
        <v>SMALL</v>
      </c>
    </row>
    <row r="437" spans="1:32" x14ac:dyDescent="0.3">
      <c r="A437" t="s">
        <v>461</v>
      </c>
      <c r="B437" t="s">
        <v>560</v>
      </c>
      <c r="C437" t="s">
        <v>627</v>
      </c>
      <c r="D437">
        <v>21</v>
      </c>
      <c r="E437" t="s">
        <v>629</v>
      </c>
      <c r="F437">
        <v>547</v>
      </c>
      <c r="G437" s="4">
        <v>38340</v>
      </c>
      <c r="H437" s="4">
        <v>20971980</v>
      </c>
      <c r="I437" t="s">
        <v>651</v>
      </c>
      <c r="J437" t="s">
        <v>669</v>
      </c>
      <c r="K437" t="s">
        <v>638</v>
      </c>
      <c r="L437" t="s">
        <v>680</v>
      </c>
      <c r="M437" t="s">
        <v>684</v>
      </c>
      <c r="N437" t="s">
        <v>689</v>
      </c>
      <c r="O437" t="s">
        <v>693</v>
      </c>
      <c r="P437" s="4">
        <v>20971980</v>
      </c>
      <c r="Q437">
        <v>0</v>
      </c>
      <c r="R437" s="7">
        <v>1.79</v>
      </c>
      <c r="S437" s="8">
        <f>Table1[[#This Row],[Discount_%]]/100</f>
        <v>1.7899999999999999E-2</v>
      </c>
      <c r="T437" s="6" t="s">
        <v>945</v>
      </c>
      <c r="U437" t="s">
        <v>988</v>
      </c>
      <c r="V437">
        <v>2024</v>
      </c>
      <c r="W437" t="s">
        <v>994</v>
      </c>
      <c r="X437" t="s">
        <v>999</v>
      </c>
      <c r="Y437" t="s">
        <v>1002</v>
      </c>
      <c r="Z437">
        <v>4</v>
      </c>
      <c r="AA437">
        <v>16</v>
      </c>
      <c r="AB437" s="4">
        <f>Table1[[#This Row],[Total_Price]]*(1-Table1[[#This Row],[Discount 2]])</f>
        <v>20596581.557999998</v>
      </c>
      <c r="AC437" s="4" t="str" cm="1">
        <f t="array" ref="AC437">_xlfn.IFS(Table1[[#This Row],[Revenue]]&gt;=30000000,"High Value",Table1[[#This Row],[Revenue]]&gt;=10000000,"Moderate Value",TRUE,"Low Value")</f>
        <v>Moderate Value</v>
      </c>
      <c r="AD437" t="str">
        <f>IF(Table1[[#This Row],[Discount 2]]&gt;=5%, "YES", "NO")</f>
        <v>NO</v>
      </c>
      <c r="AE437" t="str" cm="1">
        <f t="array" ref="AE437">_xlfn.IFS(Table1[[#This Row],[Revenue]]&gt;=30000000,"High Spender",Table1[[#This Row],[Revenue]]&gt;=10000000,"Moderate Spender",TRUE,"Low Spender")</f>
        <v>Moderate Spender</v>
      </c>
      <c r="AF437" s="4" t="str" cm="1">
        <f t="array" ref="AF437">_xlfn.IFS(Table1[[#This Row],[Land_Size_SQM]]&gt;=730,"LARGE",Table1[[#This Row],[Land_Size_SQM]]&gt;=465,"MEDIUM",TRUE,"SMALL")</f>
        <v>MEDIUM</v>
      </c>
    </row>
    <row r="438" spans="1:32" x14ac:dyDescent="0.3">
      <c r="A438" t="s">
        <v>462</v>
      </c>
      <c r="B438" t="s">
        <v>592</v>
      </c>
      <c r="C438" t="s">
        <v>626</v>
      </c>
      <c r="D438">
        <v>64</v>
      </c>
      <c r="E438" t="s">
        <v>630</v>
      </c>
      <c r="F438">
        <v>739</v>
      </c>
      <c r="G438" s="4">
        <v>42842</v>
      </c>
      <c r="H438" s="4">
        <v>31660238</v>
      </c>
      <c r="I438" t="s">
        <v>657</v>
      </c>
      <c r="J438" t="s">
        <v>671</v>
      </c>
      <c r="K438" t="s">
        <v>638</v>
      </c>
      <c r="L438" t="s">
        <v>681</v>
      </c>
      <c r="M438" t="s">
        <v>686</v>
      </c>
      <c r="N438" t="s">
        <v>691</v>
      </c>
      <c r="O438" t="s">
        <v>694</v>
      </c>
      <c r="P438" s="4">
        <v>7457506</v>
      </c>
      <c r="Q438">
        <v>3</v>
      </c>
      <c r="R438" s="7">
        <v>8.83</v>
      </c>
      <c r="S438" s="8">
        <f>Table1[[#This Row],[Discount_%]]/100</f>
        <v>8.8300000000000003E-2</v>
      </c>
      <c r="T438" s="6" t="s">
        <v>712</v>
      </c>
      <c r="U438" t="s">
        <v>987</v>
      </c>
      <c r="V438">
        <v>2024</v>
      </c>
      <c r="W438" t="s">
        <v>996</v>
      </c>
      <c r="X438" t="s">
        <v>999</v>
      </c>
      <c r="Y438" t="s">
        <v>1001</v>
      </c>
      <c r="Z438">
        <v>5</v>
      </c>
      <c r="AA438">
        <v>13</v>
      </c>
      <c r="AB438" s="4">
        <f>Table1[[#This Row],[Total_Price]]*(1-Table1[[#This Row],[Discount 2]])</f>
        <v>28864638.9846</v>
      </c>
      <c r="AC438" s="4" t="str" cm="1">
        <f t="array" ref="AC438">_xlfn.IFS(Table1[[#This Row],[Revenue]]&gt;=30000000,"High Value",Table1[[#This Row],[Revenue]]&gt;=10000000,"Moderate Value",TRUE,"Low Value")</f>
        <v>Moderate Value</v>
      </c>
      <c r="AD438" t="str">
        <f>IF(Table1[[#This Row],[Discount 2]]&gt;=5%, "YES", "NO")</f>
        <v>YES</v>
      </c>
      <c r="AE438" t="str" cm="1">
        <f t="array" ref="AE438">_xlfn.IFS(Table1[[#This Row],[Revenue]]&gt;=30000000,"High Spender",Table1[[#This Row],[Revenue]]&gt;=10000000,"Moderate Spender",TRUE,"Low Spender")</f>
        <v>Moderate Spender</v>
      </c>
      <c r="AF438" s="4" t="str" cm="1">
        <f t="array" ref="AF438">_xlfn.IFS(Table1[[#This Row],[Land_Size_SQM]]&gt;=730,"LARGE",Table1[[#This Row],[Land_Size_SQM]]&gt;=465,"MEDIUM",TRUE,"SMALL")</f>
        <v>LARGE</v>
      </c>
    </row>
    <row r="439" spans="1:32" x14ac:dyDescent="0.3">
      <c r="A439" t="s">
        <v>463</v>
      </c>
      <c r="B439" t="s">
        <v>567</v>
      </c>
      <c r="C439" t="s">
        <v>626</v>
      </c>
      <c r="D439">
        <v>33</v>
      </c>
      <c r="E439" t="s">
        <v>629</v>
      </c>
      <c r="F439">
        <v>535</v>
      </c>
      <c r="G439" s="4">
        <v>18198</v>
      </c>
      <c r="H439" s="4">
        <v>9735930</v>
      </c>
      <c r="I439" t="s">
        <v>637</v>
      </c>
      <c r="J439" t="s">
        <v>672</v>
      </c>
      <c r="K439" t="s">
        <v>638</v>
      </c>
      <c r="L439" t="s">
        <v>680</v>
      </c>
      <c r="M439" t="s">
        <v>684</v>
      </c>
      <c r="N439" t="s">
        <v>692</v>
      </c>
      <c r="O439" t="s">
        <v>693</v>
      </c>
      <c r="P439" s="4">
        <v>9735930</v>
      </c>
      <c r="Q439">
        <v>0</v>
      </c>
      <c r="R439" s="7">
        <v>6.29</v>
      </c>
      <c r="S439" s="8">
        <f>Table1[[#This Row],[Discount_%]]/100</f>
        <v>6.2899999999999998E-2</v>
      </c>
      <c r="T439" s="6" t="s">
        <v>798</v>
      </c>
      <c r="U439" t="s">
        <v>992</v>
      </c>
      <c r="V439">
        <v>2024</v>
      </c>
      <c r="W439" t="s">
        <v>993</v>
      </c>
      <c r="X439" t="s">
        <v>999</v>
      </c>
      <c r="Y439" t="s">
        <v>1001</v>
      </c>
      <c r="Z439">
        <v>4</v>
      </c>
      <c r="AA439">
        <v>49</v>
      </c>
      <c r="AB439" s="4">
        <f>Table1[[#This Row],[Total_Price]]*(1-Table1[[#This Row],[Discount 2]])</f>
        <v>9123540.0030000005</v>
      </c>
      <c r="AC439" s="4" t="str" cm="1">
        <f t="array" ref="AC439">_xlfn.IFS(Table1[[#This Row],[Revenue]]&gt;=30000000,"High Value",Table1[[#This Row],[Revenue]]&gt;=10000000,"Moderate Value",TRUE,"Low Value")</f>
        <v>Low Value</v>
      </c>
      <c r="AD439" t="str">
        <f>IF(Table1[[#This Row],[Discount 2]]&gt;=5%, "YES", "NO")</f>
        <v>YES</v>
      </c>
      <c r="AE439" t="str" cm="1">
        <f t="array" ref="AE439">_xlfn.IFS(Table1[[#This Row],[Revenue]]&gt;=30000000,"High Spender",Table1[[#This Row],[Revenue]]&gt;=10000000,"Moderate Spender",TRUE,"Low Spender")</f>
        <v>Low Spender</v>
      </c>
      <c r="AF439" s="4" t="str" cm="1">
        <f t="array" ref="AF439">_xlfn.IFS(Table1[[#This Row],[Land_Size_SQM]]&gt;=730,"LARGE",Table1[[#This Row],[Land_Size_SQM]]&gt;=465,"MEDIUM",TRUE,"SMALL")</f>
        <v>MEDIUM</v>
      </c>
    </row>
    <row r="440" spans="1:32" x14ac:dyDescent="0.3">
      <c r="A440" t="s">
        <v>464</v>
      </c>
      <c r="B440" t="s">
        <v>555</v>
      </c>
      <c r="C440" t="s">
        <v>626</v>
      </c>
      <c r="D440">
        <v>37</v>
      </c>
      <c r="E440" t="s">
        <v>629</v>
      </c>
      <c r="F440">
        <v>710</v>
      </c>
      <c r="G440" s="4">
        <v>36006</v>
      </c>
      <c r="H440" s="4">
        <v>25564260</v>
      </c>
      <c r="I440" t="s">
        <v>644</v>
      </c>
      <c r="J440" t="s">
        <v>668</v>
      </c>
      <c r="K440" t="s">
        <v>651</v>
      </c>
      <c r="L440" t="s">
        <v>681</v>
      </c>
      <c r="M440" t="s">
        <v>686</v>
      </c>
      <c r="N440" t="s">
        <v>689</v>
      </c>
      <c r="O440" t="s">
        <v>694</v>
      </c>
      <c r="P440" s="4">
        <v>7581003</v>
      </c>
      <c r="Q440">
        <v>6</v>
      </c>
      <c r="R440" s="7">
        <v>3.74</v>
      </c>
      <c r="S440" s="8">
        <f>Table1[[#This Row],[Discount_%]]/100</f>
        <v>3.7400000000000003E-2</v>
      </c>
      <c r="T440" s="6" t="s">
        <v>966</v>
      </c>
      <c r="U440" t="s">
        <v>984</v>
      </c>
      <c r="V440">
        <v>2024</v>
      </c>
      <c r="W440" t="s">
        <v>996</v>
      </c>
      <c r="X440" t="s">
        <v>999</v>
      </c>
      <c r="Y440" t="s">
        <v>1000</v>
      </c>
      <c r="Z440">
        <v>4</v>
      </c>
      <c r="AA440">
        <v>16</v>
      </c>
      <c r="AB440" s="4">
        <f>Table1[[#This Row],[Total_Price]]*(1-Table1[[#This Row],[Discount 2]])</f>
        <v>24608156.675999999</v>
      </c>
      <c r="AC440" s="4" t="str" cm="1">
        <f t="array" ref="AC440">_xlfn.IFS(Table1[[#This Row],[Revenue]]&gt;=30000000,"High Value",Table1[[#This Row],[Revenue]]&gt;=10000000,"Moderate Value",TRUE,"Low Value")</f>
        <v>Moderate Value</v>
      </c>
      <c r="AD440" t="str">
        <f>IF(Table1[[#This Row],[Discount 2]]&gt;=5%, "YES", "NO")</f>
        <v>NO</v>
      </c>
      <c r="AE440" t="str" cm="1">
        <f t="array" ref="AE440">_xlfn.IFS(Table1[[#This Row],[Revenue]]&gt;=30000000,"High Spender",Table1[[#This Row],[Revenue]]&gt;=10000000,"Moderate Spender",TRUE,"Low Spender")</f>
        <v>Moderate Spender</v>
      </c>
      <c r="AF440" s="4" t="str" cm="1">
        <f t="array" ref="AF440">_xlfn.IFS(Table1[[#This Row],[Land_Size_SQM]]&gt;=730,"LARGE",Table1[[#This Row],[Land_Size_SQM]]&gt;=465,"MEDIUM",TRUE,"SMALL")</f>
        <v>MEDIUM</v>
      </c>
    </row>
    <row r="441" spans="1:32" x14ac:dyDescent="0.3">
      <c r="A441" t="s">
        <v>465</v>
      </c>
      <c r="B441" t="s">
        <v>623</v>
      </c>
      <c r="C441" t="s">
        <v>627</v>
      </c>
      <c r="D441">
        <v>28</v>
      </c>
      <c r="E441" t="s">
        <v>628</v>
      </c>
      <c r="F441">
        <v>635</v>
      </c>
      <c r="G441" s="4">
        <v>26712</v>
      </c>
      <c r="H441" s="4">
        <v>16962120</v>
      </c>
      <c r="I441" t="s">
        <v>650</v>
      </c>
      <c r="J441" t="s">
        <v>670</v>
      </c>
      <c r="K441" t="s">
        <v>677</v>
      </c>
      <c r="L441" t="s">
        <v>681</v>
      </c>
      <c r="M441" t="s">
        <v>684</v>
      </c>
      <c r="N441" t="s">
        <v>692</v>
      </c>
      <c r="O441" t="s">
        <v>693</v>
      </c>
      <c r="P441" s="4">
        <v>16962120</v>
      </c>
      <c r="Q441">
        <v>0</v>
      </c>
      <c r="R441" s="7">
        <v>9.35</v>
      </c>
      <c r="S441" s="8">
        <f>Table1[[#This Row],[Discount_%]]/100</f>
        <v>9.35E-2</v>
      </c>
      <c r="T441" s="6" t="s">
        <v>740</v>
      </c>
      <c r="U441" t="s">
        <v>991</v>
      </c>
      <c r="V441">
        <v>2024</v>
      </c>
      <c r="W441" t="s">
        <v>994</v>
      </c>
      <c r="X441" t="s">
        <v>999</v>
      </c>
      <c r="Y441" t="s">
        <v>1001</v>
      </c>
      <c r="Z441">
        <v>1</v>
      </c>
      <c r="AA441">
        <v>30</v>
      </c>
      <c r="AB441" s="4">
        <f>Table1[[#This Row],[Total_Price]]*(1-Table1[[#This Row],[Discount 2]])</f>
        <v>15376161.779999999</v>
      </c>
      <c r="AC441" s="4" t="str" cm="1">
        <f t="array" ref="AC441">_xlfn.IFS(Table1[[#This Row],[Revenue]]&gt;=30000000,"High Value",Table1[[#This Row],[Revenue]]&gt;=10000000,"Moderate Value",TRUE,"Low Value")</f>
        <v>Moderate Value</v>
      </c>
      <c r="AD441" t="str">
        <f>IF(Table1[[#This Row],[Discount 2]]&gt;=5%, "YES", "NO")</f>
        <v>YES</v>
      </c>
      <c r="AE441" t="str" cm="1">
        <f t="array" ref="AE441">_xlfn.IFS(Table1[[#This Row],[Revenue]]&gt;=30000000,"High Spender",Table1[[#This Row],[Revenue]]&gt;=10000000,"Moderate Spender",TRUE,"Low Spender")</f>
        <v>Moderate Spender</v>
      </c>
      <c r="AF441" s="4" t="str" cm="1">
        <f t="array" ref="AF441">_xlfn.IFS(Table1[[#This Row],[Land_Size_SQM]]&gt;=730,"LARGE",Table1[[#This Row],[Land_Size_SQM]]&gt;=465,"MEDIUM",TRUE,"SMALL")</f>
        <v>MEDIUM</v>
      </c>
    </row>
    <row r="442" spans="1:32" x14ac:dyDescent="0.3">
      <c r="A442" t="s">
        <v>466</v>
      </c>
      <c r="B442" t="s">
        <v>549</v>
      </c>
      <c r="C442" t="s">
        <v>627</v>
      </c>
      <c r="D442">
        <v>31</v>
      </c>
      <c r="E442" t="s">
        <v>630</v>
      </c>
      <c r="F442">
        <v>636</v>
      </c>
      <c r="G442" s="4">
        <v>31566</v>
      </c>
      <c r="H442" s="4">
        <v>20075976</v>
      </c>
      <c r="I442" t="s">
        <v>665</v>
      </c>
      <c r="J442" t="s">
        <v>672</v>
      </c>
      <c r="K442" t="s">
        <v>651</v>
      </c>
      <c r="L442" t="s">
        <v>680</v>
      </c>
      <c r="M442" t="s">
        <v>687</v>
      </c>
      <c r="N442" t="s">
        <v>689</v>
      </c>
      <c r="O442" t="s">
        <v>694</v>
      </c>
      <c r="P442" s="4">
        <v>6478233</v>
      </c>
      <c r="Q442">
        <v>24</v>
      </c>
      <c r="R442" s="7">
        <v>8.0500000000000007</v>
      </c>
      <c r="S442" s="8">
        <f>Table1[[#This Row],[Discount_%]]/100</f>
        <v>8.0500000000000002E-2</v>
      </c>
      <c r="T442" s="6" t="s">
        <v>826</v>
      </c>
      <c r="U442" t="s">
        <v>982</v>
      </c>
      <c r="V442">
        <v>2024</v>
      </c>
      <c r="W442" t="s">
        <v>994</v>
      </c>
      <c r="X442" t="s">
        <v>999</v>
      </c>
      <c r="Y442" t="s">
        <v>1002</v>
      </c>
      <c r="Z442">
        <v>5</v>
      </c>
      <c r="AA442">
        <v>33</v>
      </c>
      <c r="AB442" s="4">
        <f>Table1[[#This Row],[Total_Price]]*(1-Table1[[#This Row],[Discount 2]])</f>
        <v>18459859.932</v>
      </c>
      <c r="AC442" s="4" t="str" cm="1">
        <f t="array" ref="AC442">_xlfn.IFS(Table1[[#This Row],[Revenue]]&gt;=30000000,"High Value",Table1[[#This Row],[Revenue]]&gt;=10000000,"Moderate Value",TRUE,"Low Value")</f>
        <v>Moderate Value</v>
      </c>
      <c r="AD442" t="str">
        <f>IF(Table1[[#This Row],[Discount 2]]&gt;=5%, "YES", "NO")</f>
        <v>YES</v>
      </c>
      <c r="AE442" t="str" cm="1">
        <f t="array" ref="AE442">_xlfn.IFS(Table1[[#This Row],[Revenue]]&gt;=30000000,"High Spender",Table1[[#This Row],[Revenue]]&gt;=10000000,"Moderate Spender",TRUE,"Low Spender")</f>
        <v>Moderate Spender</v>
      </c>
      <c r="AF442" s="4" t="str" cm="1">
        <f t="array" ref="AF442">_xlfn.IFS(Table1[[#This Row],[Land_Size_SQM]]&gt;=730,"LARGE",Table1[[#This Row],[Land_Size_SQM]]&gt;=465,"MEDIUM",TRUE,"SMALL")</f>
        <v>MEDIUM</v>
      </c>
    </row>
    <row r="443" spans="1:32" x14ac:dyDescent="0.3">
      <c r="A443" t="s">
        <v>467</v>
      </c>
      <c r="B443" t="s">
        <v>588</v>
      </c>
      <c r="C443" t="s">
        <v>627</v>
      </c>
      <c r="D443">
        <v>41</v>
      </c>
      <c r="E443" t="s">
        <v>628</v>
      </c>
      <c r="F443">
        <v>483</v>
      </c>
      <c r="G443" s="4">
        <v>16925</v>
      </c>
      <c r="H443" s="4">
        <v>8174775</v>
      </c>
      <c r="I443" t="s">
        <v>655</v>
      </c>
      <c r="J443" t="s">
        <v>672</v>
      </c>
      <c r="K443" t="s">
        <v>676</v>
      </c>
      <c r="L443" t="s">
        <v>682</v>
      </c>
      <c r="M443" t="s">
        <v>687</v>
      </c>
      <c r="N443" t="s">
        <v>690</v>
      </c>
      <c r="O443" t="s">
        <v>693</v>
      </c>
      <c r="P443" s="4">
        <v>8174775</v>
      </c>
      <c r="Q443">
        <v>0</v>
      </c>
      <c r="R443" s="7">
        <v>1.19</v>
      </c>
      <c r="S443" s="8">
        <f>Table1[[#This Row],[Discount_%]]/100</f>
        <v>1.1899999999999999E-2</v>
      </c>
      <c r="T443" s="6" t="s">
        <v>768</v>
      </c>
      <c r="U443" t="s">
        <v>991</v>
      </c>
      <c r="V443">
        <v>2024</v>
      </c>
      <c r="W443" t="s">
        <v>994</v>
      </c>
      <c r="X443" t="s">
        <v>997</v>
      </c>
      <c r="Y443" t="s">
        <v>1001</v>
      </c>
      <c r="Z443">
        <v>3</v>
      </c>
      <c r="AA443">
        <v>13</v>
      </c>
      <c r="AB443" s="4">
        <f>Table1[[#This Row],[Total_Price]]*(1-Table1[[#This Row],[Discount 2]])</f>
        <v>8077495.1775000002</v>
      </c>
      <c r="AC443" s="4" t="str" cm="1">
        <f t="array" ref="AC443">_xlfn.IFS(Table1[[#This Row],[Revenue]]&gt;=30000000,"High Value",Table1[[#This Row],[Revenue]]&gt;=10000000,"Moderate Value",TRUE,"Low Value")</f>
        <v>Low Value</v>
      </c>
      <c r="AD443" t="str">
        <f>IF(Table1[[#This Row],[Discount 2]]&gt;=5%, "YES", "NO")</f>
        <v>NO</v>
      </c>
      <c r="AE443" t="str" cm="1">
        <f t="array" ref="AE443">_xlfn.IFS(Table1[[#This Row],[Revenue]]&gt;=30000000,"High Spender",Table1[[#This Row],[Revenue]]&gt;=10000000,"Moderate Spender",TRUE,"Low Spender")</f>
        <v>Low Spender</v>
      </c>
      <c r="AF443" s="4" t="str" cm="1">
        <f t="array" ref="AF443">_xlfn.IFS(Table1[[#This Row],[Land_Size_SQM]]&gt;=730,"LARGE",Table1[[#This Row],[Land_Size_SQM]]&gt;=465,"MEDIUM",TRUE,"SMALL")</f>
        <v>MEDIUM</v>
      </c>
    </row>
    <row r="444" spans="1:32" x14ac:dyDescent="0.3">
      <c r="A444" t="s">
        <v>468</v>
      </c>
      <c r="B444" t="s">
        <v>617</v>
      </c>
      <c r="C444" t="s">
        <v>627</v>
      </c>
      <c r="D444">
        <v>50</v>
      </c>
      <c r="E444" t="s">
        <v>629</v>
      </c>
      <c r="F444">
        <v>970</v>
      </c>
      <c r="G444" s="4">
        <v>48935</v>
      </c>
      <c r="H444" s="4">
        <v>47466950</v>
      </c>
      <c r="I444" t="s">
        <v>644</v>
      </c>
      <c r="J444" t="s">
        <v>668</v>
      </c>
      <c r="K444" t="s">
        <v>638</v>
      </c>
      <c r="L444" t="s">
        <v>682</v>
      </c>
      <c r="M444" t="s">
        <v>683</v>
      </c>
      <c r="N444" t="s">
        <v>691</v>
      </c>
      <c r="O444" t="s">
        <v>694</v>
      </c>
      <c r="P444" s="4">
        <v>20459339</v>
      </c>
      <c r="Q444">
        <v>3</v>
      </c>
      <c r="R444" s="7">
        <v>2.82</v>
      </c>
      <c r="S444" s="8">
        <f>Table1[[#This Row],[Discount_%]]/100</f>
        <v>2.8199999999999999E-2</v>
      </c>
      <c r="T444" s="6" t="s">
        <v>858</v>
      </c>
      <c r="U444" t="s">
        <v>982</v>
      </c>
      <c r="V444">
        <v>2024</v>
      </c>
      <c r="W444" t="s">
        <v>996</v>
      </c>
      <c r="X444" t="s">
        <v>999</v>
      </c>
      <c r="Y444" t="s">
        <v>1001</v>
      </c>
      <c r="Z444">
        <v>2</v>
      </c>
      <c r="AA444">
        <v>31</v>
      </c>
      <c r="AB444" s="4">
        <f>Table1[[#This Row],[Total_Price]]*(1-Table1[[#This Row],[Discount 2]])</f>
        <v>46128382.009999998</v>
      </c>
      <c r="AC444" s="4" t="str" cm="1">
        <f t="array" ref="AC444">_xlfn.IFS(Table1[[#This Row],[Revenue]]&gt;=30000000,"High Value",Table1[[#This Row],[Revenue]]&gt;=10000000,"Moderate Value",TRUE,"Low Value")</f>
        <v>High Value</v>
      </c>
      <c r="AD444" t="str">
        <f>IF(Table1[[#This Row],[Discount 2]]&gt;=5%, "YES", "NO")</f>
        <v>NO</v>
      </c>
      <c r="AE444" t="str" cm="1">
        <f t="array" ref="AE444">_xlfn.IFS(Table1[[#This Row],[Revenue]]&gt;=30000000,"High Spender",Table1[[#This Row],[Revenue]]&gt;=10000000,"Moderate Spender",TRUE,"Low Spender")</f>
        <v>High Spender</v>
      </c>
      <c r="AF444" s="4" t="str" cm="1">
        <f t="array" ref="AF444">_xlfn.IFS(Table1[[#This Row],[Land_Size_SQM]]&gt;=730,"LARGE",Table1[[#This Row],[Land_Size_SQM]]&gt;=465,"MEDIUM",TRUE,"SMALL")</f>
        <v>LARGE</v>
      </c>
    </row>
    <row r="445" spans="1:32" x14ac:dyDescent="0.3">
      <c r="A445" t="s">
        <v>469</v>
      </c>
      <c r="B445" t="s">
        <v>617</v>
      </c>
      <c r="C445" t="s">
        <v>627</v>
      </c>
      <c r="D445">
        <v>48</v>
      </c>
      <c r="E445" t="s">
        <v>630</v>
      </c>
      <c r="F445">
        <v>765</v>
      </c>
      <c r="G445" s="4">
        <v>32719</v>
      </c>
      <c r="H445" s="4">
        <v>25030035</v>
      </c>
      <c r="I445" t="s">
        <v>656</v>
      </c>
      <c r="J445" t="s">
        <v>669</v>
      </c>
      <c r="K445" t="s">
        <v>674</v>
      </c>
      <c r="L445" t="s">
        <v>682</v>
      </c>
      <c r="M445" t="s">
        <v>685</v>
      </c>
      <c r="N445" t="s">
        <v>690</v>
      </c>
      <c r="O445" t="s">
        <v>694</v>
      </c>
      <c r="P445" s="4">
        <v>10952504</v>
      </c>
      <c r="Q445">
        <v>12</v>
      </c>
      <c r="R445" s="7">
        <v>3.13</v>
      </c>
      <c r="S445" s="8">
        <f>Table1[[#This Row],[Discount_%]]/100</f>
        <v>3.1300000000000001E-2</v>
      </c>
      <c r="T445" s="6" t="s">
        <v>967</v>
      </c>
      <c r="U445" t="s">
        <v>990</v>
      </c>
      <c r="V445">
        <v>2024</v>
      </c>
      <c r="W445" t="s">
        <v>996</v>
      </c>
      <c r="X445" t="s">
        <v>997</v>
      </c>
      <c r="Y445" t="s">
        <v>1000</v>
      </c>
      <c r="Z445">
        <v>3</v>
      </c>
      <c r="AA445">
        <v>48</v>
      </c>
      <c r="AB445" s="4">
        <f>Table1[[#This Row],[Total_Price]]*(1-Table1[[#This Row],[Discount 2]])</f>
        <v>24246594.9045</v>
      </c>
      <c r="AC445" s="4" t="str" cm="1">
        <f t="array" ref="AC445">_xlfn.IFS(Table1[[#This Row],[Revenue]]&gt;=30000000,"High Value",Table1[[#This Row],[Revenue]]&gt;=10000000,"Moderate Value",TRUE,"Low Value")</f>
        <v>Moderate Value</v>
      </c>
      <c r="AD445" t="str">
        <f>IF(Table1[[#This Row],[Discount 2]]&gt;=5%, "YES", "NO")</f>
        <v>NO</v>
      </c>
      <c r="AE445" t="str" cm="1">
        <f t="array" ref="AE445">_xlfn.IFS(Table1[[#This Row],[Revenue]]&gt;=30000000,"High Spender",Table1[[#This Row],[Revenue]]&gt;=10000000,"Moderate Spender",TRUE,"Low Spender")</f>
        <v>Moderate Spender</v>
      </c>
      <c r="AF445" s="4" t="str" cm="1">
        <f t="array" ref="AF445">_xlfn.IFS(Table1[[#This Row],[Land_Size_SQM]]&gt;=730,"LARGE",Table1[[#This Row],[Land_Size_SQM]]&gt;=465,"MEDIUM",TRUE,"SMALL")</f>
        <v>LARGE</v>
      </c>
    </row>
    <row r="446" spans="1:32" x14ac:dyDescent="0.3">
      <c r="A446" t="s">
        <v>470</v>
      </c>
      <c r="B446" t="s">
        <v>539</v>
      </c>
      <c r="C446" t="s">
        <v>626</v>
      </c>
      <c r="D446">
        <v>57</v>
      </c>
      <c r="E446" t="s">
        <v>628</v>
      </c>
      <c r="F446">
        <v>547</v>
      </c>
      <c r="G446" s="4">
        <v>16777</v>
      </c>
      <c r="H446" s="4">
        <v>9177019</v>
      </c>
      <c r="I446" t="s">
        <v>661</v>
      </c>
      <c r="J446" t="s">
        <v>673</v>
      </c>
      <c r="K446" t="s">
        <v>651</v>
      </c>
      <c r="L446" t="s">
        <v>682</v>
      </c>
      <c r="M446" t="s">
        <v>685</v>
      </c>
      <c r="N446" t="s">
        <v>688</v>
      </c>
      <c r="O446" t="s">
        <v>694</v>
      </c>
      <c r="P446" s="4">
        <v>3723381</v>
      </c>
      <c r="Q446">
        <v>24</v>
      </c>
      <c r="R446" s="7">
        <v>4.03</v>
      </c>
      <c r="S446" s="8">
        <f>Table1[[#This Row],[Discount_%]]/100</f>
        <v>4.0300000000000002E-2</v>
      </c>
      <c r="T446" s="6" t="s">
        <v>836</v>
      </c>
      <c r="U446" t="s">
        <v>984</v>
      </c>
      <c r="V446">
        <v>2024</v>
      </c>
      <c r="W446" t="s">
        <v>996</v>
      </c>
      <c r="X446" t="s">
        <v>998</v>
      </c>
      <c r="Y446" t="s">
        <v>1001</v>
      </c>
      <c r="Z446">
        <v>5</v>
      </c>
      <c r="AA446">
        <v>39</v>
      </c>
      <c r="AB446" s="4">
        <f>Table1[[#This Row],[Total_Price]]*(1-Table1[[#This Row],[Discount 2]])</f>
        <v>8807185.1342999991</v>
      </c>
      <c r="AC446" s="4" t="str" cm="1">
        <f t="array" ref="AC446">_xlfn.IFS(Table1[[#This Row],[Revenue]]&gt;=30000000,"High Value",Table1[[#This Row],[Revenue]]&gt;=10000000,"Moderate Value",TRUE,"Low Value")</f>
        <v>Low Value</v>
      </c>
      <c r="AD446" t="str">
        <f>IF(Table1[[#This Row],[Discount 2]]&gt;=5%, "YES", "NO")</f>
        <v>NO</v>
      </c>
      <c r="AE446" t="str" cm="1">
        <f t="array" ref="AE446">_xlfn.IFS(Table1[[#This Row],[Revenue]]&gt;=30000000,"High Spender",Table1[[#This Row],[Revenue]]&gt;=10000000,"Moderate Spender",TRUE,"Low Spender")</f>
        <v>Low Spender</v>
      </c>
      <c r="AF446" s="4" t="str" cm="1">
        <f t="array" ref="AF446">_xlfn.IFS(Table1[[#This Row],[Land_Size_SQM]]&gt;=730,"LARGE",Table1[[#This Row],[Land_Size_SQM]]&gt;=465,"MEDIUM",TRUE,"SMALL")</f>
        <v>MEDIUM</v>
      </c>
    </row>
    <row r="447" spans="1:32" x14ac:dyDescent="0.3">
      <c r="A447" t="s">
        <v>471</v>
      </c>
      <c r="B447" t="s">
        <v>598</v>
      </c>
      <c r="C447" t="s">
        <v>626</v>
      </c>
      <c r="D447">
        <v>60</v>
      </c>
      <c r="E447" t="s">
        <v>630</v>
      </c>
      <c r="F447">
        <v>590</v>
      </c>
      <c r="G447" s="4">
        <v>15382</v>
      </c>
      <c r="H447" s="4">
        <v>9075380</v>
      </c>
      <c r="I447" t="s">
        <v>652</v>
      </c>
      <c r="J447" t="s">
        <v>672</v>
      </c>
      <c r="K447" t="s">
        <v>640</v>
      </c>
      <c r="L447" t="s">
        <v>680</v>
      </c>
      <c r="M447" t="s">
        <v>683</v>
      </c>
      <c r="N447" t="s">
        <v>689</v>
      </c>
      <c r="O447" t="s">
        <v>694</v>
      </c>
      <c r="P447" s="4">
        <v>3270288</v>
      </c>
      <c r="Q447">
        <v>3</v>
      </c>
      <c r="R447" s="7">
        <v>1.88</v>
      </c>
      <c r="S447" s="8">
        <f>Table1[[#This Row],[Discount_%]]/100</f>
        <v>1.8799999999999997E-2</v>
      </c>
      <c r="T447" s="6" t="s">
        <v>910</v>
      </c>
      <c r="U447" t="s">
        <v>981</v>
      </c>
      <c r="V447">
        <v>2024</v>
      </c>
      <c r="W447" t="s">
        <v>996</v>
      </c>
      <c r="X447" t="s">
        <v>999</v>
      </c>
      <c r="Y447" t="s">
        <v>1001</v>
      </c>
      <c r="Z447">
        <v>5</v>
      </c>
      <c r="AA447">
        <v>32</v>
      </c>
      <c r="AB447" s="4">
        <f>Table1[[#This Row],[Total_Price]]*(1-Table1[[#This Row],[Discount 2]])</f>
        <v>8904762.8559999987</v>
      </c>
      <c r="AC447" s="4" t="str" cm="1">
        <f t="array" ref="AC447">_xlfn.IFS(Table1[[#This Row],[Revenue]]&gt;=30000000,"High Value",Table1[[#This Row],[Revenue]]&gt;=10000000,"Moderate Value",TRUE,"Low Value")</f>
        <v>Low Value</v>
      </c>
      <c r="AD447" t="str">
        <f>IF(Table1[[#This Row],[Discount 2]]&gt;=5%, "YES", "NO")</f>
        <v>NO</v>
      </c>
      <c r="AE447" t="str" cm="1">
        <f t="array" ref="AE447">_xlfn.IFS(Table1[[#This Row],[Revenue]]&gt;=30000000,"High Spender",Table1[[#This Row],[Revenue]]&gt;=10000000,"Moderate Spender",TRUE,"Low Spender")</f>
        <v>Low Spender</v>
      </c>
      <c r="AF447" s="4" t="str" cm="1">
        <f t="array" ref="AF447">_xlfn.IFS(Table1[[#This Row],[Land_Size_SQM]]&gt;=730,"LARGE",Table1[[#This Row],[Land_Size_SQM]]&gt;=465,"MEDIUM",TRUE,"SMALL")</f>
        <v>MEDIUM</v>
      </c>
    </row>
    <row r="448" spans="1:32" x14ac:dyDescent="0.3">
      <c r="A448" t="s">
        <v>472</v>
      </c>
      <c r="B448" t="s">
        <v>605</v>
      </c>
      <c r="C448" t="s">
        <v>626</v>
      </c>
      <c r="D448">
        <v>53</v>
      </c>
      <c r="E448" t="s">
        <v>628</v>
      </c>
      <c r="F448">
        <v>271</v>
      </c>
      <c r="G448" s="4">
        <v>27289</v>
      </c>
      <c r="H448" s="4">
        <v>7395319</v>
      </c>
      <c r="I448" t="s">
        <v>641</v>
      </c>
      <c r="J448" t="s">
        <v>673</v>
      </c>
      <c r="K448" t="s">
        <v>679</v>
      </c>
      <c r="L448" t="s">
        <v>680</v>
      </c>
      <c r="M448" t="s">
        <v>687</v>
      </c>
      <c r="N448" t="s">
        <v>691</v>
      </c>
      <c r="O448" t="s">
        <v>694</v>
      </c>
      <c r="P448" s="4">
        <v>1996084</v>
      </c>
      <c r="Q448">
        <v>6</v>
      </c>
      <c r="R448" s="7">
        <v>6.6</v>
      </c>
      <c r="S448" s="8">
        <f>Table1[[#This Row],[Discount_%]]/100</f>
        <v>6.6000000000000003E-2</v>
      </c>
      <c r="T448" s="6" t="s">
        <v>871</v>
      </c>
      <c r="U448" t="s">
        <v>981</v>
      </c>
      <c r="V448">
        <v>2024</v>
      </c>
      <c r="W448" t="s">
        <v>995</v>
      </c>
      <c r="X448" t="s">
        <v>999</v>
      </c>
      <c r="Y448" t="s">
        <v>1000</v>
      </c>
      <c r="Z448">
        <v>2</v>
      </c>
      <c r="AA448">
        <v>35</v>
      </c>
      <c r="AB448" s="4">
        <f>Table1[[#This Row],[Total_Price]]*(1-Table1[[#This Row],[Discount 2]])</f>
        <v>6907227.9459999995</v>
      </c>
      <c r="AC448" s="4" t="str" cm="1">
        <f t="array" ref="AC448">_xlfn.IFS(Table1[[#This Row],[Revenue]]&gt;=30000000,"High Value",Table1[[#This Row],[Revenue]]&gt;=10000000,"Moderate Value",TRUE,"Low Value")</f>
        <v>Low Value</v>
      </c>
      <c r="AD448" t="str">
        <f>IF(Table1[[#This Row],[Discount 2]]&gt;=5%, "YES", "NO")</f>
        <v>YES</v>
      </c>
      <c r="AE448" t="str" cm="1">
        <f t="array" ref="AE448">_xlfn.IFS(Table1[[#This Row],[Revenue]]&gt;=30000000,"High Spender",Table1[[#This Row],[Revenue]]&gt;=10000000,"Moderate Spender",TRUE,"Low Spender")</f>
        <v>Low Spender</v>
      </c>
      <c r="AF448" s="4" t="str" cm="1">
        <f t="array" ref="AF448">_xlfn.IFS(Table1[[#This Row],[Land_Size_SQM]]&gt;=730,"LARGE",Table1[[#This Row],[Land_Size_SQM]]&gt;=465,"MEDIUM",TRUE,"SMALL")</f>
        <v>SMALL</v>
      </c>
    </row>
    <row r="449" spans="1:32" x14ac:dyDescent="0.3">
      <c r="A449" t="s">
        <v>473</v>
      </c>
      <c r="B449" t="s">
        <v>552</v>
      </c>
      <c r="C449" t="s">
        <v>627</v>
      </c>
      <c r="D449">
        <v>58</v>
      </c>
      <c r="E449" t="s">
        <v>629</v>
      </c>
      <c r="F449">
        <v>598</v>
      </c>
      <c r="G449" s="4">
        <v>15531</v>
      </c>
      <c r="H449" s="4">
        <v>9287538</v>
      </c>
      <c r="I449" t="s">
        <v>666</v>
      </c>
      <c r="J449" t="s">
        <v>670</v>
      </c>
      <c r="K449" t="s">
        <v>676</v>
      </c>
      <c r="L449" t="s">
        <v>681</v>
      </c>
      <c r="M449" t="s">
        <v>686</v>
      </c>
      <c r="N449" t="s">
        <v>688</v>
      </c>
      <c r="O449" t="s">
        <v>693</v>
      </c>
      <c r="P449" s="4">
        <v>9287538</v>
      </c>
      <c r="Q449">
        <v>0</v>
      </c>
      <c r="R449" s="7">
        <v>8.6999999999999993</v>
      </c>
      <c r="S449" s="8">
        <f>Table1[[#This Row],[Discount_%]]/100</f>
        <v>8.6999999999999994E-2</v>
      </c>
      <c r="T449" s="6" t="s">
        <v>754</v>
      </c>
      <c r="U449" t="s">
        <v>982</v>
      </c>
      <c r="V449">
        <v>2024</v>
      </c>
      <c r="W449" t="s">
        <v>995</v>
      </c>
      <c r="X449" t="s">
        <v>998</v>
      </c>
      <c r="Y449" t="s">
        <v>1000</v>
      </c>
      <c r="Z449">
        <v>1</v>
      </c>
      <c r="AA449">
        <v>10</v>
      </c>
      <c r="AB449" s="4">
        <f>Table1[[#This Row],[Total_Price]]*(1-Table1[[#This Row],[Discount 2]])</f>
        <v>8479522.1940000001</v>
      </c>
      <c r="AC449" s="4" t="str" cm="1">
        <f t="array" ref="AC449">_xlfn.IFS(Table1[[#This Row],[Revenue]]&gt;=30000000,"High Value",Table1[[#This Row],[Revenue]]&gt;=10000000,"Moderate Value",TRUE,"Low Value")</f>
        <v>Low Value</v>
      </c>
      <c r="AD449" t="str">
        <f>IF(Table1[[#This Row],[Discount 2]]&gt;=5%, "YES", "NO")</f>
        <v>YES</v>
      </c>
      <c r="AE449" t="str" cm="1">
        <f t="array" ref="AE449">_xlfn.IFS(Table1[[#This Row],[Revenue]]&gt;=30000000,"High Spender",Table1[[#This Row],[Revenue]]&gt;=10000000,"Moderate Spender",TRUE,"Low Spender")</f>
        <v>Low Spender</v>
      </c>
      <c r="AF449" s="4" t="str" cm="1">
        <f t="array" ref="AF449">_xlfn.IFS(Table1[[#This Row],[Land_Size_SQM]]&gt;=730,"LARGE",Table1[[#This Row],[Land_Size_SQM]]&gt;=465,"MEDIUM",TRUE,"SMALL")</f>
        <v>MEDIUM</v>
      </c>
    </row>
    <row r="450" spans="1:32" x14ac:dyDescent="0.3">
      <c r="A450" t="s">
        <v>474</v>
      </c>
      <c r="B450" t="s">
        <v>551</v>
      </c>
      <c r="C450" t="s">
        <v>626</v>
      </c>
      <c r="D450">
        <v>64</v>
      </c>
      <c r="E450" t="s">
        <v>629</v>
      </c>
      <c r="F450">
        <v>819</v>
      </c>
      <c r="G450" s="4">
        <v>18176</v>
      </c>
      <c r="H450" s="4">
        <v>14886144</v>
      </c>
      <c r="I450" t="s">
        <v>663</v>
      </c>
      <c r="J450" t="s">
        <v>670</v>
      </c>
      <c r="K450" t="s">
        <v>640</v>
      </c>
      <c r="L450" t="s">
        <v>681</v>
      </c>
      <c r="M450" t="s">
        <v>684</v>
      </c>
      <c r="N450" t="s">
        <v>692</v>
      </c>
      <c r="O450" t="s">
        <v>694</v>
      </c>
      <c r="P450" s="4">
        <v>5032430</v>
      </c>
      <c r="Q450">
        <v>24</v>
      </c>
      <c r="R450" s="7">
        <v>5.76</v>
      </c>
      <c r="S450" s="8">
        <f>Table1[[#This Row],[Discount_%]]/100</f>
        <v>5.7599999999999998E-2</v>
      </c>
      <c r="T450" s="6" t="s">
        <v>918</v>
      </c>
      <c r="U450" t="s">
        <v>981</v>
      </c>
      <c r="V450">
        <v>2024</v>
      </c>
      <c r="W450" t="s">
        <v>996</v>
      </c>
      <c r="X450" t="s">
        <v>998</v>
      </c>
      <c r="Y450" t="s">
        <v>1000</v>
      </c>
      <c r="Z450">
        <v>2</v>
      </c>
      <c r="AA450">
        <v>40</v>
      </c>
      <c r="AB450" s="4">
        <f>Table1[[#This Row],[Total_Price]]*(1-Table1[[#This Row],[Discount 2]])</f>
        <v>14028702.105599999</v>
      </c>
      <c r="AC450" s="4" t="str" cm="1">
        <f t="array" ref="AC450">_xlfn.IFS(Table1[[#This Row],[Revenue]]&gt;=30000000,"High Value",Table1[[#This Row],[Revenue]]&gt;=10000000,"Moderate Value",TRUE,"Low Value")</f>
        <v>Moderate Value</v>
      </c>
      <c r="AD450" t="str">
        <f>IF(Table1[[#This Row],[Discount 2]]&gt;=5%, "YES", "NO")</f>
        <v>YES</v>
      </c>
      <c r="AE450" t="str" cm="1">
        <f t="array" ref="AE450">_xlfn.IFS(Table1[[#This Row],[Revenue]]&gt;=30000000,"High Spender",Table1[[#This Row],[Revenue]]&gt;=10000000,"Moderate Spender",TRUE,"Low Spender")</f>
        <v>Moderate Spender</v>
      </c>
      <c r="AF450" s="4" t="str" cm="1">
        <f t="array" ref="AF450">_xlfn.IFS(Table1[[#This Row],[Land_Size_SQM]]&gt;=730,"LARGE",Table1[[#This Row],[Land_Size_SQM]]&gt;=465,"MEDIUM",TRUE,"SMALL")</f>
        <v>LARGE</v>
      </c>
    </row>
    <row r="451" spans="1:32" x14ac:dyDescent="0.3">
      <c r="A451" t="s">
        <v>475</v>
      </c>
      <c r="B451" t="s">
        <v>538</v>
      </c>
      <c r="C451" t="s">
        <v>627</v>
      </c>
      <c r="D451">
        <v>30</v>
      </c>
      <c r="E451" t="s">
        <v>630</v>
      </c>
      <c r="F451">
        <v>593</v>
      </c>
      <c r="G451" s="4">
        <v>45193</v>
      </c>
      <c r="H451" s="4">
        <v>26799449</v>
      </c>
      <c r="I451" t="s">
        <v>633</v>
      </c>
      <c r="J451" t="s">
        <v>668</v>
      </c>
      <c r="K451" t="s">
        <v>678</v>
      </c>
      <c r="L451" t="s">
        <v>682</v>
      </c>
      <c r="M451" t="s">
        <v>686</v>
      </c>
      <c r="N451" t="s">
        <v>690</v>
      </c>
      <c r="O451" t="s">
        <v>693</v>
      </c>
      <c r="P451" s="4">
        <v>26799449</v>
      </c>
      <c r="Q451">
        <v>0</v>
      </c>
      <c r="R451" s="7">
        <v>6.99</v>
      </c>
      <c r="S451" s="8">
        <f>Table1[[#This Row],[Discount_%]]/100</f>
        <v>6.9900000000000004E-2</v>
      </c>
      <c r="T451" s="6" t="s">
        <v>813</v>
      </c>
      <c r="U451" t="s">
        <v>981</v>
      </c>
      <c r="V451">
        <v>2024</v>
      </c>
      <c r="W451" t="s">
        <v>993</v>
      </c>
      <c r="X451" t="s">
        <v>997</v>
      </c>
      <c r="Y451" t="s">
        <v>1001</v>
      </c>
      <c r="Z451">
        <v>2</v>
      </c>
      <c r="AA451">
        <v>32</v>
      </c>
      <c r="AB451" s="4">
        <f>Table1[[#This Row],[Total_Price]]*(1-Table1[[#This Row],[Discount 2]])</f>
        <v>24926167.514900003</v>
      </c>
      <c r="AC451" s="4" t="str" cm="1">
        <f t="array" ref="AC451">_xlfn.IFS(Table1[[#This Row],[Revenue]]&gt;=30000000,"High Value",Table1[[#This Row],[Revenue]]&gt;=10000000,"Moderate Value",TRUE,"Low Value")</f>
        <v>Moderate Value</v>
      </c>
      <c r="AD451" t="str">
        <f>IF(Table1[[#This Row],[Discount 2]]&gt;=5%, "YES", "NO")</f>
        <v>YES</v>
      </c>
      <c r="AE451" t="str" cm="1">
        <f t="array" ref="AE451">_xlfn.IFS(Table1[[#This Row],[Revenue]]&gt;=30000000,"High Spender",Table1[[#This Row],[Revenue]]&gt;=10000000,"Moderate Spender",TRUE,"Low Spender")</f>
        <v>Moderate Spender</v>
      </c>
      <c r="AF451" s="4" t="str" cm="1">
        <f t="array" ref="AF451">_xlfn.IFS(Table1[[#This Row],[Land_Size_SQM]]&gt;=730,"LARGE",Table1[[#This Row],[Land_Size_SQM]]&gt;=465,"MEDIUM",TRUE,"SMALL")</f>
        <v>MEDIUM</v>
      </c>
    </row>
    <row r="452" spans="1:32" x14ac:dyDescent="0.3">
      <c r="A452" t="s">
        <v>476</v>
      </c>
      <c r="B452" t="s">
        <v>618</v>
      </c>
      <c r="C452" t="s">
        <v>626</v>
      </c>
      <c r="D452">
        <v>30</v>
      </c>
      <c r="E452" t="s">
        <v>630</v>
      </c>
      <c r="F452">
        <v>324</v>
      </c>
      <c r="G452" s="4">
        <v>26165</v>
      </c>
      <c r="H452" s="4">
        <v>8477460</v>
      </c>
      <c r="I452" t="s">
        <v>658</v>
      </c>
      <c r="J452" t="s">
        <v>670</v>
      </c>
      <c r="K452" t="s">
        <v>675</v>
      </c>
      <c r="L452" t="s">
        <v>680</v>
      </c>
      <c r="M452" t="s">
        <v>686</v>
      </c>
      <c r="N452" t="s">
        <v>689</v>
      </c>
      <c r="O452" t="s">
        <v>693</v>
      </c>
      <c r="P452" s="4">
        <v>8477460</v>
      </c>
      <c r="Q452">
        <v>0</v>
      </c>
      <c r="R452" s="7">
        <v>7.55</v>
      </c>
      <c r="S452" s="8">
        <f>Table1[[#This Row],[Discount_%]]/100</f>
        <v>7.5499999999999998E-2</v>
      </c>
      <c r="T452" s="6" t="s">
        <v>857</v>
      </c>
      <c r="U452" t="s">
        <v>986</v>
      </c>
      <c r="V452">
        <v>2024</v>
      </c>
      <c r="W452" t="s">
        <v>995</v>
      </c>
      <c r="X452" t="s">
        <v>999</v>
      </c>
      <c r="Y452" t="s">
        <v>1000</v>
      </c>
      <c r="Z452">
        <v>4</v>
      </c>
      <c r="AA452">
        <v>25</v>
      </c>
      <c r="AB452" s="4">
        <f>Table1[[#This Row],[Total_Price]]*(1-Table1[[#This Row],[Discount 2]])</f>
        <v>7837411.7699999996</v>
      </c>
      <c r="AC452" s="4" t="str" cm="1">
        <f t="array" ref="AC452">_xlfn.IFS(Table1[[#This Row],[Revenue]]&gt;=30000000,"High Value",Table1[[#This Row],[Revenue]]&gt;=10000000,"Moderate Value",TRUE,"Low Value")</f>
        <v>Low Value</v>
      </c>
      <c r="AD452" t="str">
        <f>IF(Table1[[#This Row],[Discount 2]]&gt;=5%, "YES", "NO")</f>
        <v>YES</v>
      </c>
      <c r="AE452" t="str" cm="1">
        <f t="array" ref="AE452">_xlfn.IFS(Table1[[#This Row],[Revenue]]&gt;=30000000,"High Spender",Table1[[#This Row],[Revenue]]&gt;=10000000,"Moderate Spender",TRUE,"Low Spender")</f>
        <v>Low Spender</v>
      </c>
      <c r="AF452" s="4" t="str" cm="1">
        <f t="array" ref="AF452">_xlfn.IFS(Table1[[#This Row],[Land_Size_SQM]]&gt;=730,"LARGE",Table1[[#This Row],[Land_Size_SQM]]&gt;=465,"MEDIUM",TRUE,"SMALL")</f>
        <v>SMALL</v>
      </c>
    </row>
    <row r="453" spans="1:32" x14ac:dyDescent="0.3">
      <c r="A453" t="s">
        <v>477</v>
      </c>
      <c r="B453" t="s">
        <v>579</v>
      </c>
      <c r="C453" t="s">
        <v>626</v>
      </c>
      <c r="D453">
        <v>51</v>
      </c>
      <c r="E453" t="s">
        <v>630</v>
      </c>
      <c r="F453">
        <v>399</v>
      </c>
      <c r="G453" s="4">
        <v>27996</v>
      </c>
      <c r="H453" s="4">
        <v>11170404</v>
      </c>
      <c r="I453" t="s">
        <v>636</v>
      </c>
      <c r="J453" t="s">
        <v>671</v>
      </c>
      <c r="K453" t="s">
        <v>640</v>
      </c>
      <c r="L453" t="s">
        <v>680</v>
      </c>
      <c r="M453" t="s">
        <v>685</v>
      </c>
      <c r="N453" t="s">
        <v>692</v>
      </c>
      <c r="O453" t="s">
        <v>693</v>
      </c>
      <c r="P453" s="4">
        <v>11170404</v>
      </c>
      <c r="Q453">
        <v>0</v>
      </c>
      <c r="R453" s="7">
        <v>0.11</v>
      </c>
      <c r="S453" s="8">
        <f>Table1[[#This Row],[Discount_%]]/100</f>
        <v>1.1000000000000001E-3</v>
      </c>
      <c r="T453" s="6" t="s">
        <v>758</v>
      </c>
      <c r="U453" t="s">
        <v>981</v>
      </c>
      <c r="V453">
        <v>2024</v>
      </c>
      <c r="W453" t="s">
        <v>996</v>
      </c>
      <c r="X453" t="s">
        <v>997</v>
      </c>
      <c r="Y453" t="s">
        <v>1002</v>
      </c>
      <c r="Z453">
        <v>2</v>
      </c>
      <c r="AA453">
        <v>31</v>
      </c>
      <c r="AB453" s="4">
        <f>Table1[[#This Row],[Total_Price]]*(1-Table1[[#This Row],[Discount 2]])</f>
        <v>11158116.555600001</v>
      </c>
      <c r="AC453" s="4" t="str" cm="1">
        <f t="array" ref="AC453">_xlfn.IFS(Table1[[#This Row],[Revenue]]&gt;=30000000,"High Value",Table1[[#This Row],[Revenue]]&gt;=10000000,"Moderate Value",TRUE,"Low Value")</f>
        <v>Moderate Value</v>
      </c>
      <c r="AD453" t="str">
        <f>IF(Table1[[#This Row],[Discount 2]]&gt;=5%, "YES", "NO")</f>
        <v>NO</v>
      </c>
      <c r="AE453" t="str" cm="1">
        <f t="array" ref="AE453">_xlfn.IFS(Table1[[#This Row],[Revenue]]&gt;=30000000,"High Spender",Table1[[#This Row],[Revenue]]&gt;=10000000,"Moderate Spender",TRUE,"Low Spender")</f>
        <v>Moderate Spender</v>
      </c>
      <c r="AF453" s="4" t="str" cm="1">
        <f t="array" ref="AF453">_xlfn.IFS(Table1[[#This Row],[Land_Size_SQM]]&gt;=730,"LARGE",Table1[[#This Row],[Land_Size_SQM]]&gt;=465,"MEDIUM",TRUE,"SMALL")</f>
        <v>SMALL</v>
      </c>
    </row>
    <row r="454" spans="1:32" x14ac:dyDescent="0.3">
      <c r="A454" t="s">
        <v>478</v>
      </c>
      <c r="B454" t="s">
        <v>612</v>
      </c>
      <c r="C454" t="s">
        <v>627</v>
      </c>
      <c r="D454">
        <v>24</v>
      </c>
      <c r="E454" t="s">
        <v>629</v>
      </c>
      <c r="F454">
        <v>218</v>
      </c>
      <c r="G454" s="4">
        <v>41779</v>
      </c>
      <c r="H454" s="4">
        <v>9107822</v>
      </c>
      <c r="I454" t="s">
        <v>648</v>
      </c>
      <c r="J454" t="s">
        <v>671</v>
      </c>
      <c r="K454" t="s">
        <v>638</v>
      </c>
      <c r="L454" t="s">
        <v>680</v>
      </c>
      <c r="M454" t="s">
        <v>687</v>
      </c>
      <c r="N454" t="s">
        <v>688</v>
      </c>
      <c r="O454" t="s">
        <v>693</v>
      </c>
      <c r="P454" s="4">
        <v>9107822</v>
      </c>
      <c r="Q454">
        <v>0</v>
      </c>
      <c r="R454" s="7">
        <v>1.77</v>
      </c>
      <c r="S454" s="8">
        <f>Table1[[#This Row],[Discount_%]]/100</f>
        <v>1.77E-2</v>
      </c>
      <c r="T454" s="6" t="s">
        <v>907</v>
      </c>
      <c r="U454" t="s">
        <v>987</v>
      </c>
      <c r="V454">
        <v>2024</v>
      </c>
      <c r="W454" t="s">
        <v>995</v>
      </c>
      <c r="X454" t="s">
        <v>998</v>
      </c>
      <c r="Y454" t="s">
        <v>1000</v>
      </c>
      <c r="Z454">
        <v>2</v>
      </c>
      <c r="AA454">
        <v>46</v>
      </c>
      <c r="AB454" s="4">
        <f>Table1[[#This Row],[Total_Price]]*(1-Table1[[#This Row],[Discount 2]])</f>
        <v>8946613.5505999997</v>
      </c>
      <c r="AC454" s="4" t="str" cm="1">
        <f t="array" ref="AC454">_xlfn.IFS(Table1[[#This Row],[Revenue]]&gt;=30000000,"High Value",Table1[[#This Row],[Revenue]]&gt;=10000000,"Moderate Value",TRUE,"Low Value")</f>
        <v>Low Value</v>
      </c>
      <c r="AD454" t="str">
        <f>IF(Table1[[#This Row],[Discount 2]]&gt;=5%, "YES", "NO")</f>
        <v>NO</v>
      </c>
      <c r="AE454" t="str" cm="1">
        <f t="array" ref="AE454">_xlfn.IFS(Table1[[#This Row],[Revenue]]&gt;=30000000,"High Spender",Table1[[#This Row],[Revenue]]&gt;=10000000,"Moderate Spender",TRUE,"Low Spender")</f>
        <v>Low Spender</v>
      </c>
      <c r="AF454" s="4" t="str" cm="1">
        <f t="array" ref="AF454">_xlfn.IFS(Table1[[#This Row],[Land_Size_SQM]]&gt;=730,"LARGE",Table1[[#This Row],[Land_Size_SQM]]&gt;=465,"MEDIUM",TRUE,"SMALL")</f>
        <v>SMALL</v>
      </c>
    </row>
    <row r="455" spans="1:32" x14ac:dyDescent="0.3">
      <c r="A455" t="s">
        <v>479</v>
      </c>
      <c r="B455" t="s">
        <v>541</v>
      </c>
      <c r="C455" t="s">
        <v>626</v>
      </c>
      <c r="D455">
        <v>48</v>
      </c>
      <c r="E455" t="s">
        <v>628</v>
      </c>
      <c r="F455">
        <v>421</v>
      </c>
      <c r="G455" s="4">
        <v>30970</v>
      </c>
      <c r="H455" s="4">
        <v>13038370</v>
      </c>
      <c r="I455" t="s">
        <v>662</v>
      </c>
      <c r="J455" t="s">
        <v>673</v>
      </c>
      <c r="K455" t="s">
        <v>675</v>
      </c>
      <c r="L455" t="s">
        <v>682</v>
      </c>
      <c r="M455" t="s">
        <v>685</v>
      </c>
      <c r="N455" t="s">
        <v>689</v>
      </c>
      <c r="O455" t="s">
        <v>693</v>
      </c>
      <c r="P455" s="4">
        <v>13038370</v>
      </c>
      <c r="Q455">
        <v>0</v>
      </c>
      <c r="R455" s="7">
        <v>8.3699999999999992</v>
      </c>
      <c r="S455" s="8">
        <f>Table1[[#This Row],[Discount_%]]/100</f>
        <v>8.3699999999999997E-2</v>
      </c>
      <c r="T455" s="6" t="s">
        <v>932</v>
      </c>
      <c r="U455" t="s">
        <v>986</v>
      </c>
      <c r="V455">
        <v>2024</v>
      </c>
      <c r="W455" t="s">
        <v>995</v>
      </c>
      <c r="X455" t="s">
        <v>999</v>
      </c>
      <c r="Y455" t="s">
        <v>1000</v>
      </c>
      <c r="Z455">
        <v>3</v>
      </c>
      <c r="AA455">
        <v>16</v>
      </c>
      <c r="AB455" s="4">
        <f>Table1[[#This Row],[Total_Price]]*(1-Table1[[#This Row],[Discount 2]])</f>
        <v>11947058.431</v>
      </c>
      <c r="AC455" s="4" t="str" cm="1">
        <f t="array" ref="AC455">_xlfn.IFS(Table1[[#This Row],[Revenue]]&gt;=30000000,"High Value",Table1[[#This Row],[Revenue]]&gt;=10000000,"Moderate Value",TRUE,"Low Value")</f>
        <v>Moderate Value</v>
      </c>
      <c r="AD455" t="str">
        <f>IF(Table1[[#This Row],[Discount 2]]&gt;=5%, "YES", "NO")</f>
        <v>YES</v>
      </c>
      <c r="AE455" t="str" cm="1">
        <f t="array" ref="AE455">_xlfn.IFS(Table1[[#This Row],[Revenue]]&gt;=30000000,"High Spender",Table1[[#This Row],[Revenue]]&gt;=10000000,"Moderate Spender",TRUE,"Low Spender")</f>
        <v>Moderate Spender</v>
      </c>
      <c r="AF455" s="4" t="str" cm="1">
        <f t="array" ref="AF455">_xlfn.IFS(Table1[[#This Row],[Land_Size_SQM]]&gt;=730,"LARGE",Table1[[#This Row],[Land_Size_SQM]]&gt;=465,"MEDIUM",TRUE,"SMALL")</f>
        <v>SMALL</v>
      </c>
    </row>
    <row r="456" spans="1:32" x14ac:dyDescent="0.3">
      <c r="A456" t="s">
        <v>480</v>
      </c>
      <c r="B456" t="s">
        <v>565</v>
      </c>
      <c r="C456" t="s">
        <v>627</v>
      </c>
      <c r="D456">
        <v>62</v>
      </c>
      <c r="E456" t="s">
        <v>628</v>
      </c>
      <c r="F456">
        <v>631</v>
      </c>
      <c r="G456" s="4">
        <v>3831</v>
      </c>
      <c r="H456" s="4">
        <v>2417361</v>
      </c>
      <c r="I456" t="s">
        <v>649</v>
      </c>
      <c r="J456" t="s">
        <v>669</v>
      </c>
      <c r="K456" t="s">
        <v>664</v>
      </c>
      <c r="L456" t="s">
        <v>682</v>
      </c>
      <c r="M456" t="s">
        <v>683</v>
      </c>
      <c r="N456" t="s">
        <v>689</v>
      </c>
      <c r="O456" t="s">
        <v>693</v>
      </c>
      <c r="P456" s="4">
        <v>2417361</v>
      </c>
      <c r="Q456">
        <v>0</v>
      </c>
      <c r="R456" s="7">
        <v>3.37</v>
      </c>
      <c r="S456" s="8">
        <f>Table1[[#This Row],[Discount_%]]/100</f>
        <v>3.3700000000000001E-2</v>
      </c>
      <c r="T456" s="6" t="s">
        <v>859</v>
      </c>
      <c r="U456" t="s">
        <v>990</v>
      </c>
      <c r="V456">
        <v>2024</v>
      </c>
      <c r="W456" t="s">
        <v>995</v>
      </c>
      <c r="X456" t="s">
        <v>997</v>
      </c>
      <c r="Y456" t="s">
        <v>1000</v>
      </c>
      <c r="Z456">
        <v>3</v>
      </c>
      <c r="AA456">
        <v>21</v>
      </c>
      <c r="AB456" s="4">
        <f>Table1[[#This Row],[Total_Price]]*(1-Table1[[#This Row],[Discount 2]])</f>
        <v>2335895.9343000003</v>
      </c>
      <c r="AC456" s="4" t="str" cm="1">
        <f t="array" ref="AC456">_xlfn.IFS(Table1[[#This Row],[Revenue]]&gt;=30000000,"High Value",Table1[[#This Row],[Revenue]]&gt;=10000000,"Moderate Value",TRUE,"Low Value")</f>
        <v>Low Value</v>
      </c>
      <c r="AD456" t="str">
        <f>IF(Table1[[#This Row],[Discount 2]]&gt;=5%, "YES", "NO")</f>
        <v>NO</v>
      </c>
      <c r="AE456" t="str" cm="1">
        <f t="array" ref="AE456">_xlfn.IFS(Table1[[#This Row],[Revenue]]&gt;=30000000,"High Spender",Table1[[#This Row],[Revenue]]&gt;=10000000,"Moderate Spender",TRUE,"Low Spender")</f>
        <v>Low Spender</v>
      </c>
      <c r="AF456" s="4" t="str" cm="1">
        <f t="array" ref="AF456">_xlfn.IFS(Table1[[#This Row],[Land_Size_SQM]]&gt;=730,"LARGE",Table1[[#This Row],[Land_Size_SQM]]&gt;=465,"MEDIUM",TRUE,"SMALL")</f>
        <v>MEDIUM</v>
      </c>
    </row>
    <row r="457" spans="1:32" x14ac:dyDescent="0.3">
      <c r="A457" t="s">
        <v>481</v>
      </c>
      <c r="B457" t="s">
        <v>581</v>
      </c>
      <c r="C457" t="s">
        <v>627</v>
      </c>
      <c r="D457">
        <v>45</v>
      </c>
      <c r="E457" t="s">
        <v>629</v>
      </c>
      <c r="F457">
        <v>839</v>
      </c>
      <c r="G457" s="4">
        <v>15573</v>
      </c>
      <c r="H457" s="4">
        <v>13065747</v>
      </c>
      <c r="I457" t="s">
        <v>655</v>
      </c>
      <c r="J457" t="s">
        <v>672</v>
      </c>
      <c r="K457" t="s">
        <v>679</v>
      </c>
      <c r="L457" t="s">
        <v>681</v>
      </c>
      <c r="M457" t="s">
        <v>685</v>
      </c>
      <c r="N457" t="s">
        <v>691</v>
      </c>
      <c r="O457" t="s">
        <v>694</v>
      </c>
      <c r="P457" s="4">
        <v>3086668</v>
      </c>
      <c r="Q457">
        <v>24</v>
      </c>
      <c r="R457" s="7">
        <v>2.14</v>
      </c>
      <c r="S457" s="8">
        <f>Table1[[#This Row],[Discount_%]]/100</f>
        <v>2.1400000000000002E-2</v>
      </c>
      <c r="T457" s="6" t="s">
        <v>892</v>
      </c>
      <c r="U457" t="s">
        <v>991</v>
      </c>
      <c r="V457">
        <v>2024</v>
      </c>
      <c r="W457" t="s">
        <v>996</v>
      </c>
      <c r="X457" t="s">
        <v>998</v>
      </c>
      <c r="Y457" t="s">
        <v>1000</v>
      </c>
      <c r="Z457">
        <v>1</v>
      </c>
      <c r="AA457">
        <v>43</v>
      </c>
      <c r="AB457" s="4">
        <f>Table1[[#This Row],[Total_Price]]*(1-Table1[[#This Row],[Discount 2]])</f>
        <v>12786140.0142</v>
      </c>
      <c r="AC457" s="4" t="str" cm="1">
        <f t="array" ref="AC457">_xlfn.IFS(Table1[[#This Row],[Revenue]]&gt;=30000000,"High Value",Table1[[#This Row],[Revenue]]&gt;=10000000,"Moderate Value",TRUE,"Low Value")</f>
        <v>Moderate Value</v>
      </c>
      <c r="AD457" t="str">
        <f>IF(Table1[[#This Row],[Discount 2]]&gt;=5%, "YES", "NO")</f>
        <v>NO</v>
      </c>
      <c r="AE457" t="str" cm="1">
        <f t="array" ref="AE457">_xlfn.IFS(Table1[[#This Row],[Revenue]]&gt;=30000000,"High Spender",Table1[[#This Row],[Revenue]]&gt;=10000000,"Moderate Spender",TRUE,"Low Spender")</f>
        <v>Moderate Spender</v>
      </c>
      <c r="AF457" s="4" t="str" cm="1">
        <f t="array" ref="AF457">_xlfn.IFS(Table1[[#This Row],[Land_Size_SQM]]&gt;=730,"LARGE",Table1[[#This Row],[Land_Size_SQM]]&gt;=465,"MEDIUM",TRUE,"SMALL")</f>
        <v>LARGE</v>
      </c>
    </row>
    <row r="458" spans="1:32" x14ac:dyDescent="0.3">
      <c r="A458" t="s">
        <v>482</v>
      </c>
      <c r="B458" t="s">
        <v>566</v>
      </c>
      <c r="C458" t="s">
        <v>626</v>
      </c>
      <c r="D458">
        <v>26</v>
      </c>
      <c r="E458" t="s">
        <v>629</v>
      </c>
      <c r="F458">
        <v>577</v>
      </c>
      <c r="G458" s="4">
        <v>4879</v>
      </c>
      <c r="H458" s="4">
        <v>2815183</v>
      </c>
      <c r="I458" t="s">
        <v>636</v>
      </c>
      <c r="J458" t="s">
        <v>671</v>
      </c>
      <c r="K458" t="s">
        <v>674</v>
      </c>
      <c r="L458" t="s">
        <v>682</v>
      </c>
      <c r="M458" t="s">
        <v>686</v>
      </c>
      <c r="N458" t="s">
        <v>688</v>
      </c>
      <c r="O458" t="s">
        <v>693</v>
      </c>
      <c r="P458" s="4">
        <v>2815183</v>
      </c>
      <c r="Q458">
        <v>0</v>
      </c>
      <c r="R458" s="7">
        <v>8.85</v>
      </c>
      <c r="S458" s="8">
        <f>Table1[[#This Row],[Discount_%]]/100</f>
        <v>8.8499999999999995E-2</v>
      </c>
      <c r="T458" s="6" t="s">
        <v>867</v>
      </c>
      <c r="U458" t="s">
        <v>991</v>
      </c>
      <c r="V458">
        <v>2024</v>
      </c>
      <c r="W458" t="s">
        <v>994</v>
      </c>
      <c r="X458" t="s">
        <v>999</v>
      </c>
      <c r="Y458" t="s">
        <v>1001</v>
      </c>
      <c r="Z458">
        <v>3</v>
      </c>
      <c r="AA458">
        <v>41</v>
      </c>
      <c r="AB458" s="4">
        <f>Table1[[#This Row],[Total_Price]]*(1-Table1[[#This Row],[Discount 2]])</f>
        <v>2566039.3045000001</v>
      </c>
      <c r="AC458" s="4" t="str" cm="1">
        <f t="array" ref="AC458">_xlfn.IFS(Table1[[#This Row],[Revenue]]&gt;=30000000,"High Value",Table1[[#This Row],[Revenue]]&gt;=10000000,"Moderate Value",TRUE,"Low Value")</f>
        <v>Low Value</v>
      </c>
      <c r="AD458" t="str">
        <f>IF(Table1[[#This Row],[Discount 2]]&gt;=5%, "YES", "NO")</f>
        <v>YES</v>
      </c>
      <c r="AE458" t="str" cm="1">
        <f t="array" ref="AE458">_xlfn.IFS(Table1[[#This Row],[Revenue]]&gt;=30000000,"High Spender",Table1[[#This Row],[Revenue]]&gt;=10000000,"Moderate Spender",TRUE,"Low Spender")</f>
        <v>Low Spender</v>
      </c>
      <c r="AF458" s="4" t="str" cm="1">
        <f t="array" ref="AF458">_xlfn.IFS(Table1[[#This Row],[Land_Size_SQM]]&gt;=730,"LARGE",Table1[[#This Row],[Land_Size_SQM]]&gt;=465,"MEDIUM",TRUE,"SMALL")</f>
        <v>MEDIUM</v>
      </c>
    </row>
    <row r="459" spans="1:32" x14ac:dyDescent="0.3">
      <c r="A459" t="s">
        <v>483</v>
      </c>
      <c r="B459" t="s">
        <v>545</v>
      </c>
      <c r="C459" t="s">
        <v>627</v>
      </c>
      <c r="D459">
        <v>52</v>
      </c>
      <c r="E459" t="s">
        <v>629</v>
      </c>
      <c r="F459">
        <v>540</v>
      </c>
      <c r="G459" s="4">
        <v>13490</v>
      </c>
      <c r="H459" s="4">
        <v>7284600</v>
      </c>
      <c r="I459" t="s">
        <v>633</v>
      </c>
      <c r="J459" t="s">
        <v>668</v>
      </c>
      <c r="K459" t="s">
        <v>638</v>
      </c>
      <c r="L459" t="s">
        <v>682</v>
      </c>
      <c r="M459" t="s">
        <v>685</v>
      </c>
      <c r="N459" t="s">
        <v>688</v>
      </c>
      <c r="O459" t="s">
        <v>694</v>
      </c>
      <c r="P459" s="4">
        <v>1604463</v>
      </c>
      <c r="Q459">
        <v>24</v>
      </c>
      <c r="R459" s="7">
        <v>0.18</v>
      </c>
      <c r="S459" s="8">
        <f>Table1[[#This Row],[Discount_%]]/100</f>
        <v>1.8E-3</v>
      </c>
      <c r="T459" s="6" t="s">
        <v>906</v>
      </c>
      <c r="U459" t="s">
        <v>985</v>
      </c>
      <c r="V459">
        <v>2024</v>
      </c>
      <c r="W459" t="s">
        <v>993</v>
      </c>
      <c r="X459" t="s">
        <v>997</v>
      </c>
      <c r="Y459" t="s">
        <v>1000</v>
      </c>
      <c r="Z459">
        <v>3</v>
      </c>
      <c r="AA459">
        <v>16</v>
      </c>
      <c r="AB459" s="4">
        <f>Table1[[#This Row],[Total_Price]]*(1-Table1[[#This Row],[Discount 2]])</f>
        <v>7271487.7199999997</v>
      </c>
      <c r="AC459" s="4" t="str" cm="1">
        <f t="array" ref="AC459">_xlfn.IFS(Table1[[#This Row],[Revenue]]&gt;=30000000,"High Value",Table1[[#This Row],[Revenue]]&gt;=10000000,"Moderate Value",TRUE,"Low Value")</f>
        <v>Low Value</v>
      </c>
      <c r="AD459" t="str">
        <f>IF(Table1[[#This Row],[Discount 2]]&gt;=5%, "YES", "NO")</f>
        <v>NO</v>
      </c>
      <c r="AE459" t="str" cm="1">
        <f t="array" ref="AE459">_xlfn.IFS(Table1[[#This Row],[Revenue]]&gt;=30000000,"High Spender",Table1[[#This Row],[Revenue]]&gt;=10000000,"Moderate Spender",TRUE,"Low Spender")</f>
        <v>Low Spender</v>
      </c>
      <c r="AF459" s="4" t="str" cm="1">
        <f t="array" ref="AF459">_xlfn.IFS(Table1[[#This Row],[Land_Size_SQM]]&gt;=730,"LARGE",Table1[[#This Row],[Land_Size_SQM]]&gt;=465,"MEDIUM",TRUE,"SMALL")</f>
        <v>MEDIUM</v>
      </c>
    </row>
    <row r="460" spans="1:32" x14ac:dyDescent="0.3">
      <c r="A460" t="s">
        <v>484</v>
      </c>
      <c r="B460" t="s">
        <v>609</v>
      </c>
      <c r="C460" t="s">
        <v>627</v>
      </c>
      <c r="D460">
        <v>44</v>
      </c>
      <c r="E460" t="s">
        <v>628</v>
      </c>
      <c r="F460">
        <v>834</v>
      </c>
      <c r="G460" s="4">
        <v>7202</v>
      </c>
      <c r="H460" s="4">
        <v>6006468</v>
      </c>
      <c r="I460" t="s">
        <v>633</v>
      </c>
      <c r="J460" t="s">
        <v>668</v>
      </c>
      <c r="K460" t="s">
        <v>679</v>
      </c>
      <c r="L460" t="s">
        <v>682</v>
      </c>
      <c r="M460" t="s">
        <v>685</v>
      </c>
      <c r="N460" t="s">
        <v>688</v>
      </c>
      <c r="O460" t="s">
        <v>693</v>
      </c>
      <c r="P460" s="4">
        <v>6006468</v>
      </c>
      <c r="Q460">
        <v>0</v>
      </c>
      <c r="R460" s="7">
        <v>1.38</v>
      </c>
      <c r="S460" s="8">
        <f>Table1[[#This Row],[Discount_%]]/100</f>
        <v>1.38E-2</v>
      </c>
      <c r="T460" s="6" t="s">
        <v>968</v>
      </c>
      <c r="U460" t="s">
        <v>986</v>
      </c>
      <c r="V460">
        <v>2024</v>
      </c>
      <c r="W460" t="s">
        <v>995</v>
      </c>
      <c r="X460" t="s">
        <v>997</v>
      </c>
      <c r="Y460" t="s">
        <v>1002</v>
      </c>
      <c r="Z460">
        <v>2</v>
      </c>
      <c r="AA460">
        <v>18</v>
      </c>
      <c r="AB460" s="4">
        <f>Table1[[#This Row],[Total_Price]]*(1-Table1[[#This Row],[Discount 2]])</f>
        <v>5923578.7415999994</v>
      </c>
      <c r="AC460" s="4" t="str" cm="1">
        <f t="array" ref="AC460">_xlfn.IFS(Table1[[#This Row],[Revenue]]&gt;=30000000,"High Value",Table1[[#This Row],[Revenue]]&gt;=10000000,"Moderate Value",TRUE,"Low Value")</f>
        <v>Low Value</v>
      </c>
      <c r="AD460" t="str">
        <f>IF(Table1[[#This Row],[Discount 2]]&gt;=5%, "YES", "NO")</f>
        <v>NO</v>
      </c>
      <c r="AE460" t="str" cm="1">
        <f t="array" ref="AE460">_xlfn.IFS(Table1[[#This Row],[Revenue]]&gt;=30000000,"High Spender",Table1[[#This Row],[Revenue]]&gt;=10000000,"Moderate Spender",TRUE,"Low Spender")</f>
        <v>Low Spender</v>
      </c>
      <c r="AF460" s="4" t="str" cm="1">
        <f t="array" ref="AF460">_xlfn.IFS(Table1[[#This Row],[Land_Size_SQM]]&gt;=730,"LARGE",Table1[[#This Row],[Land_Size_SQM]]&gt;=465,"MEDIUM",TRUE,"SMALL")</f>
        <v>LARGE</v>
      </c>
    </row>
    <row r="461" spans="1:32" x14ac:dyDescent="0.3">
      <c r="A461" t="s">
        <v>485</v>
      </c>
      <c r="B461" t="s">
        <v>592</v>
      </c>
      <c r="C461" t="s">
        <v>627</v>
      </c>
      <c r="D461">
        <v>62</v>
      </c>
      <c r="E461" t="s">
        <v>628</v>
      </c>
      <c r="F461">
        <v>733</v>
      </c>
      <c r="G461" s="4">
        <v>29190</v>
      </c>
      <c r="H461" s="4">
        <v>21396270</v>
      </c>
      <c r="I461" t="s">
        <v>636</v>
      </c>
      <c r="J461" t="s">
        <v>671</v>
      </c>
      <c r="K461" t="s">
        <v>664</v>
      </c>
      <c r="L461" t="s">
        <v>682</v>
      </c>
      <c r="M461" t="s">
        <v>683</v>
      </c>
      <c r="N461" t="s">
        <v>692</v>
      </c>
      <c r="O461" t="s">
        <v>694</v>
      </c>
      <c r="P461" s="4">
        <v>5749242</v>
      </c>
      <c r="Q461">
        <v>3</v>
      </c>
      <c r="R461" s="7">
        <v>7.33</v>
      </c>
      <c r="S461" s="8">
        <f>Table1[[#This Row],[Discount_%]]/100</f>
        <v>7.3300000000000004E-2</v>
      </c>
      <c r="T461" s="6" t="s">
        <v>853</v>
      </c>
      <c r="U461" t="s">
        <v>982</v>
      </c>
      <c r="V461">
        <v>2024</v>
      </c>
      <c r="W461" t="s">
        <v>995</v>
      </c>
      <c r="X461" t="s">
        <v>997</v>
      </c>
      <c r="Y461" t="s">
        <v>1002</v>
      </c>
      <c r="Z461">
        <v>2</v>
      </c>
      <c r="AA461">
        <v>29</v>
      </c>
      <c r="AB461" s="4">
        <f>Table1[[#This Row],[Total_Price]]*(1-Table1[[#This Row],[Discount 2]])</f>
        <v>19827923.408999998</v>
      </c>
      <c r="AC461" s="4" t="str" cm="1">
        <f t="array" ref="AC461">_xlfn.IFS(Table1[[#This Row],[Revenue]]&gt;=30000000,"High Value",Table1[[#This Row],[Revenue]]&gt;=10000000,"Moderate Value",TRUE,"Low Value")</f>
        <v>Moderate Value</v>
      </c>
      <c r="AD461" t="str">
        <f>IF(Table1[[#This Row],[Discount 2]]&gt;=5%, "YES", "NO")</f>
        <v>YES</v>
      </c>
      <c r="AE461" t="str" cm="1">
        <f t="array" ref="AE461">_xlfn.IFS(Table1[[#This Row],[Revenue]]&gt;=30000000,"High Spender",Table1[[#This Row],[Revenue]]&gt;=10000000,"Moderate Spender",TRUE,"Low Spender")</f>
        <v>Moderate Spender</v>
      </c>
      <c r="AF461" s="4" t="str" cm="1">
        <f t="array" ref="AF461">_xlfn.IFS(Table1[[#This Row],[Land_Size_SQM]]&gt;=730,"LARGE",Table1[[#This Row],[Land_Size_SQM]]&gt;=465,"MEDIUM",TRUE,"SMALL")</f>
        <v>LARGE</v>
      </c>
    </row>
    <row r="462" spans="1:32" x14ac:dyDescent="0.3">
      <c r="A462" t="s">
        <v>486</v>
      </c>
      <c r="B462" t="s">
        <v>613</v>
      </c>
      <c r="C462" t="s">
        <v>627</v>
      </c>
      <c r="D462">
        <v>31</v>
      </c>
      <c r="E462" t="s">
        <v>629</v>
      </c>
      <c r="F462">
        <v>703</v>
      </c>
      <c r="G462" s="4">
        <v>6586</v>
      </c>
      <c r="H462" s="4">
        <v>4629958</v>
      </c>
      <c r="I462" t="s">
        <v>631</v>
      </c>
      <c r="J462" t="s">
        <v>668</v>
      </c>
      <c r="K462" t="s">
        <v>676</v>
      </c>
      <c r="L462" t="s">
        <v>682</v>
      </c>
      <c r="M462" t="s">
        <v>683</v>
      </c>
      <c r="N462" t="s">
        <v>688</v>
      </c>
      <c r="O462" t="s">
        <v>693</v>
      </c>
      <c r="P462" s="4">
        <v>4629958</v>
      </c>
      <c r="Q462">
        <v>0</v>
      </c>
      <c r="R462" s="7">
        <v>0.52</v>
      </c>
      <c r="S462" s="8">
        <f>Table1[[#This Row],[Discount_%]]/100</f>
        <v>5.1999999999999998E-3</v>
      </c>
      <c r="T462" s="6" t="s">
        <v>958</v>
      </c>
      <c r="U462" t="s">
        <v>987</v>
      </c>
      <c r="V462">
        <v>2024</v>
      </c>
      <c r="W462" t="s">
        <v>993</v>
      </c>
      <c r="X462" t="s">
        <v>998</v>
      </c>
      <c r="Y462" t="s">
        <v>1001</v>
      </c>
      <c r="Z462">
        <v>4</v>
      </c>
      <c r="AA462">
        <v>20</v>
      </c>
      <c r="AB462" s="4">
        <f>Table1[[#This Row],[Total_Price]]*(1-Table1[[#This Row],[Discount 2]])</f>
        <v>4605882.2183999997</v>
      </c>
      <c r="AC462" s="4" t="str" cm="1">
        <f t="array" ref="AC462">_xlfn.IFS(Table1[[#This Row],[Revenue]]&gt;=30000000,"High Value",Table1[[#This Row],[Revenue]]&gt;=10000000,"Moderate Value",TRUE,"Low Value")</f>
        <v>Low Value</v>
      </c>
      <c r="AD462" t="str">
        <f>IF(Table1[[#This Row],[Discount 2]]&gt;=5%, "YES", "NO")</f>
        <v>NO</v>
      </c>
      <c r="AE462" t="str" cm="1">
        <f t="array" ref="AE462">_xlfn.IFS(Table1[[#This Row],[Revenue]]&gt;=30000000,"High Spender",Table1[[#This Row],[Revenue]]&gt;=10000000,"Moderate Spender",TRUE,"Low Spender")</f>
        <v>Low Spender</v>
      </c>
      <c r="AF462" s="4" t="str" cm="1">
        <f t="array" ref="AF462">_xlfn.IFS(Table1[[#This Row],[Land_Size_SQM]]&gt;=730,"LARGE",Table1[[#This Row],[Land_Size_SQM]]&gt;=465,"MEDIUM",TRUE,"SMALL")</f>
        <v>MEDIUM</v>
      </c>
    </row>
    <row r="463" spans="1:32" x14ac:dyDescent="0.3">
      <c r="A463" t="s">
        <v>487</v>
      </c>
      <c r="B463" t="s">
        <v>572</v>
      </c>
      <c r="C463" t="s">
        <v>626</v>
      </c>
      <c r="D463">
        <v>50</v>
      </c>
      <c r="E463" t="s">
        <v>628</v>
      </c>
      <c r="F463">
        <v>634</v>
      </c>
      <c r="G463" s="4">
        <v>13562</v>
      </c>
      <c r="H463" s="4">
        <v>8598308</v>
      </c>
      <c r="I463" t="s">
        <v>654</v>
      </c>
      <c r="J463" t="s">
        <v>669</v>
      </c>
      <c r="K463" t="s">
        <v>679</v>
      </c>
      <c r="L463" t="s">
        <v>681</v>
      </c>
      <c r="M463" t="s">
        <v>684</v>
      </c>
      <c r="N463" t="s">
        <v>691</v>
      </c>
      <c r="O463" t="s">
        <v>693</v>
      </c>
      <c r="P463" s="4">
        <v>8598308</v>
      </c>
      <c r="Q463">
        <v>0</v>
      </c>
      <c r="R463" s="7">
        <v>3.03</v>
      </c>
      <c r="S463" s="8">
        <f>Table1[[#This Row],[Discount_%]]/100</f>
        <v>3.0299999999999997E-2</v>
      </c>
      <c r="T463" s="6" t="s">
        <v>893</v>
      </c>
      <c r="U463" t="s">
        <v>985</v>
      </c>
      <c r="V463">
        <v>2024</v>
      </c>
      <c r="W463" t="s">
        <v>996</v>
      </c>
      <c r="X463" t="s">
        <v>998</v>
      </c>
      <c r="Y463" t="s">
        <v>1002</v>
      </c>
      <c r="Z463">
        <v>4</v>
      </c>
      <c r="AA463">
        <v>33</v>
      </c>
      <c r="AB463" s="4">
        <f>Table1[[#This Row],[Total_Price]]*(1-Table1[[#This Row],[Discount 2]])</f>
        <v>8337779.2675999999</v>
      </c>
      <c r="AC463" s="4" t="str" cm="1">
        <f t="array" ref="AC463">_xlfn.IFS(Table1[[#This Row],[Revenue]]&gt;=30000000,"High Value",Table1[[#This Row],[Revenue]]&gt;=10000000,"Moderate Value",TRUE,"Low Value")</f>
        <v>Low Value</v>
      </c>
      <c r="AD463" t="str">
        <f>IF(Table1[[#This Row],[Discount 2]]&gt;=5%, "YES", "NO")</f>
        <v>NO</v>
      </c>
      <c r="AE463" t="str" cm="1">
        <f t="array" ref="AE463">_xlfn.IFS(Table1[[#This Row],[Revenue]]&gt;=30000000,"High Spender",Table1[[#This Row],[Revenue]]&gt;=10000000,"Moderate Spender",TRUE,"Low Spender")</f>
        <v>Low Spender</v>
      </c>
      <c r="AF463" s="4" t="str" cm="1">
        <f t="array" ref="AF463">_xlfn.IFS(Table1[[#This Row],[Land_Size_SQM]]&gt;=730,"LARGE",Table1[[#This Row],[Land_Size_SQM]]&gt;=465,"MEDIUM",TRUE,"SMALL")</f>
        <v>MEDIUM</v>
      </c>
    </row>
    <row r="464" spans="1:32" x14ac:dyDescent="0.3">
      <c r="A464" t="s">
        <v>488</v>
      </c>
      <c r="B464" t="s">
        <v>566</v>
      </c>
      <c r="C464" t="s">
        <v>627</v>
      </c>
      <c r="D464">
        <v>55</v>
      </c>
      <c r="E464" t="s">
        <v>629</v>
      </c>
      <c r="F464">
        <v>978</v>
      </c>
      <c r="G464" s="4">
        <v>12215</v>
      </c>
      <c r="H464" s="4">
        <v>11946270</v>
      </c>
      <c r="I464" t="s">
        <v>655</v>
      </c>
      <c r="J464" t="s">
        <v>672</v>
      </c>
      <c r="K464" t="s">
        <v>640</v>
      </c>
      <c r="L464" t="s">
        <v>680</v>
      </c>
      <c r="M464" t="s">
        <v>687</v>
      </c>
      <c r="N464" t="s">
        <v>691</v>
      </c>
      <c r="O464" t="s">
        <v>694</v>
      </c>
      <c r="P464" s="4">
        <v>5119918</v>
      </c>
      <c r="Q464">
        <v>3</v>
      </c>
      <c r="R464" s="7">
        <v>4.2699999999999996</v>
      </c>
      <c r="S464" s="8">
        <f>Table1[[#This Row],[Discount_%]]/100</f>
        <v>4.2699999999999995E-2</v>
      </c>
      <c r="T464" s="6" t="s">
        <v>969</v>
      </c>
      <c r="U464" t="s">
        <v>981</v>
      </c>
      <c r="V464">
        <v>2024</v>
      </c>
      <c r="W464" t="s">
        <v>995</v>
      </c>
      <c r="X464" t="s">
        <v>998</v>
      </c>
      <c r="Y464" t="s">
        <v>1002</v>
      </c>
      <c r="Z464">
        <v>3</v>
      </c>
      <c r="AA464">
        <v>25</v>
      </c>
      <c r="AB464" s="4">
        <f>Table1[[#This Row],[Total_Price]]*(1-Table1[[#This Row],[Discount 2]])</f>
        <v>11436164.271</v>
      </c>
      <c r="AC464" s="4" t="str" cm="1">
        <f t="array" ref="AC464">_xlfn.IFS(Table1[[#This Row],[Revenue]]&gt;=30000000,"High Value",Table1[[#This Row],[Revenue]]&gt;=10000000,"Moderate Value",TRUE,"Low Value")</f>
        <v>Moderate Value</v>
      </c>
      <c r="AD464" t="str">
        <f>IF(Table1[[#This Row],[Discount 2]]&gt;=5%, "YES", "NO")</f>
        <v>NO</v>
      </c>
      <c r="AE464" t="str" cm="1">
        <f t="array" ref="AE464">_xlfn.IFS(Table1[[#This Row],[Revenue]]&gt;=30000000,"High Spender",Table1[[#This Row],[Revenue]]&gt;=10000000,"Moderate Spender",TRUE,"Low Spender")</f>
        <v>Moderate Spender</v>
      </c>
      <c r="AF464" s="4" t="str" cm="1">
        <f t="array" ref="AF464">_xlfn.IFS(Table1[[#This Row],[Land_Size_SQM]]&gt;=730,"LARGE",Table1[[#This Row],[Land_Size_SQM]]&gt;=465,"MEDIUM",TRUE,"SMALL")</f>
        <v>LARGE</v>
      </c>
    </row>
    <row r="465" spans="1:32" x14ac:dyDescent="0.3">
      <c r="A465" t="s">
        <v>489</v>
      </c>
      <c r="B465" t="s">
        <v>590</v>
      </c>
      <c r="C465" t="s">
        <v>627</v>
      </c>
      <c r="D465">
        <v>20</v>
      </c>
      <c r="E465" t="s">
        <v>629</v>
      </c>
      <c r="F465">
        <v>273</v>
      </c>
      <c r="G465" s="4">
        <v>23838</v>
      </c>
      <c r="H465" s="4">
        <v>6507774</v>
      </c>
      <c r="I465" t="s">
        <v>665</v>
      </c>
      <c r="J465" t="s">
        <v>672</v>
      </c>
      <c r="K465" t="s">
        <v>678</v>
      </c>
      <c r="L465" t="s">
        <v>682</v>
      </c>
      <c r="M465" t="s">
        <v>687</v>
      </c>
      <c r="N465" t="s">
        <v>691</v>
      </c>
      <c r="O465" t="s">
        <v>693</v>
      </c>
      <c r="P465" s="4">
        <v>6507774</v>
      </c>
      <c r="Q465">
        <v>0</v>
      </c>
      <c r="R465" s="7">
        <v>7.15</v>
      </c>
      <c r="S465" s="8">
        <f>Table1[[#This Row],[Discount_%]]/100</f>
        <v>7.1500000000000008E-2</v>
      </c>
      <c r="T465" s="6" t="s">
        <v>970</v>
      </c>
      <c r="U465" t="s">
        <v>990</v>
      </c>
      <c r="V465">
        <v>2024</v>
      </c>
      <c r="W465" t="s">
        <v>995</v>
      </c>
      <c r="X465" t="s">
        <v>998</v>
      </c>
      <c r="Y465" t="s">
        <v>1002</v>
      </c>
      <c r="Z465">
        <v>3</v>
      </c>
      <c r="AA465">
        <v>25</v>
      </c>
      <c r="AB465" s="4">
        <f>Table1[[#This Row],[Total_Price]]*(1-Table1[[#This Row],[Discount 2]])</f>
        <v>6042468.159</v>
      </c>
      <c r="AC465" s="4" t="str" cm="1">
        <f t="array" ref="AC465">_xlfn.IFS(Table1[[#This Row],[Revenue]]&gt;=30000000,"High Value",Table1[[#This Row],[Revenue]]&gt;=10000000,"Moderate Value",TRUE,"Low Value")</f>
        <v>Low Value</v>
      </c>
      <c r="AD465" t="str">
        <f>IF(Table1[[#This Row],[Discount 2]]&gt;=5%, "YES", "NO")</f>
        <v>YES</v>
      </c>
      <c r="AE465" t="str" cm="1">
        <f t="array" ref="AE465">_xlfn.IFS(Table1[[#This Row],[Revenue]]&gt;=30000000,"High Spender",Table1[[#This Row],[Revenue]]&gt;=10000000,"Moderate Spender",TRUE,"Low Spender")</f>
        <v>Low Spender</v>
      </c>
      <c r="AF465" s="4" t="str" cm="1">
        <f t="array" ref="AF465">_xlfn.IFS(Table1[[#This Row],[Land_Size_SQM]]&gt;=730,"LARGE",Table1[[#This Row],[Land_Size_SQM]]&gt;=465,"MEDIUM",TRUE,"SMALL")</f>
        <v>SMALL</v>
      </c>
    </row>
    <row r="466" spans="1:32" x14ac:dyDescent="0.3">
      <c r="A466" t="s">
        <v>490</v>
      </c>
      <c r="B466" t="s">
        <v>577</v>
      </c>
      <c r="C466" t="s">
        <v>627</v>
      </c>
      <c r="D466">
        <v>32</v>
      </c>
      <c r="E466" t="s">
        <v>630</v>
      </c>
      <c r="F466">
        <v>272</v>
      </c>
      <c r="G466" s="4">
        <v>28790</v>
      </c>
      <c r="H466" s="4">
        <v>7830880</v>
      </c>
      <c r="I466" t="s">
        <v>645</v>
      </c>
      <c r="J466" t="s">
        <v>670</v>
      </c>
      <c r="K466" t="s">
        <v>674</v>
      </c>
      <c r="L466" t="s">
        <v>681</v>
      </c>
      <c r="M466" t="s">
        <v>687</v>
      </c>
      <c r="N466" t="s">
        <v>692</v>
      </c>
      <c r="O466" t="s">
        <v>693</v>
      </c>
      <c r="P466" s="4">
        <v>7830880</v>
      </c>
      <c r="Q466">
        <v>0</v>
      </c>
      <c r="R466" s="7">
        <v>9.92</v>
      </c>
      <c r="S466" s="8">
        <f>Table1[[#This Row],[Discount_%]]/100</f>
        <v>9.9199999999999997E-2</v>
      </c>
      <c r="T466" s="6" t="s">
        <v>907</v>
      </c>
      <c r="U466" t="s">
        <v>987</v>
      </c>
      <c r="V466">
        <v>2024</v>
      </c>
      <c r="W466" t="s">
        <v>995</v>
      </c>
      <c r="X466" t="s">
        <v>997</v>
      </c>
      <c r="Y466" t="s">
        <v>1001</v>
      </c>
      <c r="Z466">
        <v>3</v>
      </c>
      <c r="AA466">
        <v>45</v>
      </c>
      <c r="AB466" s="4">
        <f>Table1[[#This Row],[Total_Price]]*(1-Table1[[#This Row],[Discount 2]])</f>
        <v>7054056.7039999999</v>
      </c>
      <c r="AC466" s="4" t="str" cm="1">
        <f t="array" ref="AC466">_xlfn.IFS(Table1[[#This Row],[Revenue]]&gt;=30000000,"High Value",Table1[[#This Row],[Revenue]]&gt;=10000000,"Moderate Value",TRUE,"Low Value")</f>
        <v>Low Value</v>
      </c>
      <c r="AD466" t="str">
        <f>IF(Table1[[#This Row],[Discount 2]]&gt;=5%, "YES", "NO")</f>
        <v>YES</v>
      </c>
      <c r="AE466" t="str" cm="1">
        <f t="array" ref="AE466">_xlfn.IFS(Table1[[#This Row],[Revenue]]&gt;=30000000,"High Spender",Table1[[#This Row],[Revenue]]&gt;=10000000,"Moderate Spender",TRUE,"Low Spender")</f>
        <v>Low Spender</v>
      </c>
      <c r="AF466" s="4" t="str" cm="1">
        <f t="array" ref="AF466">_xlfn.IFS(Table1[[#This Row],[Land_Size_SQM]]&gt;=730,"LARGE",Table1[[#This Row],[Land_Size_SQM]]&gt;=465,"MEDIUM",TRUE,"SMALL")</f>
        <v>SMALL</v>
      </c>
    </row>
    <row r="467" spans="1:32" x14ac:dyDescent="0.3">
      <c r="A467" t="s">
        <v>491</v>
      </c>
      <c r="B467" t="s">
        <v>606</v>
      </c>
      <c r="C467" t="s">
        <v>626</v>
      </c>
      <c r="D467">
        <v>58</v>
      </c>
      <c r="E467" t="s">
        <v>630</v>
      </c>
      <c r="F467">
        <v>634</v>
      </c>
      <c r="G467" s="4">
        <v>18173</v>
      </c>
      <c r="H467" s="4">
        <v>11521682</v>
      </c>
      <c r="I467" t="s">
        <v>662</v>
      </c>
      <c r="J467" t="s">
        <v>673</v>
      </c>
      <c r="K467" t="s">
        <v>640</v>
      </c>
      <c r="L467" t="s">
        <v>682</v>
      </c>
      <c r="M467" t="s">
        <v>683</v>
      </c>
      <c r="N467" t="s">
        <v>690</v>
      </c>
      <c r="O467" t="s">
        <v>693</v>
      </c>
      <c r="P467" s="4">
        <v>11521682</v>
      </c>
      <c r="Q467">
        <v>0</v>
      </c>
      <c r="R467" s="7">
        <v>4.78</v>
      </c>
      <c r="S467" s="8">
        <f>Table1[[#This Row],[Discount_%]]/100</f>
        <v>4.7800000000000002E-2</v>
      </c>
      <c r="T467" s="6" t="s">
        <v>749</v>
      </c>
      <c r="U467" t="s">
        <v>991</v>
      </c>
      <c r="V467">
        <v>2024</v>
      </c>
      <c r="W467" t="s">
        <v>996</v>
      </c>
      <c r="X467" t="s">
        <v>997</v>
      </c>
      <c r="Y467" t="s">
        <v>1001</v>
      </c>
      <c r="Z467">
        <v>2</v>
      </c>
      <c r="AA467">
        <v>1</v>
      </c>
      <c r="AB467" s="4">
        <f>Table1[[#This Row],[Total_Price]]*(1-Table1[[#This Row],[Discount 2]])</f>
        <v>10970945.600400001</v>
      </c>
      <c r="AC467" s="4" t="str" cm="1">
        <f t="array" ref="AC467">_xlfn.IFS(Table1[[#This Row],[Revenue]]&gt;=30000000,"High Value",Table1[[#This Row],[Revenue]]&gt;=10000000,"Moderate Value",TRUE,"Low Value")</f>
        <v>Moderate Value</v>
      </c>
      <c r="AD467" t="str">
        <f>IF(Table1[[#This Row],[Discount 2]]&gt;=5%, "YES", "NO")</f>
        <v>NO</v>
      </c>
      <c r="AE467" t="str" cm="1">
        <f t="array" ref="AE467">_xlfn.IFS(Table1[[#This Row],[Revenue]]&gt;=30000000,"High Spender",Table1[[#This Row],[Revenue]]&gt;=10000000,"Moderate Spender",TRUE,"Low Spender")</f>
        <v>Moderate Spender</v>
      </c>
      <c r="AF467" s="4" t="str" cm="1">
        <f t="array" ref="AF467">_xlfn.IFS(Table1[[#This Row],[Land_Size_SQM]]&gt;=730,"LARGE",Table1[[#This Row],[Land_Size_SQM]]&gt;=465,"MEDIUM",TRUE,"SMALL")</f>
        <v>MEDIUM</v>
      </c>
    </row>
    <row r="468" spans="1:32" x14ac:dyDescent="0.3">
      <c r="A468" t="s">
        <v>492</v>
      </c>
      <c r="B468" t="s">
        <v>564</v>
      </c>
      <c r="C468" t="s">
        <v>626</v>
      </c>
      <c r="D468">
        <v>36</v>
      </c>
      <c r="E468" t="s">
        <v>629</v>
      </c>
      <c r="F468">
        <v>607</v>
      </c>
      <c r="G468" s="4">
        <v>48272</v>
      </c>
      <c r="H468" s="4">
        <v>29301104</v>
      </c>
      <c r="I468" t="s">
        <v>664</v>
      </c>
      <c r="J468" t="s">
        <v>673</v>
      </c>
      <c r="K468" t="s">
        <v>640</v>
      </c>
      <c r="L468" t="s">
        <v>681</v>
      </c>
      <c r="M468" t="s">
        <v>686</v>
      </c>
      <c r="N468" t="s">
        <v>692</v>
      </c>
      <c r="O468" t="s">
        <v>693</v>
      </c>
      <c r="P468" s="4">
        <v>29301104</v>
      </c>
      <c r="Q468">
        <v>0</v>
      </c>
      <c r="R468" s="7">
        <v>5.19</v>
      </c>
      <c r="S468" s="8">
        <f>Table1[[#This Row],[Discount_%]]/100</f>
        <v>5.1900000000000002E-2</v>
      </c>
      <c r="T468" s="6" t="s">
        <v>967</v>
      </c>
      <c r="U468" t="s">
        <v>990</v>
      </c>
      <c r="V468">
        <v>2024</v>
      </c>
      <c r="W468" t="s">
        <v>995</v>
      </c>
      <c r="X468" t="s">
        <v>997</v>
      </c>
      <c r="Y468" t="s">
        <v>1002</v>
      </c>
      <c r="Z468">
        <v>4</v>
      </c>
      <c r="AA468">
        <v>49</v>
      </c>
      <c r="AB468" s="4">
        <f>Table1[[#This Row],[Total_Price]]*(1-Table1[[#This Row],[Discount 2]])</f>
        <v>27780376.702399999</v>
      </c>
      <c r="AC468" s="4" t="str" cm="1">
        <f t="array" ref="AC468">_xlfn.IFS(Table1[[#This Row],[Revenue]]&gt;=30000000,"High Value",Table1[[#This Row],[Revenue]]&gt;=10000000,"Moderate Value",TRUE,"Low Value")</f>
        <v>Moderate Value</v>
      </c>
      <c r="AD468" t="str">
        <f>IF(Table1[[#This Row],[Discount 2]]&gt;=5%, "YES", "NO")</f>
        <v>YES</v>
      </c>
      <c r="AE468" t="str" cm="1">
        <f t="array" ref="AE468">_xlfn.IFS(Table1[[#This Row],[Revenue]]&gt;=30000000,"High Spender",Table1[[#This Row],[Revenue]]&gt;=10000000,"Moderate Spender",TRUE,"Low Spender")</f>
        <v>Moderate Spender</v>
      </c>
      <c r="AF468" s="4" t="str" cm="1">
        <f t="array" ref="AF468">_xlfn.IFS(Table1[[#This Row],[Land_Size_SQM]]&gt;=730,"LARGE",Table1[[#This Row],[Land_Size_SQM]]&gt;=465,"MEDIUM",TRUE,"SMALL")</f>
        <v>MEDIUM</v>
      </c>
    </row>
    <row r="469" spans="1:32" x14ac:dyDescent="0.3">
      <c r="A469" t="s">
        <v>493</v>
      </c>
      <c r="B469" t="s">
        <v>584</v>
      </c>
      <c r="C469" t="s">
        <v>627</v>
      </c>
      <c r="D469">
        <v>51</v>
      </c>
      <c r="E469" t="s">
        <v>628</v>
      </c>
      <c r="F469">
        <v>851</v>
      </c>
      <c r="G469" s="4">
        <v>39526</v>
      </c>
      <c r="H469" s="4">
        <v>33636626</v>
      </c>
      <c r="I469" t="s">
        <v>631</v>
      </c>
      <c r="J469" t="s">
        <v>668</v>
      </c>
      <c r="K469" t="s">
        <v>676</v>
      </c>
      <c r="L469" t="s">
        <v>680</v>
      </c>
      <c r="M469" t="s">
        <v>685</v>
      </c>
      <c r="N469" t="s">
        <v>691</v>
      </c>
      <c r="O469" t="s">
        <v>694</v>
      </c>
      <c r="P469" s="4">
        <v>9442016</v>
      </c>
      <c r="Q469">
        <v>6</v>
      </c>
      <c r="R469" s="7">
        <v>2.1</v>
      </c>
      <c r="S469" s="8">
        <f>Table1[[#This Row],[Discount_%]]/100</f>
        <v>2.1000000000000001E-2</v>
      </c>
      <c r="T469" s="6" t="s">
        <v>774</v>
      </c>
      <c r="U469" t="s">
        <v>991</v>
      </c>
      <c r="V469">
        <v>2024</v>
      </c>
      <c r="W469" t="s">
        <v>995</v>
      </c>
      <c r="X469" t="s">
        <v>997</v>
      </c>
      <c r="Y469" t="s">
        <v>1002</v>
      </c>
      <c r="Z469">
        <v>4</v>
      </c>
      <c r="AA469">
        <v>11</v>
      </c>
      <c r="AB469" s="4">
        <f>Table1[[#This Row],[Total_Price]]*(1-Table1[[#This Row],[Discount 2]])</f>
        <v>32930256.853999998</v>
      </c>
      <c r="AC469" s="4" t="str" cm="1">
        <f t="array" ref="AC469">_xlfn.IFS(Table1[[#This Row],[Revenue]]&gt;=30000000,"High Value",Table1[[#This Row],[Revenue]]&gt;=10000000,"Moderate Value",TRUE,"Low Value")</f>
        <v>High Value</v>
      </c>
      <c r="AD469" t="str">
        <f>IF(Table1[[#This Row],[Discount 2]]&gt;=5%, "YES", "NO")</f>
        <v>NO</v>
      </c>
      <c r="AE469" t="str" cm="1">
        <f t="array" ref="AE469">_xlfn.IFS(Table1[[#This Row],[Revenue]]&gt;=30000000,"High Spender",Table1[[#This Row],[Revenue]]&gt;=10000000,"Moderate Spender",TRUE,"Low Spender")</f>
        <v>High Spender</v>
      </c>
      <c r="AF469" s="4" t="str" cm="1">
        <f t="array" ref="AF469">_xlfn.IFS(Table1[[#This Row],[Land_Size_SQM]]&gt;=730,"LARGE",Table1[[#This Row],[Land_Size_SQM]]&gt;=465,"MEDIUM",TRUE,"SMALL")</f>
        <v>LARGE</v>
      </c>
    </row>
    <row r="470" spans="1:32" x14ac:dyDescent="0.3">
      <c r="A470" t="s">
        <v>494</v>
      </c>
      <c r="B470" t="s">
        <v>589</v>
      </c>
      <c r="C470" t="s">
        <v>627</v>
      </c>
      <c r="D470">
        <v>31</v>
      </c>
      <c r="E470" t="s">
        <v>628</v>
      </c>
      <c r="F470">
        <v>920</v>
      </c>
      <c r="G470" s="4">
        <v>10803</v>
      </c>
      <c r="H470" s="4">
        <v>9938760</v>
      </c>
      <c r="I470" t="s">
        <v>651</v>
      </c>
      <c r="J470" t="s">
        <v>669</v>
      </c>
      <c r="K470" t="s">
        <v>638</v>
      </c>
      <c r="L470" t="s">
        <v>680</v>
      </c>
      <c r="M470" t="s">
        <v>683</v>
      </c>
      <c r="N470" t="s">
        <v>688</v>
      </c>
      <c r="O470" t="s">
        <v>693</v>
      </c>
      <c r="P470" s="4">
        <v>9938760</v>
      </c>
      <c r="Q470">
        <v>0</v>
      </c>
      <c r="R470" s="7">
        <v>4.8600000000000003</v>
      </c>
      <c r="S470" s="8">
        <f>Table1[[#This Row],[Discount_%]]/100</f>
        <v>4.8600000000000004E-2</v>
      </c>
      <c r="T470" s="6" t="s">
        <v>872</v>
      </c>
      <c r="U470" t="s">
        <v>986</v>
      </c>
      <c r="V470">
        <v>2024</v>
      </c>
      <c r="W470" t="s">
        <v>994</v>
      </c>
      <c r="X470" t="s">
        <v>998</v>
      </c>
      <c r="Y470" t="s">
        <v>1002</v>
      </c>
      <c r="Z470">
        <v>5</v>
      </c>
      <c r="AA470">
        <v>7</v>
      </c>
      <c r="AB470" s="4">
        <f>Table1[[#This Row],[Total_Price]]*(1-Table1[[#This Row],[Discount 2]])</f>
        <v>9455736.2640000004</v>
      </c>
      <c r="AC470" s="4" t="str" cm="1">
        <f t="array" ref="AC470">_xlfn.IFS(Table1[[#This Row],[Revenue]]&gt;=30000000,"High Value",Table1[[#This Row],[Revenue]]&gt;=10000000,"Moderate Value",TRUE,"Low Value")</f>
        <v>Low Value</v>
      </c>
      <c r="AD470" t="str">
        <f>IF(Table1[[#This Row],[Discount 2]]&gt;=5%, "YES", "NO")</f>
        <v>NO</v>
      </c>
      <c r="AE470" t="str" cm="1">
        <f t="array" ref="AE470">_xlfn.IFS(Table1[[#This Row],[Revenue]]&gt;=30000000,"High Spender",Table1[[#This Row],[Revenue]]&gt;=10000000,"Moderate Spender",TRUE,"Low Spender")</f>
        <v>Low Spender</v>
      </c>
      <c r="AF470" s="4" t="str" cm="1">
        <f t="array" ref="AF470">_xlfn.IFS(Table1[[#This Row],[Land_Size_SQM]]&gt;=730,"LARGE",Table1[[#This Row],[Land_Size_SQM]]&gt;=465,"MEDIUM",TRUE,"SMALL")</f>
        <v>LARGE</v>
      </c>
    </row>
    <row r="471" spans="1:32" x14ac:dyDescent="0.3">
      <c r="A471" t="s">
        <v>495</v>
      </c>
      <c r="B471" t="s">
        <v>625</v>
      </c>
      <c r="C471" t="s">
        <v>626</v>
      </c>
      <c r="D471">
        <v>63</v>
      </c>
      <c r="E471" t="s">
        <v>628</v>
      </c>
      <c r="F471">
        <v>500</v>
      </c>
      <c r="G471" s="4">
        <v>7616</v>
      </c>
      <c r="H471" s="4">
        <v>3808000</v>
      </c>
      <c r="I471" t="s">
        <v>653</v>
      </c>
      <c r="J471" t="s">
        <v>668</v>
      </c>
      <c r="K471" t="s">
        <v>676</v>
      </c>
      <c r="L471" t="s">
        <v>680</v>
      </c>
      <c r="M471" t="s">
        <v>685</v>
      </c>
      <c r="N471" t="s">
        <v>690</v>
      </c>
      <c r="O471" t="s">
        <v>694</v>
      </c>
      <c r="P471" s="4">
        <v>1077773</v>
      </c>
      <c r="Q471">
        <v>3</v>
      </c>
      <c r="R471" s="7">
        <v>3.42</v>
      </c>
      <c r="S471" s="8">
        <f>Table1[[#This Row],[Discount_%]]/100</f>
        <v>3.4200000000000001E-2</v>
      </c>
      <c r="T471" s="6" t="s">
        <v>906</v>
      </c>
      <c r="U471" t="s">
        <v>985</v>
      </c>
      <c r="V471">
        <v>2024</v>
      </c>
      <c r="W471" t="s">
        <v>993</v>
      </c>
      <c r="X471" t="s">
        <v>997</v>
      </c>
      <c r="Y471" t="s">
        <v>1001</v>
      </c>
      <c r="Z471">
        <v>1</v>
      </c>
      <c r="AA471">
        <v>7</v>
      </c>
      <c r="AB471" s="4">
        <f>Table1[[#This Row],[Total_Price]]*(1-Table1[[#This Row],[Discount 2]])</f>
        <v>3677766.4</v>
      </c>
      <c r="AC471" s="4" t="str" cm="1">
        <f t="array" ref="AC471">_xlfn.IFS(Table1[[#This Row],[Revenue]]&gt;=30000000,"High Value",Table1[[#This Row],[Revenue]]&gt;=10000000,"Moderate Value",TRUE,"Low Value")</f>
        <v>Low Value</v>
      </c>
      <c r="AD471" t="str">
        <f>IF(Table1[[#This Row],[Discount 2]]&gt;=5%, "YES", "NO")</f>
        <v>NO</v>
      </c>
      <c r="AE471" t="str" cm="1">
        <f t="array" ref="AE471">_xlfn.IFS(Table1[[#This Row],[Revenue]]&gt;=30000000,"High Spender",Table1[[#This Row],[Revenue]]&gt;=10000000,"Moderate Spender",TRUE,"Low Spender")</f>
        <v>Low Spender</v>
      </c>
      <c r="AF471" s="4" t="str" cm="1">
        <f t="array" ref="AF471">_xlfn.IFS(Table1[[#This Row],[Land_Size_SQM]]&gt;=730,"LARGE",Table1[[#This Row],[Land_Size_SQM]]&gt;=465,"MEDIUM",TRUE,"SMALL")</f>
        <v>MEDIUM</v>
      </c>
    </row>
    <row r="472" spans="1:32" x14ac:dyDescent="0.3">
      <c r="A472" t="s">
        <v>496</v>
      </c>
      <c r="B472" t="s">
        <v>553</v>
      </c>
      <c r="C472" t="s">
        <v>626</v>
      </c>
      <c r="D472">
        <v>40</v>
      </c>
      <c r="E472" t="s">
        <v>628</v>
      </c>
      <c r="F472">
        <v>584</v>
      </c>
      <c r="G472" s="4">
        <v>41517</v>
      </c>
      <c r="H472" s="4">
        <v>24245928</v>
      </c>
      <c r="I472" t="s">
        <v>656</v>
      </c>
      <c r="J472" t="s">
        <v>669</v>
      </c>
      <c r="K472" t="s">
        <v>664</v>
      </c>
      <c r="L472" t="s">
        <v>681</v>
      </c>
      <c r="M472" t="s">
        <v>684</v>
      </c>
      <c r="N472" t="s">
        <v>691</v>
      </c>
      <c r="O472" t="s">
        <v>694</v>
      </c>
      <c r="P472" s="4">
        <v>8291369</v>
      </c>
      <c r="Q472">
        <v>24</v>
      </c>
      <c r="R472" s="7">
        <v>3.37</v>
      </c>
      <c r="S472" s="8">
        <f>Table1[[#This Row],[Discount_%]]/100</f>
        <v>3.3700000000000001E-2</v>
      </c>
      <c r="T472" s="6" t="s">
        <v>971</v>
      </c>
      <c r="U472" t="s">
        <v>989</v>
      </c>
      <c r="V472">
        <v>2024</v>
      </c>
      <c r="W472" t="s">
        <v>993</v>
      </c>
      <c r="X472" t="s">
        <v>998</v>
      </c>
      <c r="Y472" t="s">
        <v>1002</v>
      </c>
      <c r="Z472">
        <v>1</v>
      </c>
      <c r="AA472">
        <v>1</v>
      </c>
      <c r="AB472" s="4">
        <f>Table1[[#This Row],[Total_Price]]*(1-Table1[[#This Row],[Discount 2]])</f>
        <v>23428840.226400003</v>
      </c>
      <c r="AC472" s="4" t="str" cm="1">
        <f t="array" ref="AC472">_xlfn.IFS(Table1[[#This Row],[Revenue]]&gt;=30000000,"High Value",Table1[[#This Row],[Revenue]]&gt;=10000000,"Moderate Value",TRUE,"Low Value")</f>
        <v>Moderate Value</v>
      </c>
      <c r="AD472" t="str">
        <f>IF(Table1[[#This Row],[Discount 2]]&gt;=5%, "YES", "NO")</f>
        <v>NO</v>
      </c>
      <c r="AE472" t="str" cm="1">
        <f t="array" ref="AE472">_xlfn.IFS(Table1[[#This Row],[Revenue]]&gt;=30000000,"High Spender",Table1[[#This Row],[Revenue]]&gt;=10000000,"Moderate Spender",TRUE,"Low Spender")</f>
        <v>Moderate Spender</v>
      </c>
      <c r="AF472" s="4" t="str" cm="1">
        <f t="array" ref="AF472">_xlfn.IFS(Table1[[#This Row],[Land_Size_SQM]]&gt;=730,"LARGE",Table1[[#This Row],[Land_Size_SQM]]&gt;=465,"MEDIUM",TRUE,"SMALL")</f>
        <v>MEDIUM</v>
      </c>
    </row>
    <row r="473" spans="1:32" x14ac:dyDescent="0.3">
      <c r="A473" t="s">
        <v>497</v>
      </c>
      <c r="B473" t="s">
        <v>609</v>
      </c>
      <c r="C473" t="s">
        <v>626</v>
      </c>
      <c r="D473">
        <v>48</v>
      </c>
      <c r="E473" t="s">
        <v>629</v>
      </c>
      <c r="F473">
        <v>942</v>
      </c>
      <c r="G473" s="4">
        <v>11100</v>
      </c>
      <c r="H473" s="4">
        <v>10456200</v>
      </c>
      <c r="I473" t="s">
        <v>658</v>
      </c>
      <c r="J473" t="s">
        <v>670</v>
      </c>
      <c r="K473" t="s">
        <v>640</v>
      </c>
      <c r="L473" t="s">
        <v>682</v>
      </c>
      <c r="M473" t="s">
        <v>684</v>
      </c>
      <c r="N473" t="s">
        <v>692</v>
      </c>
      <c r="O473" t="s">
        <v>693</v>
      </c>
      <c r="P473" s="4">
        <v>10456200</v>
      </c>
      <c r="Q473">
        <v>0</v>
      </c>
      <c r="R473" s="7">
        <v>6.02</v>
      </c>
      <c r="S473" s="8">
        <f>Table1[[#This Row],[Discount_%]]/100</f>
        <v>6.0199999999999997E-2</v>
      </c>
      <c r="T473" s="6" t="s">
        <v>868</v>
      </c>
      <c r="U473" t="s">
        <v>986</v>
      </c>
      <c r="V473">
        <v>2024</v>
      </c>
      <c r="W473" t="s">
        <v>995</v>
      </c>
      <c r="X473" t="s">
        <v>997</v>
      </c>
      <c r="Y473" t="s">
        <v>1000</v>
      </c>
      <c r="Z473">
        <v>1</v>
      </c>
      <c r="AA473">
        <v>41</v>
      </c>
      <c r="AB473" s="4">
        <f>Table1[[#This Row],[Total_Price]]*(1-Table1[[#This Row],[Discount 2]])</f>
        <v>9826736.7599999998</v>
      </c>
      <c r="AC473" s="4" t="str" cm="1">
        <f t="array" ref="AC473">_xlfn.IFS(Table1[[#This Row],[Revenue]]&gt;=30000000,"High Value",Table1[[#This Row],[Revenue]]&gt;=10000000,"Moderate Value",TRUE,"Low Value")</f>
        <v>Low Value</v>
      </c>
      <c r="AD473" t="str">
        <f>IF(Table1[[#This Row],[Discount 2]]&gt;=5%, "YES", "NO")</f>
        <v>YES</v>
      </c>
      <c r="AE473" t="str" cm="1">
        <f t="array" ref="AE473">_xlfn.IFS(Table1[[#This Row],[Revenue]]&gt;=30000000,"High Spender",Table1[[#This Row],[Revenue]]&gt;=10000000,"Moderate Spender",TRUE,"Low Spender")</f>
        <v>Low Spender</v>
      </c>
      <c r="AF473" s="4" t="str" cm="1">
        <f t="array" ref="AF473">_xlfn.IFS(Table1[[#This Row],[Land_Size_SQM]]&gt;=730,"LARGE",Table1[[#This Row],[Land_Size_SQM]]&gt;=465,"MEDIUM",TRUE,"SMALL")</f>
        <v>LARGE</v>
      </c>
    </row>
    <row r="474" spans="1:32" x14ac:dyDescent="0.3">
      <c r="A474" t="s">
        <v>498</v>
      </c>
      <c r="B474" t="s">
        <v>571</v>
      </c>
      <c r="C474" t="s">
        <v>626</v>
      </c>
      <c r="D474">
        <v>50</v>
      </c>
      <c r="E474" t="s">
        <v>629</v>
      </c>
      <c r="F474">
        <v>246</v>
      </c>
      <c r="G474" s="4">
        <v>23333</v>
      </c>
      <c r="H474" s="4">
        <v>5739918</v>
      </c>
      <c r="I474" t="s">
        <v>643</v>
      </c>
      <c r="J474" t="s">
        <v>671</v>
      </c>
      <c r="K474" t="s">
        <v>651</v>
      </c>
      <c r="L474" t="s">
        <v>682</v>
      </c>
      <c r="M474" t="s">
        <v>685</v>
      </c>
      <c r="N474" t="s">
        <v>691</v>
      </c>
      <c r="O474" t="s">
        <v>694</v>
      </c>
      <c r="P474" s="4">
        <v>2192815</v>
      </c>
      <c r="Q474">
        <v>6</v>
      </c>
      <c r="R474" s="7">
        <v>4</v>
      </c>
      <c r="S474" s="8">
        <f>Table1[[#This Row],[Discount_%]]/100</f>
        <v>0.04</v>
      </c>
      <c r="T474" s="6" t="s">
        <v>778</v>
      </c>
      <c r="U474" t="s">
        <v>983</v>
      </c>
      <c r="V474">
        <v>2024</v>
      </c>
      <c r="W474" t="s">
        <v>994</v>
      </c>
      <c r="X474" t="s">
        <v>997</v>
      </c>
      <c r="Y474" t="s">
        <v>1000</v>
      </c>
      <c r="Z474">
        <v>2</v>
      </c>
      <c r="AA474">
        <v>34</v>
      </c>
      <c r="AB474" s="4">
        <f>Table1[[#This Row],[Total_Price]]*(1-Table1[[#This Row],[Discount 2]])</f>
        <v>5510321.2800000003</v>
      </c>
      <c r="AC474" s="4" t="str" cm="1">
        <f t="array" ref="AC474">_xlfn.IFS(Table1[[#This Row],[Revenue]]&gt;=30000000,"High Value",Table1[[#This Row],[Revenue]]&gt;=10000000,"Moderate Value",TRUE,"Low Value")</f>
        <v>Low Value</v>
      </c>
      <c r="AD474" t="str">
        <f>IF(Table1[[#This Row],[Discount 2]]&gt;=5%, "YES", "NO")</f>
        <v>NO</v>
      </c>
      <c r="AE474" t="str" cm="1">
        <f t="array" ref="AE474">_xlfn.IFS(Table1[[#This Row],[Revenue]]&gt;=30000000,"High Spender",Table1[[#This Row],[Revenue]]&gt;=10000000,"Moderate Spender",TRUE,"Low Spender")</f>
        <v>Low Spender</v>
      </c>
      <c r="AF474" s="4" t="str" cm="1">
        <f t="array" ref="AF474">_xlfn.IFS(Table1[[#This Row],[Land_Size_SQM]]&gt;=730,"LARGE",Table1[[#This Row],[Land_Size_SQM]]&gt;=465,"MEDIUM",TRUE,"SMALL")</f>
        <v>SMALL</v>
      </c>
    </row>
    <row r="475" spans="1:32" x14ac:dyDescent="0.3">
      <c r="A475" t="s">
        <v>499</v>
      </c>
      <c r="B475" t="s">
        <v>587</v>
      </c>
      <c r="C475" t="s">
        <v>626</v>
      </c>
      <c r="D475">
        <v>27</v>
      </c>
      <c r="E475" t="s">
        <v>630</v>
      </c>
      <c r="F475">
        <v>232</v>
      </c>
      <c r="G475" s="4">
        <v>10379</v>
      </c>
      <c r="H475" s="4">
        <v>2407928</v>
      </c>
      <c r="I475" t="s">
        <v>652</v>
      </c>
      <c r="J475" t="s">
        <v>672</v>
      </c>
      <c r="K475" t="s">
        <v>675</v>
      </c>
      <c r="L475" t="s">
        <v>682</v>
      </c>
      <c r="M475" t="s">
        <v>686</v>
      </c>
      <c r="N475" t="s">
        <v>688</v>
      </c>
      <c r="O475" t="s">
        <v>694</v>
      </c>
      <c r="P475" s="4">
        <v>699273</v>
      </c>
      <c r="Q475">
        <v>3</v>
      </c>
      <c r="R475" s="7">
        <v>6.73</v>
      </c>
      <c r="S475" s="8">
        <f>Table1[[#This Row],[Discount_%]]/100</f>
        <v>6.7299999999999999E-2</v>
      </c>
      <c r="T475" s="6" t="s">
        <v>937</v>
      </c>
      <c r="U475" t="s">
        <v>985</v>
      </c>
      <c r="V475">
        <v>2024</v>
      </c>
      <c r="W475" t="s">
        <v>996</v>
      </c>
      <c r="X475" t="s">
        <v>999</v>
      </c>
      <c r="Y475" t="s">
        <v>1000</v>
      </c>
      <c r="Z475">
        <v>1</v>
      </c>
      <c r="AA475">
        <v>7</v>
      </c>
      <c r="AB475" s="4">
        <f>Table1[[#This Row],[Total_Price]]*(1-Table1[[#This Row],[Discount 2]])</f>
        <v>2245874.4455999997</v>
      </c>
      <c r="AC475" s="4" t="str" cm="1">
        <f t="array" ref="AC475">_xlfn.IFS(Table1[[#This Row],[Revenue]]&gt;=30000000,"High Value",Table1[[#This Row],[Revenue]]&gt;=10000000,"Moderate Value",TRUE,"Low Value")</f>
        <v>Low Value</v>
      </c>
      <c r="AD475" t="str">
        <f>IF(Table1[[#This Row],[Discount 2]]&gt;=5%, "YES", "NO")</f>
        <v>YES</v>
      </c>
      <c r="AE475" t="str" cm="1">
        <f t="array" ref="AE475">_xlfn.IFS(Table1[[#This Row],[Revenue]]&gt;=30000000,"High Spender",Table1[[#This Row],[Revenue]]&gt;=10000000,"Moderate Spender",TRUE,"Low Spender")</f>
        <v>Low Spender</v>
      </c>
      <c r="AF475" s="4" t="str" cm="1">
        <f t="array" ref="AF475">_xlfn.IFS(Table1[[#This Row],[Land_Size_SQM]]&gt;=730,"LARGE",Table1[[#This Row],[Land_Size_SQM]]&gt;=465,"MEDIUM",TRUE,"SMALL")</f>
        <v>SMALL</v>
      </c>
    </row>
    <row r="476" spans="1:32" x14ac:dyDescent="0.3">
      <c r="A476" t="s">
        <v>500</v>
      </c>
      <c r="B476" t="s">
        <v>556</v>
      </c>
      <c r="C476" t="s">
        <v>626</v>
      </c>
      <c r="D476">
        <v>25</v>
      </c>
      <c r="E476" t="s">
        <v>629</v>
      </c>
      <c r="F476">
        <v>364</v>
      </c>
      <c r="G476" s="4">
        <v>23397</v>
      </c>
      <c r="H476" s="4">
        <v>8516508</v>
      </c>
      <c r="I476" t="s">
        <v>634</v>
      </c>
      <c r="J476" t="s">
        <v>670</v>
      </c>
      <c r="K476" t="s">
        <v>664</v>
      </c>
      <c r="L476" t="s">
        <v>681</v>
      </c>
      <c r="M476" t="s">
        <v>683</v>
      </c>
      <c r="N476" t="s">
        <v>692</v>
      </c>
      <c r="O476" t="s">
        <v>694</v>
      </c>
      <c r="P476" s="4">
        <v>2266352</v>
      </c>
      <c r="Q476">
        <v>12</v>
      </c>
      <c r="R476" s="7">
        <v>2.58</v>
      </c>
      <c r="S476" s="8">
        <f>Table1[[#This Row],[Discount_%]]/100</f>
        <v>2.58E-2</v>
      </c>
      <c r="T476" s="6" t="s">
        <v>915</v>
      </c>
      <c r="U476" t="s">
        <v>989</v>
      </c>
      <c r="V476">
        <v>2024</v>
      </c>
      <c r="W476" t="s">
        <v>993</v>
      </c>
      <c r="X476" t="s">
        <v>997</v>
      </c>
      <c r="Y476" t="s">
        <v>1002</v>
      </c>
      <c r="Z476">
        <v>4</v>
      </c>
      <c r="AA476">
        <v>46</v>
      </c>
      <c r="AB476" s="4">
        <f>Table1[[#This Row],[Total_Price]]*(1-Table1[[#This Row],[Discount 2]])</f>
        <v>8296782.0935999993</v>
      </c>
      <c r="AC476" s="4" t="str" cm="1">
        <f t="array" ref="AC476">_xlfn.IFS(Table1[[#This Row],[Revenue]]&gt;=30000000,"High Value",Table1[[#This Row],[Revenue]]&gt;=10000000,"Moderate Value",TRUE,"Low Value")</f>
        <v>Low Value</v>
      </c>
      <c r="AD476" t="str">
        <f>IF(Table1[[#This Row],[Discount 2]]&gt;=5%, "YES", "NO")</f>
        <v>NO</v>
      </c>
      <c r="AE476" t="str" cm="1">
        <f t="array" ref="AE476">_xlfn.IFS(Table1[[#This Row],[Revenue]]&gt;=30000000,"High Spender",Table1[[#This Row],[Revenue]]&gt;=10000000,"Moderate Spender",TRUE,"Low Spender")</f>
        <v>Low Spender</v>
      </c>
      <c r="AF476" s="4" t="str" cm="1">
        <f t="array" ref="AF476">_xlfn.IFS(Table1[[#This Row],[Land_Size_SQM]]&gt;=730,"LARGE",Table1[[#This Row],[Land_Size_SQM]]&gt;=465,"MEDIUM",TRUE,"SMALL")</f>
        <v>SMALL</v>
      </c>
    </row>
    <row r="477" spans="1:32" x14ac:dyDescent="0.3">
      <c r="A477" t="s">
        <v>501</v>
      </c>
      <c r="B477" t="s">
        <v>569</v>
      </c>
      <c r="C477" t="s">
        <v>626</v>
      </c>
      <c r="D477">
        <v>57</v>
      </c>
      <c r="E477" t="s">
        <v>628</v>
      </c>
      <c r="F477">
        <v>869</v>
      </c>
      <c r="G477" s="4">
        <v>44080</v>
      </c>
      <c r="H477" s="4">
        <v>38305520</v>
      </c>
      <c r="I477" t="s">
        <v>659</v>
      </c>
      <c r="J477" t="s">
        <v>668</v>
      </c>
      <c r="K477" t="s">
        <v>640</v>
      </c>
      <c r="L477" t="s">
        <v>682</v>
      </c>
      <c r="M477" t="s">
        <v>685</v>
      </c>
      <c r="N477" t="s">
        <v>692</v>
      </c>
      <c r="O477" t="s">
        <v>694</v>
      </c>
      <c r="P477" s="4">
        <v>10230073</v>
      </c>
      <c r="Q477">
        <v>6</v>
      </c>
      <c r="R477" s="7">
        <v>1.1599999999999999</v>
      </c>
      <c r="S477" s="8">
        <f>Table1[[#This Row],[Discount_%]]/100</f>
        <v>1.1599999999999999E-2</v>
      </c>
      <c r="T477" s="6" t="s">
        <v>726</v>
      </c>
      <c r="U477" t="s">
        <v>981</v>
      </c>
      <c r="V477">
        <v>2024</v>
      </c>
      <c r="W477" t="s">
        <v>994</v>
      </c>
      <c r="X477" t="s">
        <v>999</v>
      </c>
      <c r="Y477" t="s">
        <v>1002</v>
      </c>
      <c r="Z477">
        <v>4</v>
      </c>
      <c r="AA477">
        <v>37</v>
      </c>
      <c r="AB477" s="4">
        <f>Table1[[#This Row],[Total_Price]]*(1-Table1[[#This Row],[Discount 2]])</f>
        <v>37861175.967999995</v>
      </c>
      <c r="AC477" s="4" t="str" cm="1">
        <f t="array" ref="AC477">_xlfn.IFS(Table1[[#This Row],[Revenue]]&gt;=30000000,"High Value",Table1[[#This Row],[Revenue]]&gt;=10000000,"Moderate Value",TRUE,"Low Value")</f>
        <v>High Value</v>
      </c>
      <c r="AD477" t="str">
        <f>IF(Table1[[#This Row],[Discount 2]]&gt;=5%, "YES", "NO")</f>
        <v>NO</v>
      </c>
      <c r="AE477" t="str" cm="1">
        <f t="array" ref="AE477">_xlfn.IFS(Table1[[#This Row],[Revenue]]&gt;=30000000,"High Spender",Table1[[#This Row],[Revenue]]&gt;=10000000,"Moderate Spender",TRUE,"Low Spender")</f>
        <v>High Spender</v>
      </c>
      <c r="AF477" s="4" t="str" cm="1">
        <f t="array" ref="AF477">_xlfn.IFS(Table1[[#This Row],[Land_Size_SQM]]&gt;=730,"LARGE",Table1[[#This Row],[Land_Size_SQM]]&gt;=465,"MEDIUM",TRUE,"SMALL")</f>
        <v>LARGE</v>
      </c>
    </row>
    <row r="478" spans="1:32" x14ac:dyDescent="0.3">
      <c r="A478" t="s">
        <v>502</v>
      </c>
      <c r="B478" t="s">
        <v>553</v>
      </c>
      <c r="C478" t="s">
        <v>627</v>
      </c>
      <c r="D478">
        <v>53</v>
      </c>
      <c r="E478" t="s">
        <v>629</v>
      </c>
      <c r="F478">
        <v>263</v>
      </c>
      <c r="G478" s="4">
        <v>40670</v>
      </c>
      <c r="H478" s="4">
        <v>10696210</v>
      </c>
      <c r="I478" t="s">
        <v>631</v>
      </c>
      <c r="J478" t="s">
        <v>668</v>
      </c>
      <c r="K478" t="s">
        <v>677</v>
      </c>
      <c r="L478" t="s">
        <v>682</v>
      </c>
      <c r="M478" t="s">
        <v>686</v>
      </c>
      <c r="N478" t="s">
        <v>688</v>
      </c>
      <c r="O478" t="s">
        <v>693</v>
      </c>
      <c r="P478" s="4">
        <v>10696210</v>
      </c>
      <c r="Q478">
        <v>0</v>
      </c>
      <c r="R478" s="7">
        <v>8.4700000000000006</v>
      </c>
      <c r="S478" s="8">
        <f>Table1[[#This Row],[Discount_%]]/100</f>
        <v>8.4700000000000011E-2</v>
      </c>
      <c r="T478" s="6" t="s">
        <v>807</v>
      </c>
      <c r="U478" t="s">
        <v>989</v>
      </c>
      <c r="V478">
        <v>2024</v>
      </c>
      <c r="W478" t="s">
        <v>993</v>
      </c>
      <c r="X478" t="s">
        <v>998</v>
      </c>
      <c r="Y478" t="s">
        <v>1000</v>
      </c>
      <c r="Z478">
        <v>5</v>
      </c>
      <c r="AA478">
        <v>30</v>
      </c>
      <c r="AB478" s="4">
        <f>Table1[[#This Row],[Total_Price]]*(1-Table1[[#This Row],[Discount 2]])</f>
        <v>9790241.0130000003</v>
      </c>
      <c r="AC478" s="4" t="str" cm="1">
        <f t="array" ref="AC478">_xlfn.IFS(Table1[[#This Row],[Revenue]]&gt;=30000000,"High Value",Table1[[#This Row],[Revenue]]&gt;=10000000,"Moderate Value",TRUE,"Low Value")</f>
        <v>Low Value</v>
      </c>
      <c r="AD478" t="str">
        <f>IF(Table1[[#This Row],[Discount 2]]&gt;=5%, "YES", "NO")</f>
        <v>YES</v>
      </c>
      <c r="AE478" t="str" cm="1">
        <f t="array" ref="AE478">_xlfn.IFS(Table1[[#This Row],[Revenue]]&gt;=30000000,"High Spender",Table1[[#This Row],[Revenue]]&gt;=10000000,"Moderate Spender",TRUE,"Low Spender")</f>
        <v>Low Spender</v>
      </c>
      <c r="AF478" s="4" t="str" cm="1">
        <f t="array" ref="AF478">_xlfn.IFS(Table1[[#This Row],[Land_Size_SQM]]&gt;=730,"LARGE",Table1[[#This Row],[Land_Size_SQM]]&gt;=465,"MEDIUM",TRUE,"SMALL")</f>
        <v>SMALL</v>
      </c>
    </row>
    <row r="479" spans="1:32" x14ac:dyDescent="0.3">
      <c r="A479" t="s">
        <v>503</v>
      </c>
      <c r="B479" t="s">
        <v>582</v>
      </c>
      <c r="C479" t="s">
        <v>626</v>
      </c>
      <c r="D479">
        <v>39</v>
      </c>
      <c r="E479" t="s">
        <v>629</v>
      </c>
      <c r="F479">
        <v>424</v>
      </c>
      <c r="G479" s="4">
        <v>34757</v>
      </c>
      <c r="H479" s="4">
        <v>14736968</v>
      </c>
      <c r="I479" t="s">
        <v>648</v>
      </c>
      <c r="J479" t="s">
        <v>671</v>
      </c>
      <c r="K479" t="s">
        <v>677</v>
      </c>
      <c r="L479" t="s">
        <v>682</v>
      </c>
      <c r="M479" t="s">
        <v>685</v>
      </c>
      <c r="N479" t="s">
        <v>690</v>
      </c>
      <c r="O479" t="s">
        <v>694</v>
      </c>
      <c r="P479" s="4">
        <v>5606527</v>
      </c>
      <c r="Q479">
        <v>6</v>
      </c>
      <c r="R479" s="7">
        <v>1.46</v>
      </c>
      <c r="S479" s="8">
        <f>Table1[[#This Row],[Discount_%]]/100</f>
        <v>1.46E-2</v>
      </c>
      <c r="T479" s="6" t="s">
        <v>972</v>
      </c>
      <c r="U479" t="s">
        <v>984</v>
      </c>
      <c r="V479">
        <v>2024</v>
      </c>
      <c r="W479" t="s">
        <v>995</v>
      </c>
      <c r="X479" t="s">
        <v>997</v>
      </c>
      <c r="Y479" t="s">
        <v>1000</v>
      </c>
      <c r="Z479">
        <v>4</v>
      </c>
      <c r="AA479">
        <v>19</v>
      </c>
      <c r="AB479" s="4">
        <f>Table1[[#This Row],[Total_Price]]*(1-Table1[[#This Row],[Discount 2]])</f>
        <v>14521808.267200001</v>
      </c>
      <c r="AC479" s="4" t="str" cm="1">
        <f t="array" ref="AC479">_xlfn.IFS(Table1[[#This Row],[Revenue]]&gt;=30000000,"High Value",Table1[[#This Row],[Revenue]]&gt;=10000000,"Moderate Value",TRUE,"Low Value")</f>
        <v>Moderate Value</v>
      </c>
      <c r="AD479" t="str">
        <f>IF(Table1[[#This Row],[Discount 2]]&gt;=5%, "YES", "NO")</f>
        <v>NO</v>
      </c>
      <c r="AE479" t="str" cm="1">
        <f t="array" ref="AE479">_xlfn.IFS(Table1[[#This Row],[Revenue]]&gt;=30000000,"High Spender",Table1[[#This Row],[Revenue]]&gt;=10000000,"Moderate Spender",TRUE,"Low Spender")</f>
        <v>Moderate Spender</v>
      </c>
      <c r="AF479" s="4" t="str" cm="1">
        <f t="array" ref="AF479">_xlfn.IFS(Table1[[#This Row],[Land_Size_SQM]]&gt;=730,"LARGE",Table1[[#This Row],[Land_Size_SQM]]&gt;=465,"MEDIUM",TRUE,"SMALL")</f>
        <v>SMALL</v>
      </c>
    </row>
    <row r="480" spans="1:32" x14ac:dyDescent="0.3">
      <c r="A480" t="s">
        <v>504</v>
      </c>
      <c r="B480" t="s">
        <v>606</v>
      </c>
      <c r="C480" t="s">
        <v>626</v>
      </c>
      <c r="D480">
        <v>45</v>
      </c>
      <c r="E480" t="s">
        <v>630</v>
      </c>
      <c r="F480">
        <v>541</v>
      </c>
      <c r="G480" s="4">
        <v>12007</v>
      </c>
      <c r="H480" s="4">
        <v>6495787</v>
      </c>
      <c r="I480" t="s">
        <v>633</v>
      </c>
      <c r="J480" t="s">
        <v>668</v>
      </c>
      <c r="K480" t="s">
        <v>664</v>
      </c>
      <c r="L480" t="s">
        <v>682</v>
      </c>
      <c r="M480" t="s">
        <v>683</v>
      </c>
      <c r="N480" t="s">
        <v>689</v>
      </c>
      <c r="O480" t="s">
        <v>693</v>
      </c>
      <c r="P480" s="4">
        <v>6495787</v>
      </c>
      <c r="Q480">
        <v>0</v>
      </c>
      <c r="R480" s="7">
        <v>8.48</v>
      </c>
      <c r="S480" s="8">
        <f>Table1[[#This Row],[Discount_%]]/100</f>
        <v>8.48E-2</v>
      </c>
      <c r="T480" s="6" t="s">
        <v>935</v>
      </c>
      <c r="U480" t="s">
        <v>990</v>
      </c>
      <c r="V480">
        <v>2024</v>
      </c>
      <c r="W480" t="s">
        <v>995</v>
      </c>
      <c r="X480" t="s">
        <v>998</v>
      </c>
      <c r="Y480" t="s">
        <v>1002</v>
      </c>
      <c r="Z480">
        <v>4</v>
      </c>
      <c r="AA480">
        <v>23</v>
      </c>
      <c r="AB480" s="4">
        <f>Table1[[#This Row],[Total_Price]]*(1-Table1[[#This Row],[Discount 2]])</f>
        <v>5944944.2624000004</v>
      </c>
      <c r="AC480" s="4" t="str" cm="1">
        <f t="array" ref="AC480">_xlfn.IFS(Table1[[#This Row],[Revenue]]&gt;=30000000,"High Value",Table1[[#This Row],[Revenue]]&gt;=10000000,"Moderate Value",TRUE,"Low Value")</f>
        <v>Low Value</v>
      </c>
      <c r="AD480" t="str">
        <f>IF(Table1[[#This Row],[Discount 2]]&gt;=5%, "YES", "NO")</f>
        <v>YES</v>
      </c>
      <c r="AE480" t="str" cm="1">
        <f t="array" ref="AE480">_xlfn.IFS(Table1[[#This Row],[Revenue]]&gt;=30000000,"High Spender",Table1[[#This Row],[Revenue]]&gt;=10000000,"Moderate Spender",TRUE,"Low Spender")</f>
        <v>Low Spender</v>
      </c>
      <c r="AF480" s="4" t="str" cm="1">
        <f t="array" ref="AF480">_xlfn.IFS(Table1[[#This Row],[Land_Size_SQM]]&gt;=730,"LARGE",Table1[[#This Row],[Land_Size_SQM]]&gt;=465,"MEDIUM",TRUE,"SMALL")</f>
        <v>MEDIUM</v>
      </c>
    </row>
    <row r="481" spans="1:32" x14ac:dyDescent="0.3">
      <c r="A481" t="s">
        <v>505</v>
      </c>
      <c r="B481" t="s">
        <v>611</v>
      </c>
      <c r="C481" t="s">
        <v>627</v>
      </c>
      <c r="D481">
        <v>40</v>
      </c>
      <c r="E481" t="s">
        <v>629</v>
      </c>
      <c r="F481">
        <v>740</v>
      </c>
      <c r="G481" s="4">
        <v>49628</v>
      </c>
      <c r="H481" s="4">
        <v>36724720</v>
      </c>
      <c r="I481" t="s">
        <v>666</v>
      </c>
      <c r="J481" t="s">
        <v>670</v>
      </c>
      <c r="K481" t="s">
        <v>676</v>
      </c>
      <c r="L481" t="s">
        <v>680</v>
      </c>
      <c r="M481" t="s">
        <v>687</v>
      </c>
      <c r="N481" t="s">
        <v>691</v>
      </c>
      <c r="O481" t="s">
        <v>694</v>
      </c>
      <c r="P481" s="4">
        <v>15017212</v>
      </c>
      <c r="Q481">
        <v>12</v>
      </c>
      <c r="R481" s="7">
        <v>1.95</v>
      </c>
      <c r="S481" s="8">
        <f>Table1[[#This Row],[Discount_%]]/100</f>
        <v>1.95E-2</v>
      </c>
      <c r="T481" s="6" t="s">
        <v>937</v>
      </c>
      <c r="U481" t="s">
        <v>985</v>
      </c>
      <c r="V481">
        <v>2024</v>
      </c>
      <c r="W481" t="s">
        <v>996</v>
      </c>
      <c r="X481" t="s">
        <v>997</v>
      </c>
      <c r="Y481" t="s">
        <v>1000</v>
      </c>
      <c r="Z481">
        <v>4</v>
      </c>
      <c r="AA481">
        <v>45</v>
      </c>
      <c r="AB481" s="4">
        <f>Table1[[#This Row],[Total_Price]]*(1-Table1[[#This Row],[Discount 2]])</f>
        <v>36008587.960000001</v>
      </c>
      <c r="AC481" s="4" t="str" cm="1">
        <f t="array" ref="AC481">_xlfn.IFS(Table1[[#This Row],[Revenue]]&gt;=30000000,"High Value",Table1[[#This Row],[Revenue]]&gt;=10000000,"Moderate Value",TRUE,"Low Value")</f>
        <v>High Value</v>
      </c>
      <c r="AD481" t="str">
        <f>IF(Table1[[#This Row],[Discount 2]]&gt;=5%, "YES", "NO")</f>
        <v>NO</v>
      </c>
      <c r="AE481" t="str" cm="1">
        <f t="array" ref="AE481">_xlfn.IFS(Table1[[#This Row],[Revenue]]&gt;=30000000,"High Spender",Table1[[#This Row],[Revenue]]&gt;=10000000,"Moderate Spender",TRUE,"Low Spender")</f>
        <v>High Spender</v>
      </c>
      <c r="AF481" s="4" t="str" cm="1">
        <f t="array" ref="AF481">_xlfn.IFS(Table1[[#This Row],[Land_Size_SQM]]&gt;=730,"LARGE",Table1[[#This Row],[Land_Size_SQM]]&gt;=465,"MEDIUM",TRUE,"SMALL")</f>
        <v>LARGE</v>
      </c>
    </row>
    <row r="482" spans="1:32" x14ac:dyDescent="0.3">
      <c r="A482" t="s">
        <v>506</v>
      </c>
      <c r="B482" t="s">
        <v>598</v>
      </c>
      <c r="C482" t="s">
        <v>627</v>
      </c>
      <c r="D482">
        <v>63</v>
      </c>
      <c r="E482" t="s">
        <v>628</v>
      </c>
      <c r="F482">
        <v>414</v>
      </c>
      <c r="G482" s="4">
        <v>16295</v>
      </c>
      <c r="H482" s="4">
        <v>6746130</v>
      </c>
      <c r="I482" t="s">
        <v>645</v>
      </c>
      <c r="J482" t="s">
        <v>670</v>
      </c>
      <c r="K482" t="s">
        <v>638</v>
      </c>
      <c r="L482" t="s">
        <v>681</v>
      </c>
      <c r="M482" t="s">
        <v>684</v>
      </c>
      <c r="N482" t="s">
        <v>688</v>
      </c>
      <c r="O482" t="s">
        <v>693</v>
      </c>
      <c r="P482" s="4">
        <v>6746130</v>
      </c>
      <c r="Q482">
        <v>0</v>
      </c>
      <c r="R482" s="7">
        <v>7.35</v>
      </c>
      <c r="S482" s="8">
        <f>Table1[[#This Row],[Discount_%]]/100</f>
        <v>7.3499999999999996E-2</v>
      </c>
      <c r="T482" s="6" t="s">
        <v>973</v>
      </c>
      <c r="U482" t="s">
        <v>988</v>
      </c>
      <c r="V482">
        <v>2024</v>
      </c>
      <c r="W482" t="s">
        <v>993</v>
      </c>
      <c r="X482" t="s">
        <v>999</v>
      </c>
      <c r="Y482" t="s">
        <v>1002</v>
      </c>
      <c r="Z482">
        <v>4</v>
      </c>
      <c r="AA482">
        <v>12</v>
      </c>
      <c r="AB482" s="4">
        <f>Table1[[#This Row],[Total_Price]]*(1-Table1[[#This Row],[Discount 2]])</f>
        <v>6250289.4450000003</v>
      </c>
      <c r="AC482" s="4" t="str" cm="1">
        <f t="array" ref="AC482">_xlfn.IFS(Table1[[#This Row],[Revenue]]&gt;=30000000,"High Value",Table1[[#This Row],[Revenue]]&gt;=10000000,"Moderate Value",TRUE,"Low Value")</f>
        <v>Low Value</v>
      </c>
      <c r="AD482" t="str">
        <f>IF(Table1[[#This Row],[Discount 2]]&gt;=5%, "YES", "NO")</f>
        <v>YES</v>
      </c>
      <c r="AE482" t="str" cm="1">
        <f t="array" ref="AE482">_xlfn.IFS(Table1[[#This Row],[Revenue]]&gt;=30000000,"High Spender",Table1[[#This Row],[Revenue]]&gt;=10000000,"Moderate Spender",TRUE,"Low Spender")</f>
        <v>Low Spender</v>
      </c>
      <c r="AF482" s="4" t="str" cm="1">
        <f t="array" ref="AF482">_xlfn.IFS(Table1[[#This Row],[Land_Size_SQM]]&gt;=730,"LARGE",Table1[[#This Row],[Land_Size_SQM]]&gt;=465,"MEDIUM",TRUE,"SMALL")</f>
        <v>SMALL</v>
      </c>
    </row>
    <row r="483" spans="1:32" x14ac:dyDescent="0.3">
      <c r="A483" t="s">
        <v>507</v>
      </c>
      <c r="B483" t="s">
        <v>565</v>
      </c>
      <c r="C483" t="s">
        <v>626</v>
      </c>
      <c r="D483">
        <v>51</v>
      </c>
      <c r="E483" t="s">
        <v>630</v>
      </c>
      <c r="F483">
        <v>865</v>
      </c>
      <c r="G483" s="4">
        <v>24183</v>
      </c>
      <c r="H483" s="4">
        <v>20918295</v>
      </c>
      <c r="I483" t="s">
        <v>664</v>
      </c>
      <c r="J483" t="s">
        <v>673</v>
      </c>
      <c r="K483" t="s">
        <v>675</v>
      </c>
      <c r="L483" t="s">
        <v>682</v>
      </c>
      <c r="M483" t="s">
        <v>686</v>
      </c>
      <c r="N483" t="s">
        <v>688</v>
      </c>
      <c r="O483" t="s">
        <v>694</v>
      </c>
      <c r="P483" s="4">
        <v>8118218</v>
      </c>
      <c r="Q483">
        <v>6</v>
      </c>
      <c r="R483" s="7">
        <v>4.04</v>
      </c>
      <c r="S483" s="8">
        <f>Table1[[#This Row],[Discount_%]]/100</f>
        <v>4.0399999999999998E-2</v>
      </c>
      <c r="T483" s="6" t="s">
        <v>938</v>
      </c>
      <c r="U483" t="s">
        <v>988</v>
      </c>
      <c r="V483">
        <v>2024</v>
      </c>
      <c r="W483" t="s">
        <v>995</v>
      </c>
      <c r="X483" t="s">
        <v>997</v>
      </c>
      <c r="Y483" t="s">
        <v>1001</v>
      </c>
      <c r="Z483">
        <v>1</v>
      </c>
      <c r="AA483">
        <v>50</v>
      </c>
      <c r="AB483" s="4">
        <f>Table1[[#This Row],[Total_Price]]*(1-Table1[[#This Row],[Discount 2]])</f>
        <v>20073195.881999999</v>
      </c>
      <c r="AC483" s="4" t="str" cm="1">
        <f t="array" ref="AC483">_xlfn.IFS(Table1[[#This Row],[Revenue]]&gt;=30000000,"High Value",Table1[[#This Row],[Revenue]]&gt;=10000000,"Moderate Value",TRUE,"Low Value")</f>
        <v>Moderate Value</v>
      </c>
      <c r="AD483" t="str">
        <f>IF(Table1[[#This Row],[Discount 2]]&gt;=5%, "YES", "NO")</f>
        <v>NO</v>
      </c>
      <c r="AE483" t="str" cm="1">
        <f t="array" ref="AE483">_xlfn.IFS(Table1[[#This Row],[Revenue]]&gt;=30000000,"High Spender",Table1[[#This Row],[Revenue]]&gt;=10000000,"Moderate Spender",TRUE,"Low Spender")</f>
        <v>Moderate Spender</v>
      </c>
      <c r="AF483" s="4" t="str" cm="1">
        <f t="array" ref="AF483">_xlfn.IFS(Table1[[#This Row],[Land_Size_SQM]]&gt;=730,"LARGE",Table1[[#This Row],[Land_Size_SQM]]&gt;=465,"MEDIUM",TRUE,"SMALL")</f>
        <v>LARGE</v>
      </c>
    </row>
    <row r="484" spans="1:32" x14ac:dyDescent="0.3">
      <c r="A484" t="s">
        <v>508</v>
      </c>
      <c r="B484" t="s">
        <v>580</v>
      </c>
      <c r="C484" t="s">
        <v>627</v>
      </c>
      <c r="D484">
        <v>21</v>
      </c>
      <c r="E484" t="s">
        <v>629</v>
      </c>
      <c r="F484">
        <v>481</v>
      </c>
      <c r="G484" s="4">
        <v>43440</v>
      </c>
      <c r="H484" s="4">
        <v>20894640</v>
      </c>
      <c r="I484" t="s">
        <v>658</v>
      </c>
      <c r="J484" t="s">
        <v>670</v>
      </c>
      <c r="K484" t="s">
        <v>640</v>
      </c>
      <c r="L484" t="s">
        <v>682</v>
      </c>
      <c r="M484" t="s">
        <v>686</v>
      </c>
      <c r="N484" t="s">
        <v>691</v>
      </c>
      <c r="O484" t="s">
        <v>694</v>
      </c>
      <c r="P484" s="4">
        <v>4251657</v>
      </c>
      <c r="Q484">
        <v>12</v>
      </c>
      <c r="R484" s="7">
        <v>1.17</v>
      </c>
      <c r="S484" s="8">
        <f>Table1[[#This Row],[Discount_%]]/100</f>
        <v>1.1699999999999999E-2</v>
      </c>
      <c r="T484" s="6" t="s">
        <v>974</v>
      </c>
      <c r="U484" t="s">
        <v>987</v>
      </c>
      <c r="V484">
        <v>2024</v>
      </c>
      <c r="W484" t="s">
        <v>994</v>
      </c>
      <c r="X484" t="s">
        <v>997</v>
      </c>
      <c r="Y484" t="s">
        <v>1001</v>
      </c>
      <c r="Z484">
        <v>1</v>
      </c>
      <c r="AA484">
        <v>38</v>
      </c>
      <c r="AB484" s="4">
        <f>Table1[[#This Row],[Total_Price]]*(1-Table1[[#This Row],[Discount 2]])</f>
        <v>20650172.711999997</v>
      </c>
      <c r="AC484" s="4" t="str" cm="1">
        <f t="array" ref="AC484">_xlfn.IFS(Table1[[#This Row],[Revenue]]&gt;=30000000,"High Value",Table1[[#This Row],[Revenue]]&gt;=10000000,"Moderate Value",TRUE,"Low Value")</f>
        <v>Moderate Value</v>
      </c>
      <c r="AD484" t="str">
        <f>IF(Table1[[#This Row],[Discount 2]]&gt;=5%, "YES", "NO")</f>
        <v>NO</v>
      </c>
      <c r="AE484" t="str" cm="1">
        <f t="array" ref="AE484">_xlfn.IFS(Table1[[#This Row],[Revenue]]&gt;=30000000,"High Spender",Table1[[#This Row],[Revenue]]&gt;=10000000,"Moderate Spender",TRUE,"Low Spender")</f>
        <v>Moderate Spender</v>
      </c>
      <c r="AF484" s="4" t="str" cm="1">
        <f t="array" ref="AF484">_xlfn.IFS(Table1[[#This Row],[Land_Size_SQM]]&gt;=730,"LARGE",Table1[[#This Row],[Land_Size_SQM]]&gt;=465,"MEDIUM",TRUE,"SMALL")</f>
        <v>MEDIUM</v>
      </c>
    </row>
    <row r="485" spans="1:32" x14ac:dyDescent="0.3">
      <c r="A485" t="s">
        <v>509</v>
      </c>
      <c r="B485" t="s">
        <v>619</v>
      </c>
      <c r="C485" t="s">
        <v>626</v>
      </c>
      <c r="D485">
        <v>64</v>
      </c>
      <c r="E485" t="s">
        <v>628</v>
      </c>
      <c r="F485">
        <v>860</v>
      </c>
      <c r="G485" s="4">
        <v>48054</v>
      </c>
      <c r="H485" s="4">
        <v>41326440</v>
      </c>
      <c r="I485" t="s">
        <v>632</v>
      </c>
      <c r="J485" t="s">
        <v>669</v>
      </c>
      <c r="K485" t="s">
        <v>678</v>
      </c>
      <c r="L485" t="s">
        <v>681</v>
      </c>
      <c r="M485" t="s">
        <v>686</v>
      </c>
      <c r="N485" t="s">
        <v>692</v>
      </c>
      <c r="O485" t="s">
        <v>694</v>
      </c>
      <c r="P485" s="4">
        <v>15349753</v>
      </c>
      <c r="Q485">
        <v>12</v>
      </c>
      <c r="R485" s="7">
        <v>0.99</v>
      </c>
      <c r="S485" s="8">
        <f>Table1[[#This Row],[Discount_%]]/100</f>
        <v>9.8999999999999991E-3</v>
      </c>
      <c r="T485" s="6" t="s">
        <v>975</v>
      </c>
      <c r="U485" t="s">
        <v>981</v>
      </c>
      <c r="V485">
        <v>2024</v>
      </c>
      <c r="W485" t="s">
        <v>995</v>
      </c>
      <c r="X485" t="s">
        <v>999</v>
      </c>
      <c r="Y485" t="s">
        <v>1001</v>
      </c>
      <c r="Z485">
        <v>5</v>
      </c>
      <c r="AA485">
        <v>35</v>
      </c>
      <c r="AB485" s="4">
        <f>Table1[[#This Row],[Total_Price]]*(1-Table1[[#This Row],[Discount 2]])</f>
        <v>40917308.244000003</v>
      </c>
      <c r="AC485" s="4" t="str" cm="1">
        <f t="array" ref="AC485">_xlfn.IFS(Table1[[#This Row],[Revenue]]&gt;=30000000,"High Value",Table1[[#This Row],[Revenue]]&gt;=10000000,"Moderate Value",TRUE,"Low Value")</f>
        <v>High Value</v>
      </c>
      <c r="AD485" t="str">
        <f>IF(Table1[[#This Row],[Discount 2]]&gt;=5%, "YES", "NO")</f>
        <v>NO</v>
      </c>
      <c r="AE485" t="str" cm="1">
        <f t="array" ref="AE485">_xlfn.IFS(Table1[[#This Row],[Revenue]]&gt;=30000000,"High Spender",Table1[[#This Row],[Revenue]]&gt;=10000000,"Moderate Spender",TRUE,"Low Spender")</f>
        <v>High Spender</v>
      </c>
      <c r="AF485" s="4" t="str" cm="1">
        <f t="array" ref="AF485">_xlfn.IFS(Table1[[#This Row],[Land_Size_SQM]]&gt;=730,"LARGE",Table1[[#This Row],[Land_Size_SQM]]&gt;=465,"MEDIUM",TRUE,"SMALL")</f>
        <v>LARGE</v>
      </c>
    </row>
    <row r="486" spans="1:32" x14ac:dyDescent="0.3">
      <c r="A486" t="s">
        <v>510</v>
      </c>
      <c r="B486" t="s">
        <v>624</v>
      </c>
      <c r="C486" t="s">
        <v>626</v>
      </c>
      <c r="D486">
        <v>40</v>
      </c>
      <c r="E486" t="s">
        <v>628</v>
      </c>
      <c r="F486">
        <v>971</v>
      </c>
      <c r="G486" s="4">
        <v>15596</v>
      </c>
      <c r="H486" s="4">
        <v>15143716</v>
      </c>
      <c r="I486" t="s">
        <v>659</v>
      </c>
      <c r="J486" t="s">
        <v>668</v>
      </c>
      <c r="K486" t="s">
        <v>676</v>
      </c>
      <c r="L486" t="s">
        <v>680</v>
      </c>
      <c r="M486" t="s">
        <v>683</v>
      </c>
      <c r="N486" t="s">
        <v>692</v>
      </c>
      <c r="O486" t="s">
        <v>693</v>
      </c>
      <c r="P486" s="4">
        <v>15143716</v>
      </c>
      <c r="Q486">
        <v>0</v>
      </c>
      <c r="R486" s="7">
        <v>1.81</v>
      </c>
      <c r="S486" s="8">
        <f>Table1[[#This Row],[Discount_%]]/100</f>
        <v>1.8100000000000002E-2</v>
      </c>
      <c r="T486" s="6" t="s">
        <v>976</v>
      </c>
      <c r="U486" t="s">
        <v>983</v>
      </c>
      <c r="V486">
        <v>2024</v>
      </c>
      <c r="W486" t="s">
        <v>996</v>
      </c>
      <c r="X486" t="s">
        <v>997</v>
      </c>
      <c r="Y486" t="s">
        <v>1000</v>
      </c>
      <c r="Z486">
        <v>1</v>
      </c>
      <c r="AA486">
        <v>36</v>
      </c>
      <c r="AB486" s="4">
        <f>Table1[[#This Row],[Total_Price]]*(1-Table1[[#This Row],[Discount 2]])</f>
        <v>14869614.7404</v>
      </c>
      <c r="AC486" s="4" t="str" cm="1">
        <f t="array" ref="AC486">_xlfn.IFS(Table1[[#This Row],[Revenue]]&gt;=30000000,"High Value",Table1[[#This Row],[Revenue]]&gt;=10000000,"Moderate Value",TRUE,"Low Value")</f>
        <v>Moderate Value</v>
      </c>
      <c r="AD486" t="str">
        <f>IF(Table1[[#This Row],[Discount 2]]&gt;=5%, "YES", "NO")</f>
        <v>NO</v>
      </c>
      <c r="AE486" t="str" cm="1">
        <f t="array" ref="AE486">_xlfn.IFS(Table1[[#This Row],[Revenue]]&gt;=30000000,"High Spender",Table1[[#This Row],[Revenue]]&gt;=10000000,"Moderate Spender",TRUE,"Low Spender")</f>
        <v>Moderate Spender</v>
      </c>
      <c r="AF486" s="4" t="str" cm="1">
        <f t="array" ref="AF486">_xlfn.IFS(Table1[[#This Row],[Land_Size_SQM]]&gt;=730,"LARGE",Table1[[#This Row],[Land_Size_SQM]]&gt;=465,"MEDIUM",TRUE,"SMALL")</f>
        <v>LARGE</v>
      </c>
    </row>
    <row r="487" spans="1:32" x14ac:dyDescent="0.3">
      <c r="A487" t="s">
        <v>511</v>
      </c>
      <c r="B487" t="s">
        <v>574</v>
      </c>
      <c r="C487" t="s">
        <v>626</v>
      </c>
      <c r="D487">
        <v>22</v>
      </c>
      <c r="E487" t="s">
        <v>629</v>
      </c>
      <c r="F487">
        <v>327</v>
      </c>
      <c r="G487" s="4">
        <v>35170</v>
      </c>
      <c r="H487" s="4">
        <v>11500590</v>
      </c>
      <c r="I487" t="s">
        <v>643</v>
      </c>
      <c r="J487" t="s">
        <v>671</v>
      </c>
      <c r="K487" t="s">
        <v>676</v>
      </c>
      <c r="L487" t="s">
        <v>681</v>
      </c>
      <c r="M487" t="s">
        <v>686</v>
      </c>
      <c r="N487" t="s">
        <v>691</v>
      </c>
      <c r="O487" t="s">
        <v>694</v>
      </c>
      <c r="P487" s="4">
        <v>5633942</v>
      </c>
      <c r="Q487">
        <v>12</v>
      </c>
      <c r="R487" s="7">
        <v>1.72</v>
      </c>
      <c r="S487" s="8">
        <f>Table1[[#This Row],[Discount_%]]/100</f>
        <v>1.72E-2</v>
      </c>
      <c r="T487" s="6" t="s">
        <v>921</v>
      </c>
      <c r="U487" t="s">
        <v>984</v>
      </c>
      <c r="V487">
        <v>2024</v>
      </c>
      <c r="W487" t="s">
        <v>996</v>
      </c>
      <c r="X487" t="s">
        <v>997</v>
      </c>
      <c r="Y487" t="s">
        <v>1002</v>
      </c>
      <c r="Z487">
        <v>3</v>
      </c>
      <c r="AA487">
        <v>34</v>
      </c>
      <c r="AB487" s="4">
        <f>Table1[[#This Row],[Total_Price]]*(1-Table1[[#This Row],[Discount 2]])</f>
        <v>11302779.852</v>
      </c>
      <c r="AC487" s="4" t="str" cm="1">
        <f t="array" ref="AC487">_xlfn.IFS(Table1[[#This Row],[Revenue]]&gt;=30000000,"High Value",Table1[[#This Row],[Revenue]]&gt;=10000000,"Moderate Value",TRUE,"Low Value")</f>
        <v>Moderate Value</v>
      </c>
      <c r="AD487" t="str">
        <f>IF(Table1[[#This Row],[Discount 2]]&gt;=5%, "YES", "NO")</f>
        <v>NO</v>
      </c>
      <c r="AE487" t="str" cm="1">
        <f t="array" ref="AE487">_xlfn.IFS(Table1[[#This Row],[Revenue]]&gt;=30000000,"High Spender",Table1[[#This Row],[Revenue]]&gt;=10000000,"Moderate Spender",TRUE,"Low Spender")</f>
        <v>Moderate Spender</v>
      </c>
      <c r="AF487" s="4" t="str" cm="1">
        <f t="array" ref="AF487">_xlfn.IFS(Table1[[#This Row],[Land_Size_SQM]]&gt;=730,"LARGE",Table1[[#This Row],[Land_Size_SQM]]&gt;=465,"MEDIUM",TRUE,"SMALL")</f>
        <v>SMALL</v>
      </c>
    </row>
    <row r="488" spans="1:32" x14ac:dyDescent="0.3">
      <c r="A488" t="s">
        <v>512</v>
      </c>
      <c r="B488" t="s">
        <v>607</v>
      </c>
      <c r="C488" t="s">
        <v>627</v>
      </c>
      <c r="D488">
        <v>29</v>
      </c>
      <c r="E488" t="s">
        <v>630</v>
      </c>
      <c r="F488">
        <v>722</v>
      </c>
      <c r="G488" s="4">
        <v>15752</v>
      </c>
      <c r="H488" s="4">
        <v>11372944</v>
      </c>
      <c r="I488" t="s">
        <v>667</v>
      </c>
      <c r="J488" t="s">
        <v>671</v>
      </c>
      <c r="K488" t="s">
        <v>675</v>
      </c>
      <c r="L488" t="s">
        <v>680</v>
      </c>
      <c r="M488" t="s">
        <v>683</v>
      </c>
      <c r="N488" t="s">
        <v>692</v>
      </c>
      <c r="O488" t="s">
        <v>693</v>
      </c>
      <c r="P488" s="4">
        <v>11372944</v>
      </c>
      <c r="Q488">
        <v>0</v>
      </c>
      <c r="R488" s="7">
        <v>6.63</v>
      </c>
      <c r="S488" s="8">
        <f>Table1[[#This Row],[Discount_%]]/100</f>
        <v>6.6299999999999998E-2</v>
      </c>
      <c r="T488" s="6" t="s">
        <v>977</v>
      </c>
      <c r="U488" t="s">
        <v>988</v>
      </c>
      <c r="V488">
        <v>2024</v>
      </c>
      <c r="W488" t="s">
        <v>996</v>
      </c>
      <c r="X488" t="s">
        <v>997</v>
      </c>
      <c r="Y488" t="s">
        <v>1002</v>
      </c>
      <c r="Z488">
        <v>3</v>
      </c>
      <c r="AA488">
        <v>9</v>
      </c>
      <c r="AB488" s="4">
        <f>Table1[[#This Row],[Total_Price]]*(1-Table1[[#This Row],[Discount 2]])</f>
        <v>10618917.812799999</v>
      </c>
      <c r="AC488" s="4" t="str" cm="1">
        <f t="array" ref="AC488">_xlfn.IFS(Table1[[#This Row],[Revenue]]&gt;=30000000,"High Value",Table1[[#This Row],[Revenue]]&gt;=10000000,"Moderate Value",TRUE,"Low Value")</f>
        <v>Moderate Value</v>
      </c>
      <c r="AD488" t="str">
        <f>IF(Table1[[#This Row],[Discount 2]]&gt;=5%, "YES", "NO")</f>
        <v>YES</v>
      </c>
      <c r="AE488" t="str" cm="1">
        <f t="array" ref="AE488">_xlfn.IFS(Table1[[#This Row],[Revenue]]&gt;=30000000,"High Spender",Table1[[#This Row],[Revenue]]&gt;=10000000,"Moderate Spender",TRUE,"Low Spender")</f>
        <v>Moderate Spender</v>
      </c>
      <c r="AF488" s="4" t="str" cm="1">
        <f t="array" ref="AF488">_xlfn.IFS(Table1[[#This Row],[Land_Size_SQM]]&gt;=730,"LARGE",Table1[[#This Row],[Land_Size_SQM]]&gt;=465,"MEDIUM",TRUE,"SMALL")</f>
        <v>MEDIUM</v>
      </c>
    </row>
    <row r="489" spans="1:32" x14ac:dyDescent="0.3">
      <c r="A489" t="s">
        <v>513</v>
      </c>
      <c r="B489" t="s">
        <v>531</v>
      </c>
      <c r="C489" t="s">
        <v>626</v>
      </c>
      <c r="D489">
        <v>63</v>
      </c>
      <c r="E489" t="s">
        <v>630</v>
      </c>
      <c r="F489">
        <v>276</v>
      </c>
      <c r="G489" s="4">
        <v>38034</v>
      </c>
      <c r="H489" s="4">
        <v>10497384</v>
      </c>
      <c r="I489" t="s">
        <v>644</v>
      </c>
      <c r="J489" t="s">
        <v>668</v>
      </c>
      <c r="K489" t="s">
        <v>640</v>
      </c>
      <c r="L489" t="s">
        <v>682</v>
      </c>
      <c r="M489" t="s">
        <v>683</v>
      </c>
      <c r="N489" t="s">
        <v>692</v>
      </c>
      <c r="O489" t="s">
        <v>694</v>
      </c>
      <c r="P489" s="4">
        <v>3301791</v>
      </c>
      <c r="Q489">
        <v>12</v>
      </c>
      <c r="R489" s="7">
        <v>9.0399999999999991</v>
      </c>
      <c r="S489" s="8">
        <f>Table1[[#This Row],[Discount_%]]/100</f>
        <v>9.0399999999999994E-2</v>
      </c>
      <c r="T489" s="6" t="s">
        <v>978</v>
      </c>
      <c r="U489" t="s">
        <v>991</v>
      </c>
      <c r="V489">
        <v>2024</v>
      </c>
      <c r="W489" t="s">
        <v>996</v>
      </c>
      <c r="X489" t="s">
        <v>999</v>
      </c>
      <c r="Y489" t="s">
        <v>1001</v>
      </c>
      <c r="Z489">
        <v>3</v>
      </c>
      <c r="AA489">
        <v>41</v>
      </c>
      <c r="AB489" s="4">
        <f>Table1[[#This Row],[Total_Price]]*(1-Table1[[#This Row],[Discount 2]])</f>
        <v>9548420.4863999989</v>
      </c>
      <c r="AC489" s="4" t="str" cm="1">
        <f t="array" ref="AC489">_xlfn.IFS(Table1[[#This Row],[Revenue]]&gt;=30000000,"High Value",Table1[[#This Row],[Revenue]]&gt;=10000000,"Moderate Value",TRUE,"Low Value")</f>
        <v>Low Value</v>
      </c>
      <c r="AD489" t="str">
        <f>IF(Table1[[#This Row],[Discount 2]]&gt;=5%, "YES", "NO")</f>
        <v>YES</v>
      </c>
      <c r="AE489" t="str" cm="1">
        <f t="array" ref="AE489">_xlfn.IFS(Table1[[#This Row],[Revenue]]&gt;=30000000,"High Spender",Table1[[#This Row],[Revenue]]&gt;=10000000,"Moderate Spender",TRUE,"Low Spender")</f>
        <v>Low Spender</v>
      </c>
      <c r="AF489" s="4" t="str" cm="1">
        <f t="array" ref="AF489">_xlfn.IFS(Table1[[#This Row],[Land_Size_SQM]]&gt;=730,"LARGE",Table1[[#This Row],[Land_Size_SQM]]&gt;=465,"MEDIUM",TRUE,"SMALL")</f>
        <v>SMALL</v>
      </c>
    </row>
    <row r="490" spans="1:32" x14ac:dyDescent="0.3">
      <c r="A490" t="s">
        <v>514</v>
      </c>
      <c r="B490" t="s">
        <v>618</v>
      </c>
      <c r="C490" t="s">
        <v>626</v>
      </c>
      <c r="D490">
        <v>21</v>
      </c>
      <c r="E490" t="s">
        <v>629</v>
      </c>
      <c r="F490">
        <v>931</v>
      </c>
      <c r="G490" s="4">
        <v>26388</v>
      </c>
      <c r="H490" s="4">
        <v>24567228</v>
      </c>
      <c r="I490" t="s">
        <v>659</v>
      </c>
      <c r="J490" t="s">
        <v>668</v>
      </c>
      <c r="K490" t="s">
        <v>679</v>
      </c>
      <c r="L490" t="s">
        <v>680</v>
      </c>
      <c r="M490" t="s">
        <v>685</v>
      </c>
      <c r="N490" t="s">
        <v>690</v>
      </c>
      <c r="O490" t="s">
        <v>693</v>
      </c>
      <c r="P490" s="4">
        <v>24567228</v>
      </c>
      <c r="Q490">
        <v>0</v>
      </c>
      <c r="R490" s="7">
        <v>4.2</v>
      </c>
      <c r="S490" s="8">
        <f>Table1[[#This Row],[Discount_%]]/100</f>
        <v>4.2000000000000003E-2</v>
      </c>
      <c r="T490" s="6" t="s">
        <v>979</v>
      </c>
      <c r="U490" t="s">
        <v>987</v>
      </c>
      <c r="V490">
        <v>2024</v>
      </c>
      <c r="W490" t="s">
        <v>993</v>
      </c>
      <c r="X490" t="s">
        <v>997</v>
      </c>
      <c r="Y490" t="s">
        <v>1000</v>
      </c>
      <c r="Z490">
        <v>5</v>
      </c>
      <c r="AA490">
        <v>27</v>
      </c>
      <c r="AB490" s="4">
        <f>Table1[[#This Row],[Total_Price]]*(1-Table1[[#This Row],[Discount 2]])</f>
        <v>23535404.423999999</v>
      </c>
      <c r="AC490" s="4" t="str" cm="1">
        <f t="array" ref="AC490">_xlfn.IFS(Table1[[#This Row],[Revenue]]&gt;=30000000,"High Value",Table1[[#This Row],[Revenue]]&gt;=10000000,"Moderate Value",TRUE,"Low Value")</f>
        <v>Moderate Value</v>
      </c>
      <c r="AD490" t="str">
        <f>IF(Table1[[#This Row],[Discount 2]]&gt;=5%, "YES", "NO")</f>
        <v>NO</v>
      </c>
      <c r="AE490" t="str" cm="1">
        <f t="array" ref="AE490">_xlfn.IFS(Table1[[#This Row],[Revenue]]&gt;=30000000,"High Spender",Table1[[#This Row],[Revenue]]&gt;=10000000,"Moderate Spender",TRUE,"Low Spender")</f>
        <v>Moderate Spender</v>
      </c>
      <c r="AF490" s="4" t="str" cm="1">
        <f t="array" ref="AF490">_xlfn.IFS(Table1[[#This Row],[Land_Size_SQM]]&gt;=730,"LARGE",Table1[[#This Row],[Land_Size_SQM]]&gt;=465,"MEDIUM",TRUE,"SMALL")</f>
        <v>LARGE</v>
      </c>
    </row>
    <row r="491" spans="1:32" x14ac:dyDescent="0.3">
      <c r="A491" t="s">
        <v>515</v>
      </c>
      <c r="B491" t="s">
        <v>541</v>
      </c>
      <c r="C491" t="s">
        <v>627</v>
      </c>
      <c r="D491">
        <v>44</v>
      </c>
      <c r="E491" t="s">
        <v>628</v>
      </c>
      <c r="F491">
        <v>571</v>
      </c>
      <c r="G491" s="4">
        <v>23857</v>
      </c>
      <c r="H491" s="4">
        <v>13622347</v>
      </c>
      <c r="I491" t="s">
        <v>646</v>
      </c>
      <c r="J491" t="s">
        <v>673</v>
      </c>
      <c r="K491" t="s">
        <v>676</v>
      </c>
      <c r="L491" t="s">
        <v>680</v>
      </c>
      <c r="M491" t="s">
        <v>683</v>
      </c>
      <c r="N491" t="s">
        <v>692</v>
      </c>
      <c r="O491" t="s">
        <v>694</v>
      </c>
      <c r="P491" s="4">
        <v>6275224</v>
      </c>
      <c r="Q491">
        <v>6</v>
      </c>
      <c r="R491" s="7">
        <v>2.2599999999999998</v>
      </c>
      <c r="S491" s="8">
        <f>Table1[[#This Row],[Discount_%]]/100</f>
        <v>2.2599999999999999E-2</v>
      </c>
      <c r="T491" s="6" t="s">
        <v>980</v>
      </c>
      <c r="U491" t="s">
        <v>988</v>
      </c>
      <c r="V491">
        <v>2024</v>
      </c>
      <c r="W491" t="s">
        <v>994</v>
      </c>
      <c r="X491" t="s">
        <v>997</v>
      </c>
      <c r="Y491" t="s">
        <v>1002</v>
      </c>
      <c r="Z491">
        <v>1</v>
      </c>
      <c r="AA491">
        <v>34</v>
      </c>
      <c r="AB491" s="4">
        <f>Table1[[#This Row],[Total_Price]]*(1-Table1[[#This Row],[Discount 2]])</f>
        <v>13314481.957800001</v>
      </c>
      <c r="AC491" s="4" t="str" cm="1">
        <f t="array" ref="AC491">_xlfn.IFS(Table1[[#This Row],[Revenue]]&gt;=30000000,"High Value",Table1[[#This Row],[Revenue]]&gt;=10000000,"Moderate Value",TRUE,"Low Value")</f>
        <v>Moderate Value</v>
      </c>
      <c r="AD491" t="str">
        <f>IF(Table1[[#This Row],[Discount 2]]&gt;=5%, "YES", "NO")</f>
        <v>NO</v>
      </c>
      <c r="AE491" t="str" cm="1">
        <f t="array" ref="AE491">_xlfn.IFS(Table1[[#This Row],[Revenue]]&gt;=30000000,"High Spender",Table1[[#This Row],[Revenue]]&gt;=10000000,"Moderate Spender",TRUE,"Low Spender")</f>
        <v>Moderate Spender</v>
      </c>
      <c r="AF491" s="4" t="str" cm="1">
        <f t="array" ref="AF491">_xlfn.IFS(Table1[[#This Row],[Land_Size_SQM]]&gt;=730,"LARGE",Table1[[#This Row],[Land_Size_SQM]]&gt;=465,"MEDIUM",TRUE,"SMALL")</f>
        <v>MEDIUM</v>
      </c>
    </row>
    <row r="492" spans="1:32" x14ac:dyDescent="0.3">
      <c r="A492" t="s">
        <v>516</v>
      </c>
      <c r="B492" t="s">
        <v>579</v>
      </c>
      <c r="C492" t="s">
        <v>626</v>
      </c>
      <c r="D492">
        <v>50</v>
      </c>
      <c r="E492" t="s">
        <v>629</v>
      </c>
      <c r="F492">
        <v>488</v>
      </c>
      <c r="G492" s="4">
        <v>38145</v>
      </c>
      <c r="H492" s="4">
        <v>18614760</v>
      </c>
      <c r="I492" t="s">
        <v>636</v>
      </c>
      <c r="J492" t="s">
        <v>671</v>
      </c>
      <c r="K492" t="s">
        <v>674</v>
      </c>
      <c r="L492" t="s">
        <v>680</v>
      </c>
      <c r="M492" t="s">
        <v>687</v>
      </c>
      <c r="N492" t="s">
        <v>689</v>
      </c>
      <c r="O492" t="s">
        <v>694</v>
      </c>
      <c r="P492" s="4">
        <v>8729784</v>
      </c>
      <c r="Q492">
        <v>3</v>
      </c>
      <c r="R492" s="7">
        <v>1.71</v>
      </c>
      <c r="S492" s="8">
        <f>Table1[[#This Row],[Discount_%]]/100</f>
        <v>1.7100000000000001E-2</v>
      </c>
      <c r="T492" s="6" t="s">
        <v>721</v>
      </c>
      <c r="U492" t="s">
        <v>991</v>
      </c>
      <c r="V492">
        <v>2024</v>
      </c>
      <c r="W492" t="s">
        <v>996</v>
      </c>
      <c r="X492" t="s">
        <v>997</v>
      </c>
      <c r="Y492" t="s">
        <v>1000</v>
      </c>
      <c r="Z492">
        <v>2</v>
      </c>
      <c r="AA492">
        <v>25</v>
      </c>
      <c r="AB492" s="4">
        <f>Table1[[#This Row],[Total_Price]]*(1-Table1[[#This Row],[Discount 2]])</f>
        <v>18296447.603999998</v>
      </c>
      <c r="AC492" s="4" t="str" cm="1">
        <f t="array" ref="AC492">_xlfn.IFS(Table1[[#This Row],[Revenue]]&gt;=30000000,"High Value",Table1[[#This Row],[Revenue]]&gt;=10000000,"Moderate Value",TRUE,"Low Value")</f>
        <v>Moderate Value</v>
      </c>
      <c r="AD492" t="str">
        <f>IF(Table1[[#This Row],[Discount 2]]&gt;=5%, "YES", "NO")</f>
        <v>NO</v>
      </c>
      <c r="AE492" t="str" cm="1">
        <f t="array" ref="AE492">_xlfn.IFS(Table1[[#This Row],[Revenue]]&gt;=30000000,"High Spender",Table1[[#This Row],[Revenue]]&gt;=10000000,"Moderate Spender",TRUE,"Low Spender")</f>
        <v>Moderate Spender</v>
      </c>
      <c r="AF492" s="4" t="str" cm="1">
        <f t="array" ref="AF492">_xlfn.IFS(Table1[[#This Row],[Land_Size_SQM]]&gt;=730,"LARGE",Table1[[#This Row],[Land_Size_SQM]]&gt;=465,"MEDIUM",TRUE,"SMALL")</f>
        <v>MEDIUM</v>
      </c>
    </row>
    <row r="493" spans="1:32" x14ac:dyDescent="0.3">
      <c r="A493" t="s">
        <v>517</v>
      </c>
      <c r="B493" t="s">
        <v>548</v>
      </c>
      <c r="C493" t="s">
        <v>626</v>
      </c>
      <c r="D493">
        <v>49</v>
      </c>
      <c r="E493" t="s">
        <v>629</v>
      </c>
      <c r="F493">
        <v>254</v>
      </c>
      <c r="G493" s="4">
        <v>49541</v>
      </c>
      <c r="H493" s="4">
        <v>12583414</v>
      </c>
      <c r="I493" t="s">
        <v>655</v>
      </c>
      <c r="J493" t="s">
        <v>672</v>
      </c>
      <c r="K493" t="s">
        <v>677</v>
      </c>
      <c r="L493" t="s">
        <v>681</v>
      </c>
      <c r="M493" t="s">
        <v>687</v>
      </c>
      <c r="N493" t="s">
        <v>691</v>
      </c>
      <c r="O493" t="s">
        <v>694</v>
      </c>
      <c r="P493" s="4">
        <v>5076962</v>
      </c>
      <c r="Q493">
        <v>6</v>
      </c>
      <c r="R493" s="7">
        <v>4.18</v>
      </c>
      <c r="S493" s="8">
        <f>Table1[[#This Row],[Discount_%]]/100</f>
        <v>4.1799999999999997E-2</v>
      </c>
      <c r="T493" s="6" t="s">
        <v>899</v>
      </c>
      <c r="U493" t="s">
        <v>989</v>
      </c>
      <c r="V493">
        <v>2024</v>
      </c>
      <c r="W493" t="s">
        <v>996</v>
      </c>
      <c r="X493" t="s">
        <v>998</v>
      </c>
      <c r="Y493" t="s">
        <v>1001</v>
      </c>
      <c r="Z493">
        <v>1</v>
      </c>
      <c r="AA493">
        <v>20</v>
      </c>
      <c r="AB493" s="4">
        <f>Table1[[#This Row],[Total_Price]]*(1-Table1[[#This Row],[Discount 2]])</f>
        <v>12057427.2948</v>
      </c>
      <c r="AC493" s="4" t="str" cm="1">
        <f t="array" ref="AC493">_xlfn.IFS(Table1[[#This Row],[Revenue]]&gt;=30000000,"High Value",Table1[[#This Row],[Revenue]]&gt;=10000000,"Moderate Value",TRUE,"Low Value")</f>
        <v>Moderate Value</v>
      </c>
      <c r="AD493" t="str">
        <f>IF(Table1[[#This Row],[Discount 2]]&gt;=5%, "YES", "NO")</f>
        <v>NO</v>
      </c>
      <c r="AE493" t="str" cm="1">
        <f t="array" ref="AE493">_xlfn.IFS(Table1[[#This Row],[Revenue]]&gt;=30000000,"High Spender",Table1[[#This Row],[Revenue]]&gt;=10000000,"Moderate Spender",TRUE,"Low Spender")</f>
        <v>Moderate Spender</v>
      </c>
      <c r="AF493" s="4" t="str" cm="1">
        <f t="array" ref="AF493">_xlfn.IFS(Table1[[#This Row],[Land_Size_SQM]]&gt;=730,"LARGE",Table1[[#This Row],[Land_Size_SQM]]&gt;=465,"MEDIUM",TRUE,"SMALL")</f>
        <v>SMALL</v>
      </c>
    </row>
    <row r="494" spans="1:32" x14ac:dyDescent="0.3">
      <c r="A494" t="s">
        <v>518</v>
      </c>
      <c r="B494" t="s">
        <v>556</v>
      </c>
      <c r="C494" t="s">
        <v>627</v>
      </c>
      <c r="D494">
        <v>25</v>
      </c>
      <c r="E494" t="s">
        <v>629</v>
      </c>
      <c r="F494">
        <v>292</v>
      </c>
      <c r="G494" s="4">
        <v>43594</v>
      </c>
      <c r="H494" s="4">
        <v>12729448</v>
      </c>
      <c r="I494" t="s">
        <v>658</v>
      </c>
      <c r="J494" t="s">
        <v>670</v>
      </c>
      <c r="K494" t="s">
        <v>651</v>
      </c>
      <c r="L494" t="s">
        <v>681</v>
      </c>
      <c r="M494" t="s">
        <v>686</v>
      </c>
      <c r="N494" t="s">
        <v>691</v>
      </c>
      <c r="O494" t="s">
        <v>693</v>
      </c>
      <c r="P494" s="4">
        <v>12729448</v>
      </c>
      <c r="Q494">
        <v>0</v>
      </c>
      <c r="R494" s="7">
        <v>0.77</v>
      </c>
      <c r="S494" s="8">
        <f>Table1[[#This Row],[Discount_%]]/100</f>
        <v>7.7000000000000002E-3</v>
      </c>
      <c r="T494" s="6" t="s">
        <v>723</v>
      </c>
      <c r="U494" t="s">
        <v>992</v>
      </c>
      <c r="V494">
        <v>2024</v>
      </c>
      <c r="W494" t="s">
        <v>993</v>
      </c>
      <c r="X494" t="s">
        <v>998</v>
      </c>
      <c r="Y494" t="s">
        <v>1001</v>
      </c>
      <c r="Z494">
        <v>5</v>
      </c>
      <c r="AA494">
        <v>47</v>
      </c>
      <c r="AB494" s="4">
        <f>Table1[[#This Row],[Total_Price]]*(1-Table1[[#This Row],[Discount 2]])</f>
        <v>12631431.250399999</v>
      </c>
      <c r="AC494" s="4" t="str" cm="1">
        <f t="array" ref="AC494">_xlfn.IFS(Table1[[#This Row],[Revenue]]&gt;=30000000,"High Value",Table1[[#This Row],[Revenue]]&gt;=10000000,"Moderate Value",TRUE,"Low Value")</f>
        <v>Moderate Value</v>
      </c>
      <c r="AD494" t="str">
        <f>IF(Table1[[#This Row],[Discount 2]]&gt;=5%, "YES", "NO")</f>
        <v>NO</v>
      </c>
      <c r="AE494" t="str" cm="1">
        <f t="array" ref="AE494">_xlfn.IFS(Table1[[#This Row],[Revenue]]&gt;=30000000,"High Spender",Table1[[#This Row],[Revenue]]&gt;=10000000,"Moderate Spender",TRUE,"Low Spender")</f>
        <v>Moderate Spender</v>
      </c>
      <c r="AF494" s="4" t="str" cm="1">
        <f t="array" ref="AF494">_xlfn.IFS(Table1[[#This Row],[Land_Size_SQM]]&gt;=730,"LARGE",Table1[[#This Row],[Land_Size_SQM]]&gt;=465,"MEDIUM",TRUE,"SMALL")</f>
        <v>SMALL</v>
      </c>
    </row>
    <row r="495" spans="1:32" x14ac:dyDescent="0.3">
      <c r="A495" t="s">
        <v>519</v>
      </c>
      <c r="B495" t="s">
        <v>607</v>
      </c>
      <c r="C495" t="s">
        <v>626</v>
      </c>
      <c r="D495">
        <v>64</v>
      </c>
      <c r="E495" t="s">
        <v>629</v>
      </c>
      <c r="F495">
        <v>727</v>
      </c>
      <c r="G495" s="4">
        <v>46900</v>
      </c>
      <c r="H495" s="4">
        <v>34096300</v>
      </c>
      <c r="I495" t="s">
        <v>632</v>
      </c>
      <c r="J495" t="s">
        <v>669</v>
      </c>
      <c r="K495" t="s">
        <v>678</v>
      </c>
      <c r="L495" t="s">
        <v>682</v>
      </c>
      <c r="M495" t="s">
        <v>687</v>
      </c>
      <c r="N495" t="s">
        <v>688</v>
      </c>
      <c r="O495" t="s">
        <v>693</v>
      </c>
      <c r="P495" s="4">
        <v>34096300</v>
      </c>
      <c r="Q495">
        <v>0</v>
      </c>
      <c r="R495" s="7">
        <v>4.05</v>
      </c>
      <c r="S495" s="8">
        <f>Table1[[#This Row],[Discount_%]]/100</f>
        <v>4.0500000000000001E-2</v>
      </c>
      <c r="T495" s="6" t="s">
        <v>746</v>
      </c>
      <c r="U495" t="s">
        <v>983</v>
      </c>
      <c r="V495">
        <v>2024</v>
      </c>
      <c r="W495" t="s">
        <v>993</v>
      </c>
      <c r="X495" t="s">
        <v>997</v>
      </c>
      <c r="Y495" t="s">
        <v>1002</v>
      </c>
      <c r="Z495">
        <v>2</v>
      </c>
      <c r="AA495">
        <v>44</v>
      </c>
      <c r="AB495" s="4">
        <f>Table1[[#This Row],[Total_Price]]*(1-Table1[[#This Row],[Discount 2]])</f>
        <v>32715399.850000001</v>
      </c>
      <c r="AC495" s="4" t="str" cm="1">
        <f t="array" ref="AC495">_xlfn.IFS(Table1[[#This Row],[Revenue]]&gt;=30000000,"High Value",Table1[[#This Row],[Revenue]]&gt;=10000000,"Moderate Value",TRUE,"Low Value")</f>
        <v>High Value</v>
      </c>
      <c r="AD495" t="str">
        <f>IF(Table1[[#This Row],[Discount 2]]&gt;=5%, "YES", "NO")</f>
        <v>NO</v>
      </c>
      <c r="AE495" t="str" cm="1">
        <f t="array" ref="AE495">_xlfn.IFS(Table1[[#This Row],[Revenue]]&gt;=30000000,"High Spender",Table1[[#This Row],[Revenue]]&gt;=10000000,"Moderate Spender",TRUE,"Low Spender")</f>
        <v>High Spender</v>
      </c>
      <c r="AF495" s="4" t="str" cm="1">
        <f t="array" ref="AF495">_xlfn.IFS(Table1[[#This Row],[Land_Size_SQM]]&gt;=730,"LARGE",Table1[[#This Row],[Land_Size_SQM]]&gt;=465,"MEDIUM",TRUE,"SMALL")</f>
        <v>MEDIUM</v>
      </c>
    </row>
    <row r="496" spans="1:32" x14ac:dyDescent="0.3">
      <c r="A496" t="s">
        <v>520</v>
      </c>
      <c r="B496" t="s">
        <v>552</v>
      </c>
      <c r="C496" t="s">
        <v>626</v>
      </c>
      <c r="D496">
        <v>30</v>
      </c>
      <c r="E496" t="s">
        <v>630</v>
      </c>
      <c r="F496">
        <v>276</v>
      </c>
      <c r="G496" s="4">
        <v>26055</v>
      </c>
      <c r="H496" s="4">
        <v>7191180</v>
      </c>
      <c r="I496" t="s">
        <v>640</v>
      </c>
      <c r="J496" t="s">
        <v>672</v>
      </c>
      <c r="K496" t="s">
        <v>638</v>
      </c>
      <c r="L496" t="s">
        <v>680</v>
      </c>
      <c r="M496" t="s">
        <v>687</v>
      </c>
      <c r="N496" t="s">
        <v>688</v>
      </c>
      <c r="O496" t="s">
        <v>693</v>
      </c>
      <c r="P496" s="4">
        <v>7191180</v>
      </c>
      <c r="Q496">
        <v>0</v>
      </c>
      <c r="R496" s="7">
        <v>5.14</v>
      </c>
      <c r="S496" s="8">
        <f>Table1[[#This Row],[Discount_%]]/100</f>
        <v>5.1399999999999994E-2</v>
      </c>
      <c r="T496" s="6" t="s">
        <v>730</v>
      </c>
      <c r="U496" t="s">
        <v>988</v>
      </c>
      <c r="V496">
        <v>2024</v>
      </c>
      <c r="W496" t="s">
        <v>993</v>
      </c>
      <c r="X496" t="s">
        <v>998</v>
      </c>
      <c r="Y496" t="s">
        <v>1002</v>
      </c>
      <c r="Z496">
        <v>4</v>
      </c>
      <c r="AA496">
        <v>19</v>
      </c>
      <c r="AB496" s="4">
        <f>Table1[[#This Row],[Total_Price]]*(1-Table1[[#This Row],[Discount 2]])</f>
        <v>6821553.3480000002</v>
      </c>
      <c r="AC496" s="4" t="str" cm="1">
        <f t="array" ref="AC496">_xlfn.IFS(Table1[[#This Row],[Revenue]]&gt;=30000000,"High Value",Table1[[#This Row],[Revenue]]&gt;=10000000,"Moderate Value",TRUE,"Low Value")</f>
        <v>Low Value</v>
      </c>
      <c r="AD496" t="str">
        <f>IF(Table1[[#This Row],[Discount 2]]&gt;=5%, "YES", "NO")</f>
        <v>YES</v>
      </c>
      <c r="AE496" t="str" cm="1">
        <f t="array" ref="AE496">_xlfn.IFS(Table1[[#This Row],[Revenue]]&gt;=30000000,"High Spender",Table1[[#This Row],[Revenue]]&gt;=10000000,"Moderate Spender",TRUE,"Low Spender")</f>
        <v>Low Spender</v>
      </c>
      <c r="AF496" s="4" t="str" cm="1">
        <f t="array" ref="AF496">_xlfn.IFS(Table1[[#This Row],[Land_Size_SQM]]&gt;=730,"LARGE",Table1[[#This Row],[Land_Size_SQM]]&gt;=465,"MEDIUM",TRUE,"SMALL")</f>
        <v>SMALL</v>
      </c>
    </row>
    <row r="497" spans="1:32" x14ac:dyDescent="0.3">
      <c r="A497" t="s">
        <v>521</v>
      </c>
      <c r="B497" t="s">
        <v>563</v>
      </c>
      <c r="C497" t="s">
        <v>626</v>
      </c>
      <c r="D497">
        <v>59</v>
      </c>
      <c r="E497" t="s">
        <v>630</v>
      </c>
      <c r="F497">
        <v>955</v>
      </c>
      <c r="G497" s="4">
        <v>43364</v>
      </c>
      <c r="H497" s="4">
        <v>41412620</v>
      </c>
      <c r="I497" t="s">
        <v>648</v>
      </c>
      <c r="J497" t="s">
        <v>671</v>
      </c>
      <c r="K497" t="s">
        <v>664</v>
      </c>
      <c r="L497" t="s">
        <v>680</v>
      </c>
      <c r="M497" t="s">
        <v>687</v>
      </c>
      <c r="N497" t="s">
        <v>689</v>
      </c>
      <c r="O497" t="s">
        <v>694</v>
      </c>
      <c r="P497" s="4">
        <v>19750379</v>
      </c>
      <c r="Q497">
        <v>6</v>
      </c>
      <c r="R497" s="7">
        <v>9.2899999999999991</v>
      </c>
      <c r="S497" s="8">
        <f>Table1[[#This Row],[Discount_%]]/100</f>
        <v>9.2899999999999996E-2</v>
      </c>
      <c r="T497" s="6" t="s">
        <v>769</v>
      </c>
      <c r="U497" t="s">
        <v>983</v>
      </c>
      <c r="V497">
        <v>2024</v>
      </c>
      <c r="W497" t="s">
        <v>995</v>
      </c>
      <c r="X497" t="s">
        <v>998</v>
      </c>
      <c r="Y497" t="s">
        <v>1002</v>
      </c>
      <c r="Z497">
        <v>3</v>
      </c>
      <c r="AA497">
        <v>7</v>
      </c>
      <c r="AB497" s="4">
        <f>Table1[[#This Row],[Total_Price]]*(1-Table1[[#This Row],[Discount 2]])</f>
        <v>37565387.601999998</v>
      </c>
      <c r="AC497" s="4" t="str" cm="1">
        <f t="array" ref="AC497">_xlfn.IFS(Table1[[#This Row],[Revenue]]&gt;=30000000,"High Value",Table1[[#This Row],[Revenue]]&gt;=10000000,"Moderate Value",TRUE,"Low Value")</f>
        <v>High Value</v>
      </c>
      <c r="AD497" t="str">
        <f>IF(Table1[[#This Row],[Discount 2]]&gt;=5%, "YES", "NO")</f>
        <v>YES</v>
      </c>
      <c r="AE497" t="str" cm="1">
        <f t="array" ref="AE497">_xlfn.IFS(Table1[[#This Row],[Revenue]]&gt;=30000000,"High Spender",Table1[[#This Row],[Revenue]]&gt;=10000000,"Moderate Spender",TRUE,"Low Spender")</f>
        <v>High Spender</v>
      </c>
      <c r="AF497" s="4" t="str" cm="1">
        <f t="array" ref="AF497">_xlfn.IFS(Table1[[#This Row],[Land_Size_SQM]]&gt;=730,"LARGE",Table1[[#This Row],[Land_Size_SQM]]&gt;=465,"MEDIUM",TRUE,"SMALL")</f>
        <v>LARGE</v>
      </c>
    </row>
    <row r="498" spans="1:32" x14ac:dyDescent="0.3">
      <c r="A498" t="s">
        <v>522</v>
      </c>
      <c r="B498" t="s">
        <v>616</v>
      </c>
      <c r="C498" t="s">
        <v>627</v>
      </c>
      <c r="D498">
        <v>46</v>
      </c>
      <c r="E498" t="s">
        <v>628</v>
      </c>
      <c r="F498">
        <v>611</v>
      </c>
      <c r="G498" s="4">
        <v>25234</v>
      </c>
      <c r="H498" s="4">
        <v>15417974</v>
      </c>
      <c r="I498" t="s">
        <v>646</v>
      </c>
      <c r="J498" t="s">
        <v>673</v>
      </c>
      <c r="K498" t="s">
        <v>638</v>
      </c>
      <c r="L498" t="s">
        <v>681</v>
      </c>
      <c r="M498" t="s">
        <v>685</v>
      </c>
      <c r="N498" t="s">
        <v>688</v>
      </c>
      <c r="O498" t="s">
        <v>693</v>
      </c>
      <c r="P498" s="4">
        <v>15417974</v>
      </c>
      <c r="Q498">
        <v>0</v>
      </c>
      <c r="R498" s="7">
        <v>1.01</v>
      </c>
      <c r="S498" s="8">
        <f>Table1[[#This Row],[Discount_%]]/100</f>
        <v>1.01E-2</v>
      </c>
      <c r="T498" s="6" t="s">
        <v>925</v>
      </c>
      <c r="U498" t="s">
        <v>986</v>
      </c>
      <c r="V498">
        <v>2024</v>
      </c>
      <c r="W498" t="s">
        <v>994</v>
      </c>
      <c r="X498" t="s">
        <v>999</v>
      </c>
      <c r="Y498" t="s">
        <v>1002</v>
      </c>
      <c r="Z498">
        <v>4</v>
      </c>
      <c r="AA498">
        <v>24</v>
      </c>
      <c r="AB498" s="4">
        <f>Table1[[#This Row],[Total_Price]]*(1-Table1[[#This Row],[Discount 2]])</f>
        <v>15262252.4626</v>
      </c>
      <c r="AC498" s="4" t="str" cm="1">
        <f t="array" ref="AC498">_xlfn.IFS(Table1[[#This Row],[Revenue]]&gt;=30000000,"High Value",Table1[[#This Row],[Revenue]]&gt;=10000000,"Moderate Value",TRUE,"Low Value")</f>
        <v>Moderate Value</v>
      </c>
      <c r="AD498" t="str">
        <f>IF(Table1[[#This Row],[Discount 2]]&gt;=5%, "YES", "NO")</f>
        <v>NO</v>
      </c>
      <c r="AE498" t="str" cm="1">
        <f t="array" ref="AE498">_xlfn.IFS(Table1[[#This Row],[Revenue]]&gt;=30000000,"High Spender",Table1[[#This Row],[Revenue]]&gt;=10000000,"Moderate Spender",TRUE,"Low Spender")</f>
        <v>Moderate Spender</v>
      </c>
      <c r="AF498" s="4" t="str" cm="1">
        <f t="array" ref="AF498">_xlfn.IFS(Table1[[#This Row],[Land_Size_SQM]]&gt;=730,"LARGE",Table1[[#This Row],[Land_Size_SQM]]&gt;=465,"MEDIUM",TRUE,"SMALL")</f>
        <v>MEDIUM</v>
      </c>
    </row>
    <row r="499" spans="1:32" x14ac:dyDescent="0.3">
      <c r="A499" t="s">
        <v>523</v>
      </c>
      <c r="B499" t="s">
        <v>534</v>
      </c>
      <c r="C499" t="s">
        <v>626</v>
      </c>
      <c r="D499">
        <v>47</v>
      </c>
      <c r="E499" t="s">
        <v>628</v>
      </c>
      <c r="F499">
        <v>386</v>
      </c>
      <c r="G499" s="4">
        <v>37155</v>
      </c>
      <c r="H499" s="4">
        <v>14341830</v>
      </c>
      <c r="I499" t="s">
        <v>657</v>
      </c>
      <c r="J499" t="s">
        <v>671</v>
      </c>
      <c r="K499" t="s">
        <v>640</v>
      </c>
      <c r="L499" t="s">
        <v>681</v>
      </c>
      <c r="M499" t="s">
        <v>683</v>
      </c>
      <c r="N499" t="s">
        <v>689</v>
      </c>
      <c r="O499" t="s">
        <v>694</v>
      </c>
      <c r="P499" s="4">
        <v>7125176</v>
      </c>
      <c r="Q499">
        <v>3</v>
      </c>
      <c r="R499" s="7">
        <v>6.56</v>
      </c>
      <c r="S499" s="8">
        <f>Table1[[#This Row],[Discount_%]]/100</f>
        <v>6.5599999999999992E-2</v>
      </c>
      <c r="T499" s="6" t="s">
        <v>955</v>
      </c>
      <c r="U499" t="s">
        <v>989</v>
      </c>
      <c r="V499">
        <v>2024</v>
      </c>
      <c r="W499" t="s">
        <v>996</v>
      </c>
      <c r="X499" t="s">
        <v>998</v>
      </c>
      <c r="Y499" t="s">
        <v>1000</v>
      </c>
      <c r="Z499">
        <v>2</v>
      </c>
      <c r="AA499">
        <v>26</v>
      </c>
      <c r="AB499" s="4">
        <f>Table1[[#This Row],[Total_Price]]*(1-Table1[[#This Row],[Discount 2]])</f>
        <v>13401005.952</v>
      </c>
      <c r="AC499" s="4" t="str" cm="1">
        <f t="array" ref="AC499">_xlfn.IFS(Table1[[#This Row],[Revenue]]&gt;=30000000,"High Value",Table1[[#This Row],[Revenue]]&gt;=10000000,"Moderate Value",TRUE,"Low Value")</f>
        <v>Moderate Value</v>
      </c>
      <c r="AD499" t="str">
        <f>IF(Table1[[#This Row],[Discount 2]]&gt;=5%, "YES", "NO")</f>
        <v>YES</v>
      </c>
      <c r="AE499" t="str" cm="1">
        <f t="array" ref="AE499">_xlfn.IFS(Table1[[#This Row],[Revenue]]&gt;=30000000,"High Spender",Table1[[#This Row],[Revenue]]&gt;=10000000,"Moderate Spender",TRUE,"Low Spender")</f>
        <v>Moderate Spender</v>
      </c>
      <c r="AF499" s="4" t="str" cm="1">
        <f t="array" ref="AF499">_xlfn.IFS(Table1[[#This Row],[Land_Size_SQM]]&gt;=730,"LARGE",Table1[[#This Row],[Land_Size_SQM]]&gt;=465,"MEDIUM",TRUE,"SMALL")</f>
        <v>SMALL</v>
      </c>
    </row>
    <row r="500" spans="1:32" x14ac:dyDescent="0.3">
      <c r="A500" t="s">
        <v>524</v>
      </c>
      <c r="B500" t="s">
        <v>602</v>
      </c>
      <c r="C500" t="s">
        <v>626</v>
      </c>
      <c r="D500">
        <v>51</v>
      </c>
      <c r="E500" t="s">
        <v>629</v>
      </c>
      <c r="F500">
        <v>232</v>
      </c>
      <c r="G500" s="4">
        <v>12506</v>
      </c>
      <c r="H500" s="4">
        <v>2901392</v>
      </c>
      <c r="I500" t="s">
        <v>634</v>
      </c>
      <c r="J500" t="s">
        <v>670</v>
      </c>
      <c r="K500" t="s">
        <v>651</v>
      </c>
      <c r="L500" t="s">
        <v>681</v>
      </c>
      <c r="M500" t="s">
        <v>683</v>
      </c>
      <c r="N500" t="s">
        <v>690</v>
      </c>
      <c r="O500" t="s">
        <v>693</v>
      </c>
      <c r="P500" s="4">
        <v>2901392</v>
      </c>
      <c r="Q500">
        <v>0</v>
      </c>
      <c r="R500" s="7">
        <v>9.48</v>
      </c>
      <c r="S500" s="8">
        <f>Table1[[#This Row],[Discount_%]]/100</f>
        <v>9.4800000000000009E-2</v>
      </c>
      <c r="T500" s="6" t="s">
        <v>972</v>
      </c>
      <c r="U500" t="s">
        <v>984</v>
      </c>
      <c r="V500">
        <v>2024</v>
      </c>
      <c r="W500" t="s">
        <v>995</v>
      </c>
      <c r="X500" t="s">
        <v>997</v>
      </c>
      <c r="Y500" t="s">
        <v>1001</v>
      </c>
      <c r="Z500">
        <v>4</v>
      </c>
      <c r="AA500">
        <v>9</v>
      </c>
      <c r="AB500" s="4">
        <f>Table1[[#This Row],[Total_Price]]*(1-Table1[[#This Row],[Discount 2]])</f>
        <v>2626340.0384</v>
      </c>
      <c r="AC500" s="4" t="str" cm="1">
        <f t="array" ref="AC500">_xlfn.IFS(Table1[[#This Row],[Revenue]]&gt;=30000000,"High Value",Table1[[#This Row],[Revenue]]&gt;=10000000,"Moderate Value",TRUE,"Low Value")</f>
        <v>Low Value</v>
      </c>
      <c r="AD500" t="str">
        <f>IF(Table1[[#This Row],[Discount 2]]&gt;=5%, "YES", "NO")</f>
        <v>YES</v>
      </c>
      <c r="AE500" t="str" cm="1">
        <f t="array" ref="AE500">_xlfn.IFS(Table1[[#This Row],[Revenue]]&gt;=30000000,"High Spender",Table1[[#This Row],[Revenue]]&gt;=10000000,"Moderate Spender",TRUE,"Low Spender")</f>
        <v>Low Spender</v>
      </c>
      <c r="AF500" s="4" t="str" cm="1">
        <f t="array" ref="AF500">_xlfn.IFS(Table1[[#This Row],[Land_Size_SQM]]&gt;=730,"LARGE",Table1[[#This Row],[Land_Size_SQM]]&gt;=465,"MEDIUM",TRUE,"SMALL")</f>
        <v>SMALL</v>
      </c>
    </row>
    <row r="501" spans="1:32" x14ac:dyDescent="0.3">
      <c r="A501" t="s">
        <v>525</v>
      </c>
      <c r="B501" t="s">
        <v>618</v>
      </c>
      <c r="C501" t="s">
        <v>627</v>
      </c>
      <c r="D501">
        <v>47</v>
      </c>
      <c r="E501" t="s">
        <v>630</v>
      </c>
      <c r="F501">
        <v>329</v>
      </c>
      <c r="G501" s="4">
        <v>12193</v>
      </c>
      <c r="H501" s="4">
        <v>4011497</v>
      </c>
      <c r="I501" t="s">
        <v>664</v>
      </c>
      <c r="J501" t="s">
        <v>673</v>
      </c>
      <c r="K501" t="s">
        <v>664</v>
      </c>
      <c r="L501" t="s">
        <v>681</v>
      </c>
      <c r="M501" t="s">
        <v>687</v>
      </c>
      <c r="N501" t="s">
        <v>691</v>
      </c>
      <c r="O501" t="s">
        <v>694</v>
      </c>
      <c r="P501" s="4">
        <v>1725808</v>
      </c>
      <c r="Q501">
        <v>3</v>
      </c>
      <c r="R501" s="7">
        <v>2.37</v>
      </c>
      <c r="S501" s="8">
        <f>Table1[[#This Row],[Discount_%]]/100</f>
        <v>2.3700000000000002E-2</v>
      </c>
      <c r="T501" s="6" t="s">
        <v>876</v>
      </c>
      <c r="U501" t="s">
        <v>984</v>
      </c>
      <c r="V501">
        <v>2024</v>
      </c>
      <c r="W501" t="s">
        <v>993</v>
      </c>
      <c r="X501" t="s">
        <v>998</v>
      </c>
      <c r="Y501" t="s">
        <v>1000</v>
      </c>
      <c r="Z501">
        <v>5</v>
      </c>
      <c r="AA501">
        <v>10</v>
      </c>
      <c r="AB501" s="4">
        <f>Table1[[#This Row],[Total_Price]]*(1-Table1[[#This Row],[Discount 2]])</f>
        <v>3916424.5211</v>
      </c>
      <c r="AC501" s="4" t="str" cm="1">
        <f t="array" ref="AC501">_xlfn.IFS(Table1[[#This Row],[Revenue]]&gt;=30000000,"High Value",Table1[[#This Row],[Revenue]]&gt;=10000000,"Moderate Value",TRUE,"Low Value")</f>
        <v>Low Value</v>
      </c>
      <c r="AD501" t="str">
        <f>IF(Table1[[#This Row],[Discount 2]]&gt;=5%, "YES", "NO")</f>
        <v>NO</v>
      </c>
      <c r="AE501" t="str" cm="1">
        <f t="array" ref="AE501">_xlfn.IFS(Table1[[#This Row],[Revenue]]&gt;=30000000,"High Spender",Table1[[#This Row],[Revenue]]&gt;=10000000,"Moderate Spender",TRUE,"Low Spender")</f>
        <v>Low Spender</v>
      </c>
      <c r="AF501" s="4" t="str" cm="1">
        <f t="array" ref="AF501">_xlfn.IFS(Table1[[#This Row],[Land_Size_SQM]]&gt;=730,"LARGE",Table1[[#This Row],[Land_Size_SQM]]&gt;=465,"MEDIUM",TRUE,"SMALL")</f>
        <v>SMALL</v>
      </c>
    </row>
  </sheetData>
  <dataValidations count="9">
    <dataValidation type="list" allowBlank="1" showInputMessage="1" showErrorMessage="1" errorTitle="Wrong Computation" error="You have inputed the wrong data" promptTitle="Gender" prompt="Female, Male" sqref="C2:C501" xr:uid="{5088A2DB-1715-4E6C-B0FD-2AF349E46BFA}">
      <formula1>"Male, Female"</formula1>
    </dataValidation>
    <dataValidation type="list" allowBlank="1" showInputMessage="1" showErrorMessage="1" errorTitle="Wrong data" error="You have inputed the wrong data" promptTitle="Property Type" prompt="Residential Land, Mixed-use Land, Commercial Land" sqref="E1:E1048576" xr:uid="{EFC75891-C345-454F-9321-A26607BBB246}">
      <formula1>"Residential Land, Mixed-use Land, Commercial Land"</formula1>
    </dataValidation>
    <dataValidation type="list" allowBlank="1" showInputMessage="1" showErrorMessage="1" errorTitle="Wrong input" error="You have inputed the wrong data" promptTitle="Payment Type" prompt="Outright, Installment" sqref="O2:O501" xr:uid="{0D8F79D6-7B7B-4996-9D68-B3A9A1290FF3}">
      <formula1>"Outright, Installment"</formula1>
    </dataValidation>
    <dataValidation type="list" allowBlank="1" showInputMessage="1" showErrorMessage="1" errorTitle="Wrong input" error="You have entered the wrong data" promptTitle="Customer Type" prompt="First-time Buyer, Developer, Investor" sqref="X2:X501" xr:uid="{BC698137-A368-41E3-A1BA-A72B1886E332}">
      <formula1>"First-time Buyer, Developer, Investor"</formula1>
    </dataValidation>
    <dataValidation type="list" allowBlank="1" showInputMessage="1" showErrorMessage="1" errorTitle="Wrong Input" error="You have inserted the wrong input" promptTitle="Marketing Channel" prompt="Referral, Online, Billboard, Agent" sqref="W2:W501" xr:uid="{3DFA457E-F50E-4CBA-9026-71AC100F28D6}">
      <formula1>"Referral, Online, Billboard, Agent"</formula1>
    </dataValidation>
    <dataValidation type="decimal" allowBlank="1" showInputMessage="1" showErrorMessage="1" errorTitle="Wrong input" error="Discount entered is above or below the required discount" promptTitle="Discount 2" prompt="Discount should be between 0.00% and 9.99%" sqref="S1:S501" xr:uid="{C07B70AA-7FB4-457D-BAD8-F2D5564FFA98}">
      <formula1>0</formula1>
      <formula2>9.99</formula2>
    </dataValidation>
    <dataValidation type="whole" allowBlank="1" showInputMessage="1" showErrorMessage="1" errorTitle="Wrong data" error="You have input number above or below the required rating" promptTitle="Satisfaction Rating" prompt="Satisfaction rating should be between 1 to 5" sqref="Z2:Z501" xr:uid="{2614A5AF-4B35-45B1-9C46-37962619AA4B}">
      <formula1>1</formula1>
      <formula2>5</formula2>
    </dataValidation>
    <dataValidation type="whole" allowBlank="1" showInputMessage="1" showErrorMessage="1" errorTitle="Wrong input" error="Number above or below the required number" promptTitle="Price per SQM" prompt="Price should be between 2,281 to 49,914" sqref="G1:G1048576" xr:uid="{AAC41AAB-F722-401F-9AB5-ED348008FC1F}">
      <formula1>2281</formula1>
      <formula2>49914</formula2>
    </dataValidation>
    <dataValidation type="whole" allowBlank="1" showInputMessage="1" showErrorMessage="1" errorTitle="Wrong input" error="Value entered is above or below the required number" promptTitle="Land Size SQM" prompt="Value must be between 200 to 993" sqref="F1:F501" xr:uid="{2D384C87-4CD7-4753-AC17-090BA6E134F2}">
      <formula1>200</formula1>
      <formula2>993</formula2>
    </dataValidation>
  </dataValidations>
  <pageMargins left="0.7" right="0.7" top="0.75" bottom="0.75" header="0.3" footer="0.3"/>
  <pageSetup orientation="portrait" r:id="rId1"/>
  <ignoredErrors>
    <ignoredError sqref="S1 E1 F1:G1" listDataValidation="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38F30-2CD8-489F-91C1-5F5BC405E832}">
  <sheetPr codeName="Sheet5"/>
  <dimension ref="A1:AN501"/>
  <sheetViews>
    <sheetView topLeftCell="AC1" workbookViewId="0">
      <selection activeCell="AJ14" sqref="AJ14"/>
    </sheetView>
  </sheetViews>
  <sheetFormatPr defaultRowHeight="14.4" x14ac:dyDescent="0.3"/>
  <cols>
    <col min="1" max="1" width="18.109375" bestFit="1" customWidth="1"/>
    <col min="2" max="2" width="19.6640625" bestFit="1" customWidth="1"/>
    <col min="3" max="3" width="11.5546875" bestFit="1" customWidth="1"/>
    <col min="4" max="4" width="8.6640625" bestFit="1" customWidth="1"/>
    <col min="5" max="5" width="18" bestFit="1" customWidth="1"/>
    <col min="6" max="6" width="19" bestFit="1" customWidth="1"/>
    <col min="7" max="7" width="18.5546875" bestFit="1" customWidth="1"/>
    <col min="8" max="8" width="14.77734375" bestFit="1" customWidth="1"/>
    <col min="9" max="9" width="10.109375" bestFit="1" customWidth="1"/>
    <col min="10" max="11" width="12.109375" bestFit="1" customWidth="1"/>
    <col min="12" max="12" width="14.44140625" bestFit="1" customWidth="1"/>
    <col min="13" max="13" width="24.44140625" bestFit="1" customWidth="1"/>
    <col min="14" max="14" width="15.6640625" bestFit="1" customWidth="1"/>
    <col min="15" max="15" width="18.21875" bestFit="1" customWidth="1"/>
    <col min="16" max="16" width="17.5546875" bestFit="1" customWidth="1"/>
    <col min="17" max="17" width="23.44140625" bestFit="1" customWidth="1"/>
    <col min="18" max="18" width="15.21875" bestFit="1" customWidth="1"/>
    <col min="19" max="19" width="14.21875" bestFit="1" customWidth="1"/>
    <col min="20" max="20" width="20.21875" bestFit="1" customWidth="1"/>
    <col min="21" max="21" width="11.21875" bestFit="1" customWidth="1"/>
    <col min="22" max="22" width="9.109375" bestFit="1" customWidth="1"/>
    <col min="23" max="23" width="22.21875" bestFit="1" customWidth="1"/>
    <col min="24" max="24" width="18.77734375" bestFit="1" customWidth="1"/>
    <col min="25" max="25" width="15.88671875" bestFit="1" customWidth="1"/>
    <col min="26" max="26" width="21.77734375" bestFit="1" customWidth="1"/>
    <col min="27" max="27" width="26.44140625" bestFit="1" customWidth="1"/>
    <col min="28" max="28" width="12.77734375" bestFit="1" customWidth="1"/>
    <col min="29" max="29" width="24.33203125" bestFit="1" customWidth="1"/>
    <col min="30" max="30" width="16.6640625" bestFit="1" customWidth="1"/>
    <col min="31" max="31" width="31.33203125" bestFit="1" customWidth="1"/>
    <col min="32" max="32" width="21.33203125" bestFit="1" customWidth="1"/>
    <col min="37" max="37" width="13.33203125" bestFit="1" customWidth="1"/>
    <col min="38" max="38" width="11.21875" bestFit="1" customWidth="1"/>
    <col min="39" max="40" width="12.109375" bestFit="1" customWidth="1"/>
  </cols>
  <sheetData>
    <row r="1" spans="1:40"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1004</v>
      </c>
      <c r="T1" s="2" t="s">
        <v>18</v>
      </c>
      <c r="U1" s="2" t="s">
        <v>19</v>
      </c>
      <c r="V1" s="2" t="s">
        <v>20</v>
      </c>
      <c r="W1" s="2" t="s">
        <v>21</v>
      </c>
      <c r="X1" s="2" t="s">
        <v>22</v>
      </c>
      <c r="Y1" s="2" t="s">
        <v>23</v>
      </c>
      <c r="Z1" s="2" t="s">
        <v>24</v>
      </c>
      <c r="AA1" s="2" t="s">
        <v>25</v>
      </c>
      <c r="AB1" s="2" t="s">
        <v>1003</v>
      </c>
      <c r="AC1" s="2" t="s">
        <v>1060</v>
      </c>
      <c r="AD1" s="2" t="s">
        <v>1049</v>
      </c>
      <c r="AE1" s="2" t="s">
        <v>1052</v>
      </c>
      <c r="AF1" s="2" t="s">
        <v>1061</v>
      </c>
    </row>
    <row r="2" spans="1:40" x14ac:dyDescent="0.3">
      <c r="A2" t="s">
        <v>202</v>
      </c>
      <c r="B2" t="s">
        <v>535</v>
      </c>
      <c r="C2" t="s">
        <v>626</v>
      </c>
      <c r="D2">
        <v>29</v>
      </c>
      <c r="E2" t="s">
        <v>628</v>
      </c>
      <c r="F2">
        <v>939</v>
      </c>
      <c r="G2" s="4">
        <v>49839</v>
      </c>
      <c r="H2" s="4">
        <v>46798821</v>
      </c>
      <c r="I2" t="s">
        <v>634</v>
      </c>
      <c r="J2" t="s">
        <v>670</v>
      </c>
      <c r="K2" t="s">
        <v>675</v>
      </c>
      <c r="L2" t="s">
        <v>681</v>
      </c>
      <c r="M2" t="s">
        <v>685</v>
      </c>
      <c r="N2" t="s">
        <v>691</v>
      </c>
      <c r="O2" t="s">
        <v>694</v>
      </c>
      <c r="P2" s="4">
        <v>13535164</v>
      </c>
      <c r="Q2">
        <v>12</v>
      </c>
      <c r="R2" s="7">
        <v>0.96</v>
      </c>
      <c r="S2" s="8">
        <f>Table13[[#This Row],[Discount_%]]/100</f>
        <v>9.5999999999999992E-3</v>
      </c>
      <c r="T2" s="6" t="s">
        <v>832</v>
      </c>
      <c r="U2" t="s">
        <v>991</v>
      </c>
      <c r="V2">
        <v>2024</v>
      </c>
      <c r="W2" t="s">
        <v>993</v>
      </c>
      <c r="X2" t="s">
        <v>998</v>
      </c>
      <c r="Y2" t="s">
        <v>1001</v>
      </c>
      <c r="Z2">
        <v>5</v>
      </c>
      <c r="AA2">
        <v>31</v>
      </c>
      <c r="AB2" s="4">
        <f>Table13[[#This Row],[Total_Price]]*(1-Table13[[#This Row],[Discount 2]])</f>
        <v>46349552.318399996</v>
      </c>
      <c r="AC2" s="4" t="str" cm="1">
        <f t="array" ref="AC2">_xlfn.IFS(Table13[[#This Row],[Revenue]]&gt;=30000000,"High Value",Table13[[#This Row],[Revenue]]&gt;=10000000,"Moderate Value",TRUE,"Low Value")</f>
        <v>High Value</v>
      </c>
      <c r="AD2" t="str">
        <f>IF(Table13[[#This Row],[Discount 2]]&gt;=5%, "YES", "NO")</f>
        <v>NO</v>
      </c>
      <c r="AE2" t="str" cm="1">
        <f t="array" ref="AE2">_xlfn.IFS(Table13[[#This Row],[Revenue]]&gt;=30000000,"High Spender",Table13[[#This Row],[Revenue]]&gt;=10000000,"Moderate Spender",TRUE,"Low Spender")</f>
        <v>High Spender</v>
      </c>
      <c r="AF2" s="4" t="str" cm="1">
        <f t="array" ref="AF2">_xlfn.IFS(Table13[[#This Row],[Land_Size_SQM]]&gt;=730,"LARGE",Table13[[#This Row],[Land_Size_SQM]]&gt;=465,"MEDIUM",TRUE,"SMALL")</f>
        <v>LARGE</v>
      </c>
    </row>
    <row r="3" spans="1:40" x14ac:dyDescent="0.3">
      <c r="A3" t="s">
        <v>468</v>
      </c>
      <c r="B3" t="s">
        <v>617</v>
      </c>
      <c r="C3" t="s">
        <v>627</v>
      </c>
      <c r="D3">
        <v>50</v>
      </c>
      <c r="E3" t="s">
        <v>629</v>
      </c>
      <c r="F3">
        <v>970</v>
      </c>
      <c r="G3" s="4">
        <v>48935</v>
      </c>
      <c r="H3" s="4">
        <v>47466950</v>
      </c>
      <c r="I3" t="s">
        <v>644</v>
      </c>
      <c r="J3" t="s">
        <v>668</v>
      </c>
      <c r="K3" t="s">
        <v>638</v>
      </c>
      <c r="L3" t="s">
        <v>682</v>
      </c>
      <c r="M3" t="s">
        <v>683</v>
      </c>
      <c r="N3" t="s">
        <v>691</v>
      </c>
      <c r="O3" t="s">
        <v>694</v>
      </c>
      <c r="P3" s="4">
        <v>20459339</v>
      </c>
      <c r="Q3">
        <v>3</v>
      </c>
      <c r="R3" s="7">
        <v>2.82</v>
      </c>
      <c r="S3" s="8">
        <f>Table13[[#This Row],[Discount_%]]/100</f>
        <v>2.8199999999999999E-2</v>
      </c>
      <c r="T3" s="6" t="s">
        <v>858</v>
      </c>
      <c r="U3" t="s">
        <v>982</v>
      </c>
      <c r="V3">
        <v>2024</v>
      </c>
      <c r="W3" t="s">
        <v>996</v>
      </c>
      <c r="X3" t="s">
        <v>999</v>
      </c>
      <c r="Y3" t="s">
        <v>1001</v>
      </c>
      <c r="Z3">
        <v>2</v>
      </c>
      <c r="AA3">
        <v>31</v>
      </c>
      <c r="AB3" s="4">
        <f>Table13[[#This Row],[Total_Price]]*(1-Table13[[#This Row],[Discount 2]])</f>
        <v>46128382.009999998</v>
      </c>
      <c r="AC3" s="4" t="str" cm="1">
        <f t="array" ref="AC3">_xlfn.IFS(Table13[[#This Row],[Revenue]]&gt;=30000000,"High Value",Table13[[#This Row],[Revenue]]&gt;=10000000,"Moderate Value",TRUE,"Low Value")</f>
        <v>High Value</v>
      </c>
      <c r="AD3" t="str">
        <f>IF(Table13[[#This Row],[Discount 2]]&gt;=5%, "YES", "NO")</f>
        <v>NO</v>
      </c>
      <c r="AE3" t="str" cm="1">
        <f t="array" ref="AE3">_xlfn.IFS(Table13[[#This Row],[Revenue]]&gt;=30000000,"High Spender",Table13[[#This Row],[Revenue]]&gt;=10000000,"Moderate Spender",TRUE,"Low Spender")</f>
        <v>High Spender</v>
      </c>
      <c r="AF3" s="4" t="str" cm="1">
        <f t="array" ref="AF3">_xlfn.IFS(Table13[[#This Row],[Land_Size_SQM]]&gt;=730,"LARGE",Table13[[#This Row],[Land_Size_SQM]]&gt;=465,"MEDIUM",TRUE,"SMALL")</f>
        <v>LARGE</v>
      </c>
    </row>
    <row r="4" spans="1:40" x14ac:dyDescent="0.3">
      <c r="A4" t="s">
        <v>258</v>
      </c>
      <c r="B4" t="s">
        <v>599</v>
      </c>
      <c r="C4" t="s">
        <v>626</v>
      </c>
      <c r="D4">
        <v>44</v>
      </c>
      <c r="E4" t="s">
        <v>630</v>
      </c>
      <c r="F4">
        <v>993</v>
      </c>
      <c r="G4" s="4">
        <v>46470</v>
      </c>
      <c r="H4" s="4">
        <v>46144710</v>
      </c>
      <c r="I4" t="s">
        <v>652</v>
      </c>
      <c r="J4" t="s">
        <v>672</v>
      </c>
      <c r="K4" t="s">
        <v>664</v>
      </c>
      <c r="L4" t="s">
        <v>682</v>
      </c>
      <c r="M4" t="s">
        <v>686</v>
      </c>
      <c r="N4" t="s">
        <v>689</v>
      </c>
      <c r="O4" t="s">
        <v>694</v>
      </c>
      <c r="P4" s="4">
        <v>14356230</v>
      </c>
      <c r="Q4">
        <v>24</v>
      </c>
      <c r="R4" s="7">
        <v>0.43</v>
      </c>
      <c r="S4" s="8">
        <f>Table13[[#This Row],[Discount_%]]/100</f>
        <v>4.3E-3</v>
      </c>
      <c r="T4" s="6" t="s">
        <v>868</v>
      </c>
      <c r="U4" t="s">
        <v>986</v>
      </c>
      <c r="V4">
        <v>2024</v>
      </c>
      <c r="W4" t="s">
        <v>995</v>
      </c>
      <c r="X4" t="s">
        <v>999</v>
      </c>
      <c r="Y4" t="s">
        <v>1002</v>
      </c>
      <c r="Z4">
        <v>4</v>
      </c>
      <c r="AA4">
        <v>50</v>
      </c>
      <c r="AB4" s="4">
        <f>Table13[[#This Row],[Total_Price]]*(1-Table13[[#This Row],[Discount 2]])</f>
        <v>45946287.747000001</v>
      </c>
      <c r="AC4" s="4" t="str" cm="1">
        <f t="array" ref="AC4">_xlfn.IFS(Table13[[#This Row],[Revenue]]&gt;=30000000,"High Value",Table13[[#This Row],[Revenue]]&gt;=10000000,"Moderate Value",TRUE,"Low Value")</f>
        <v>High Value</v>
      </c>
      <c r="AD4" t="str">
        <f>IF(Table13[[#This Row],[Discount 2]]&gt;=5%, "YES", "NO")</f>
        <v>NO</v>
      </c>
      <c r="AE4" t="str" cm="1">
        <f t="array" ref="AE4">_xlfn.IFS(Table13[[#This Row],[Revenue]]&gt;=30000000,"High Spender",Table13[[#This Row],[Revenue]]&gt;=10000000,"Moderate Spender",TRUE,"Low Spender")</f>
        <v>High Spender</v>
      </c>
      <c r="AF4" s="4" t="str" cm="1">
        <f t="array" ref="AF4">_xlfn.IFS(Table13[[#This Row],[Land_Size_SQM]]&gt;=730,"LARGE",Table13[[#This Row],[Land_Size_SQM]]&gt;=465,"MEDIUM",TRUE,"SMALL")</f>
        <v>LARGE</v>
      </c>
    </row>
    <row r="5" spans="1:40" x14ac:dyDescent="0.3">
      <c r="A5" t="s">
        <v>150</v>
      </c>
      <c r="B5" t="s">
        <v>592</v>
      </c>
      <c r="C5" t="s">
        <v>626</v>
      </c>
      <c r="D5">
        <v>42</v>
      </c>
      <c r="E5" t="s">
        <v>630</v>
      </c>
      <c r="F5">
        <v>914</v>
      </c>
      <c r="G5" s="4">
        <v>46173</v>
      </c>
      <c r="H5" s="4">
        <v>42202122</v>
      </c>
      <c r="I5" t="s">
        <v>643</v>
      </c>
      <c r="J5" t="s">
        <v>671</v>
      </c>
      <c r="K5" t="s">
        <v>675</v>
      </c>
      <c r="L5" t="s">
        <v>681</v>
      </c>
      <c r="M5" t="s">
        <v>685</v>
      </c>
      <c r="N5" t="s">
        <v>690</v>
      </c>
      <c r="O5" t="s">
        <v>694</v>
      </c>
      <c r="P5" s="4">
        <v>9795321</v>
      </c>
      <c r="Q5">
        <v>6</v>
      </c>
      <c r="R5" s="7">
        <v>0.96</v>
      </c>
      <c r="S5" s="8">
        <f>Table13[[#This Row],[Discount_%]]/100</f>
        <v>9.5999999999999992E-3</v>
      </c>
      <c r="T5" s="6" t="s">
        <v>797</v>
      </c>
      <c r="U5" t="s">
        <v>987</v>
      </c>
      <c r="V5">
        <v>2024</v>
      </c>
      <c r="W5" t="s">
        <v>995</v>
      </c>
      <c r="X5" t="s">
        <v>998</v>
      </c>
      <c r="Y5" t="s">
        <v>1001</v>
      </c>
      <c r="Z5">
        <v>2</v>
      </c>
      <c r="AA5">
        <v>45</v>
      </c>
      <c r="AB5" s="4">
        <f>Table13[[#This Row],[Total_Price]]*(1-Table13[[#This Row],[Discount 2]])</f>
        <v>41796981.628799997</v>
      </c>
      <c r="AC5" s="4" t="str" cm="1">
        <f t="array" ref="AC5">_xlfn.IFS(Table13[[#This Row],[Revenue]]&gt;=30000000,"High Value",Table13[[#This Row],[Revenue]]&gt;=10000000,"Moderate Value",TRUE,"Low Value")</f>
        <v>High Value</v>
      </c>
      <c r="AD5" t="str">
        <f>IF(Table13[[#This Row],[Discount 2]]&gt;=5%, "YES", "NO")</f>
        <v>NO</v>
      </c>
      <c r="AE5" t="str" cm="1">
        <f t="array" ref="AE5">_xlfn.IFS(Table13[[#This Row],[Revenue]]&gt;=30000000,"High Spender",Table13[[#This Row],[Revenue]]&gt;=10000000,"Moderate Spender",TRUE,"Low Spender")</f>
        <v>High Spender</v>
      </c>
      <c r="AF5" s="4" t="str" cm="1">
        <f t="array" ref="AF5">_xlfn.IFS(Table13[[#This Row],[Land_Size_SQM]]&gt;=730,"LARGE",Table13[[#This Row],[Land_Size_SQM]]&gt;=465,"MEDIUM",TRUE,"SMALL")</f>
        <v>LARGE</v>
      </c>
    </row>
    <row r="6" spans="1:40" x14ac:dyDescent="0.3">
      <c r="A6" t="s">
        <v>327</v>
      </c>
      <c r="B6" t="s">
        <v>571</v>
      </c>
      <c r="C6" t="s">
        <v>626</v>
      </c>
      <c r="D6">
        <v>49</v>
      </c>
      <c r="E6" t="s">
        <v>628</v>
      </c>
      <c r="F6">
        <v>916</v>
      </c>
      <c r="G6" s="4">
        <v>45593</v>
      </c>
      <c r="H6" s="4">
        <v>41763188</v>
      </c>
      <c r="I6" t="s">
        <v>639</v>
      </c>
      <c r="J6" t="s">
        <v>671</v>
      </c>
      <c r="K6" t="s">
        <v>638</v>
      </c>
      <c r="L6" t="s">
        <v>681</v>
      </c>
      <c r="M6" t="s">
        <v>687</v>
      </c>
      <c r="N6" t="s">
        <v>692</v>
      </c>
      <c r="O6" t="s">
        <v>694</v>
      </c>
      <c r="P6" s="4">
        <v>14031801</v>
      </c>
      <c r="Q6">
        <v>12</v>
      </c>
      <c r="R6" s="7">
        <v>0.3</v>
      </c>
      <c r="S6" s="8">
        <f>Table13[[#This Row],[Discount_%]]/100</f>
        <v>3.0000000000000001E-3</v>
      </c>
      <c r="T6" s="6" t="s">
        <v>915</v>
      </c>
      <c r="U6" t="s">
        <v>989</v>
      </c>
      <c r="V6">
        <v>2024</v>
      </c>
      <c r="W6" t="s">
        <v>996</v>
      </c>
      <c r="X6" t="s">
        <v>997</v>
      </c>
      <c r="Y6" t="s">
        <v>1000</v>
      </c>
      <c r="Z6">
        <v>4</v>
      </c>
      <c r="AA6">
        <v>46</v>
      </c>
      <c r="AB6" s="4">
        <f>Table13[[#This Row],[Total_Price]]*(1-Table13[[#This Row],[Discount 2]])</f>
        <v>41637898.435999997</v>
      </c>
      <c r="AC6" s="4" t="str" cm="1">
        <f t="array" ref="AC6">_xlfn.IFS(Table13[[#This Row],[Revenue]]&gt;=30000000,"High Value",Table13[[#This Row],[Revenue]]&gt;=10000000,"Moderate Value",TRUE,"Low Value")</f>
        <v>High Value</v>
      </c>
      <c r="AD6" t="str">
        <f>IF(Table13[[#This Row],[Discount 2]]&gt;=5%, "YES", "NO")</f>
        <v>NO</v>
      </c>
      <c r="AE6" t="str" cm="1">
        <f t="array" ref="AE6">_xlfn.IFS(Table13[[#This Row],[Revenue]]&gt;=30000000,"High Spender",Table13[[#This Row],[Revenue]]&gt;=10000000,"Moderate Spender",TRUE,"Low Spender")</f>
        <v>High Spender</v>
      </c>
      <c r="AF6" s="4" t="str" cm="1">
        <f t="array" ref="AF6">_xlfn.IFS(Table13[[#This Row],[Land_Size_SQM]]&gt;=730,"LARGE",Table13[[#This Row],[Land_Size_SQM]]&gt;=465,"MEDIUM",TRUE,"SMALL")</f>
        <v>LARGE</v>
      </c>
    </row>
    <row r="7" spans="1:40" x14ac:dyDescent="0.3">
      <c r="A7" t="s">
        <v>509</v>
      </c>
      <c r="B7" t="s">
        <v>619</v>
      </c>
      <c r="C7" t="s">
        <v>626</v>
      </c>
      <c r="D7">
        <v>64</v>
      </c>
      <c r="E7" t="s">
        <v>628</v>
      </c>
      <c r="F7">
        <v>860</v>
      </c>
      <c r="G7" s="4">
        <v>48054</v>
      </c>
      <c r="H7" s="4">
        <v>41326440</v>
      </c>
      <c r="I7" t="s">
        <v>632</v>
      </c>
      <c r="J7" t="s">
        <v>669</v>
      </c>
      <c r="K7" t="s">
        <v>678</v>
      </c>
      <c r="L7" t="s">
        <v>681</v>
      </c>
      <c r="M7" t="s">
        <v>686</v>
      </c>
      <c r="N7" t="s">
        <v>692</v>
      </c>
      <c r="O7" t="s">
        <v>694</v>
      </c>
      <c r="P7" s="4">
        <v>15349753</v>
      </c>
      <c r="Q7">
        <v>12</v>
      </c>
      <c r="R7" s="7">
        <v>0.99</v>
      </c>
      <c r="S7" s="8">
        <f>Table13[[#This Row],[Discount_%]]/100</f>
        <v>9.8999999999999991E-3</v>
      </c>
      <c r="T7" s="6" t="s">
        <v>975</v>
      </c>
      <c r="U7" t="s">
        <v>981</v>
      </c>
      <c r="V7">
        <v>2024</v>
      </c>
      <c r="W7" t="s">
        <v>995</v>
      </c>
      <c r="X7" t="s">
        <v>999</v>
      </c>
      <c r="Y7" t="s">
        <v>1001</v>
      </c>
      <c r="Z7">
        <v>5</v>
      </c>
      <c r="AA7">
        <v>35</v>
      </c>
      <c r="AB7" s="4">
        <f>Table13[[#This Row],[Total_Price]]*(1-Table13[[#This Row],[Discount 2]])</f>
        <v>40917308.244000003</v>
      </c>
      <c r="AC7" s="4" t="str" cm="1">
        <f t="array" ref="AC7">_xlfn.IFS(Table13[[#This Row],[Revenue]]&gt;=30000000,"High Value",Table13[[#This Row],[Revenue]]&gt;=10000000,"Moderate Value",TRUE,"Low Value")</f>
        <v>High Value</v>
      </c>
      <c r="AD7" t="str">
        <f>IF(Table13[[#This Row],[Discount 2]]&gt;=5%, "YES", "NO")</f>
        <v>NO</v>
      </c>
      <c r="AE7" t="str" cm="1">
        <f t="array" ref="AE7">_xlfn.IFS(Table13[[#This Row],[Revenue]]&gt;=30000000,"High Spender",Table13[[#This Row],[Revenue]]&gt;=10000000,"Moderate Spender",TRUE,"Low Spender")</f>
        <v>High Spender</v>
      </c>
      <c r="AF7" s="4" t="str" cm="1">
        <f t="array" ref="AF7">_xlfn.IFS(Table13[[#This Row],[Land_Size_SQM]]&gt;=730,"LARGE",Table13[[#This Row],[Land_Size_SQM]]&gt;=465,"MEDIUM",TRUE,"SMALL")</f>
        <v>LARGE</v>
      </c>
    </row>
    <row r="8" spans="1:40" x14ac:dyDescent="0.3">
      <c r="A8" t="s">
        <v>180</v>
      </c>
      <c r="B8" t="s">
        <v>568</v>
      </c>
      <c r="C8" t="s">
        <v>627</v>
      </c>
      <c r="D8">
        <v>37</v>
      </c>
      <c r="E8" t="s">
        <v>628</v>
      </c>
      <c r="F8">
        <v>843</v>
      </c>
      <c r="G8" s="4">
        <v>48702</v>
      </c>
      <c r="H8" s="4">
        <v>41055786</v>
      </c>
      <c r="I8" t="s">
        <v>647</v>
      </c>
      <c r="J8" t="s">
        <v>670</v>
      </c>
      <c r="K8" t="s">
        <v>677</v>
      </c>
      <c r="L8" t="s">
        <v>681</v>
      </c>
      <c r="M8" t="s">
        <v>685</v>
      </c>
      <c r="N8" t="s">
        <v>692</v>
      </c>
      <c r="O8" t="s">
        <v>694</v>
      </c>
      <c r="P8" s="4">
        <v>16855173</v>
      </c>
      <c r="Q8">
        <v>24</v>
      </c>
      <c r="R8" s="7">
        <v>0.82</v>
      </c>
      <c r="S8" s="8">
        <f>Table13[[#This Row],[Discount_%]]/100</f>
        <v>8.199999999999999E-3</v>
      </c>
      <c r="T8" s="6" t="s">
        <v>701</v>
      </c>
      <c r="U8" t="s">
        <v>985</v>
      </c>
      <c r="V8">
        <v>2024</v>
      </c>
      <c r="W8" t="s">
        <v>996</v>
      </c>
      <c r="X8" t="s">
        <v>999</v>
      </c>
      <c r="Y8" t="s">
        <v>1001</v>
      </c>
      <c r="Z8">
        <v>3</v>
      </c>
      <c r="AA8">
        <v>26</v>
      </c>
      <c r="AB8" s="4">
        <f>Table13[[#This Row],[Total_Price]]*(1-Table13[[#This Row],[Discount 2]])</f>
        <v>40719128.554800004</v>
      </c>
      <c r="AC8" s="4" t="str" cm="1">
        <f t="array" ref="AC8">_xlfn.IFS(Table13[[#This Row],[Revenue]]&gt;=30000000,"High Value",Table13[[#This Row],[Revenue]]&gt;=10000000,"Moderate Value",TRUE,"Low Value")</f>
        <v>High Value</v>
      </c>
      <c r="AD8" t="str">
        <f>IF(Table13[[#This Row],[Discount 2]]&gt;=5%, "YES", "NO")</f>
        <v>NO</v>
      </c>
      <c r="AE8" t="str" cm="1">
        <f t="array" ref="AE8">_xlfn.IFS(Table13[[#This Row],[Revenue]]&gt;=30000000,"High Spender",Table13[[#This Row],[Revenue]]&gt;=10000000,"Moderate Spender",TRUE,"Low Spender")</f>
        <v>High Spender</v>
      </c>
      <c r="AF8" s="4" t="str" cm="1">
        <f t="array" ref="AF8">_xlfn.IFS(Table13[[#This Row],[Land_Size_SQM]]&gt;=730,"LARGE",Table13[[#This Row],[Land_Size_SQM]]&gt;=465,"MEDIUM",TRUE,"SMALL")</f>
        <v>LARGE</v>
      </c>
      <c r="AK8" s="19" t="s">
        <v>1068</v>
      </c>
      <c r="AL8" s="19"/>
      <c r="AM8" s="19"/>
      <c r="AN8" s="19"/>
    </row>
    <row r="9" spans="1:40" x14ac:dyDescent="0.3">
      <c r="A9" t="s">
        <v>235</v>
      </c>
      <c r="B9" t="s">
        <v>567</v>
      </c>
      <c r="C9" t="s">
        <v>626</v>
      </c>
      <c r="D9">
        <v>65</v>
      </c>
      <c r="E9" t="s">
        <v>628</v>
      </c>
      <c r="F9">
        <v>839</v>
      </c>
      <c r="G9" s="4">
        <v>48817</v>
      </c>
      <c r="H9" s="4">
        <v>40957463</v>
      </c>
      <c r="I9" t="s">
        <v>654</v>
      </c>
      <c r="J9" t="s">
        <v>669</v>
      </c>
      <c r="K9" t="s">
        <v>679</v>
      </c>
      <c r="L9" t="s">
        <v>681</v>
      </c>
      <c r="M9" t="s">
        <v>686</v>
      </c>
      <c r="N9" t="s">
        <v>691</v>
      </c>
      <c r="O9" t="s">
        <v>694</v>
      </c>
      <c r="P9" s="4">
        <v>19510396</v>
      </c>
      <c r="Q9">
        <v>12</v>
      </c>
      <c r="R9" s="7">
        <v>1.33</v>
      </c>
      <c r="S9" s="8">
        <f>Table13[[#This Row],[Discount_%]]/100</f>
        <v>1.3300000000000001E-2</v>
      </c>
      <c r="T9" s="6" t="s">
        <v>808</v>
      </c>
      <c r="U9" t="s">
        <v>984</v>
      </c>
      <c r="V9">
        <v>2024</v>
      </c>
      <c r="W9" t="s">
        <v>995</v>
      </c>
      <c r="X9" t="s">
        <v>997</v>
      </c>
      <c r="Y9" t="s">
        <v>1001</v>
      </c>
      <c r="Z9">
        <v>5</v>
      </c>
      <c r="AA9">
        <v>19</v>
      </c>
      <c r="AB9" s="4">
        <f>Table13[[#This Row],[Total_Price]]*(1-Table13[[#This Row],[Discount 2]])</f>
        <v>40412728.7421</v>
      </c>
      <c r="AC9" s="4" t="str" cm="1">
        <f t="array" ref="AC9">_xlfn.IFS(Table13[[#This Row],[Revenue]]&gt;=30000000,"High Value",Table13[[#This Row],[Revenue]]&gt;=10000000,"Moderate Value",TRUE,"Low Value")</f>
        <v>High Value</v>
      </c>
      <c r="AD9" t="str">
        <f>IF(Table13[[#This Row],[Discount 2]]&gt;=5%, "YES", "NO")</f>
        <v>NO</v>
      </c>
      <c r="AE9" t="str" cm="1">
        <f t="array" ref="AE9">_xlfn.IFS(Table13[[#This Row],[Revenue]]&gt;=30000000,"High Spender",Table13[[#This Row],[Revenue]]&gt;=10000000,"Moderate Spender",TRUE,"Low Spender")</f>
        <v>High Spender</v>
      </c>
      <c r="AF9" s="4" t="str" cm="1">
        <f t="array" ref="AF9">_xlfn.IFS(Table13[[#This Row],[Land_Size_SQM]]&gt;=730,"LARGE",Table13[[#This Row],[Land_Size_SQM]]&gt;=465,"MEDIUM",TRUE,"SMALL")</f>
        <v>LARGE</v>
      </c>
      <c r="AK9" s="19"/>
      <c r="AL9" s="19"/>
      <c r="AM9" s="19"/>
      <c r="AN9" s="19"/>
    </row>
    <row r="10" spans="1:40" x14ac:dyDescent="0.3">
      <c r="A10" t="s">
        <v>451</v>
      </c>
      <c r="B10" t="s">
        <v>603</v>
      </c>
      <c r="C10" t="s">
        <v>626</v>
      </c>
      <c r="D10">
        <v>46</v>
      </c>
      <c r="E10" t="s">
        <v>630</v>
      </c>
      <c r="F10">
        <v>909</v>
      </c>
      <c r="G10" s="4">
        <v>46416</v>
      </c>
      <c r="H10" s="4">
        <v>42192144</v>
      </c>
      <c r="I10" t="s">
        <v>648</v>
      </c>
      <c r="J10" t="s">
        <v>671</v>
      </c>
      <c r="K10" t="s">
        <v>664</v>
      </c>
      <c r="L10" t="s">
        <v>680</v>
      </c>
      <c r="M10" t="s">
        <v>686</v>
      </c>
      <c r="N10" t="s">
        <v>691</v>
      </c>
      <c r="O10" t="s">
        <v>694</v>
      </c>
      <c r="P10" s="4">
        <v>8463174</v>
      </c>
      <c r="Q10">
        <v>24</v>
      </c>
      <c r="R10" s="7">
        <v>4.2699999999999996</v>
      </c>
      <c r="S10" s="8">
        <f>Table13[[#This Row],[Discount_%]]/100</f>
        <v>4.2699999999999995E-2</v>
      </c>
      <c r="T10" s="6" t="s">
        <v>963</v>
      </c>
      <c r="U10" t="s">
        <v>984</v>
      </c>
      <c r="V10">
        <v>2024</v>
      </c>
      <c r="W10" t="s">
        <v>995</v>
      </c>
      <c r="X10" t="s">
        <v>998</v>
      </c>
      <c r="Y10" t="s">
        <v>1001</v>
      </c>
      <c r="Z10">
        <v>1</v>
      </c>
      <c r="AA10">
        <v>47</v>
      </c>
      <c r="AB10" s="4">
        <f>Table13[[#This Row],[Total_Price]]*(1-Table13[[#This Row],[Discount 2]])</f>
        <v>40390539.451200001</v>
      </c>
      <c r="AC10" s="4" t="str" cm="1">
        <f t="array" ref="AC10">_xlfn.IFS(Table13[[#This Row],[Revenue]]&gt;=30000000,"High Value",Table13[[#This Row],[Revenue]]&gt;=10000000,"Moderate Value",TRUE,"Low Value")</f>
        <v>High Value</v>
      </c>
      <c r="AD10" t="str">
        <f>IF(Table13[[#This Row],[Discount 2]]&gt;=5%, "YES", "NO")</f>
        <v>NO</v>
      </c>
      <c r="AE10" t="str" cm="1">
        <f t="array" ref="AE10">_xlfn.IFS(Table13[[#This Row],[Revenue]]&gt;=30000000,"High Spender",Table13[[#This Row],[Revenue]]&gt;=10000000,"Moderate Spender",TRUE,"Low Spender")</f>
        <v>High Spender</v>
      </c>
      <c r="AF10" s="4" t="str" cm="1">
        <f t="array" ref="AF10">_xlfn.IFS(Table13[[#This Row],[Land_Size_SQM]]&gt;=730,"LARGE",Table13[[#This Row],[Land_Size_SQM]]&gt;=465,"MEDIUM",TRUE,"SMALL")</f>
        <v>LARGE</v>
      </c>
      <c r="AK10" t="s">
        <v>1067</v>
      </c>
      <c r="AL10" t="s">
        <v>1003</v>
      </c>
      <c r="AN10" t="s">
        <v>9</v>
      </c>
    </row>
    <row r="11" spans="1:40" x14ac:dyDescent="0.3">
      <c r="A11" t="s">
        <v>458</v>
      </c>
      <c r="B11" t="s">
        <v>563</v>
      </c>
      <c r="C11" t="s">
        <v>626</v>
      </c>
      <c r="D11">
        <v>42</v>
      </c>
      <c r="E11" t="s">
        <v>628</v>
      </c>
      <c r="F11">
        <v>873</v>
      </c>
      <c r="G11" s="4">
        <v>46453</v>
      </c>
      <c r="H11" s="4">
        <v>40553469</v>
      </c>
      <c r="I11" t="s">
        <v>642</v>
      </c>
      <c r="J11" t="s">
        <v>673</v>
      </c>
      <c r="K11" t="s">
        <v>674</v>
      </c>
      <c r="L11" t="s">
        <v>680</v>
      </c>
      <c r="M11" t="s">
        <v>683</v>
      </c>
      <c r="N11" t="s">
        <v>689</v>
      </c>
      <c r="O11" t="s">
        <v>693</v>
      </c>
      <c r="P11" s="4">
        <v>40553469</v>
      </c>
      <c r="Q11">
        <v>0</v>
      </c>
      <c r="R11" s="7">
        <v>0.56999999999999995</v>
      </c>
      <c r="S11" s="8">
        <f>Table13[[#This Row],[Discount_%]]/100</f>
        <v>5.6999999999999993E-3</v>
      </c>
      <c r="T11" s="6" t="s">
        <v>886</v>
      </c>
      <c r="U11" t="s">
        <v>986</v>
      </c>
      <c r="V11">
        <v>2024</v>
      </c>
      <c r="W11" t="s">
        <v>994</v>
      </c>
      <c r="X11" t="s">
        <v>999</v>
      </c>
      <c r="Y11" t="s">
        <v>1001</v>
      </c>
      <c r="Z11">
        <v>4</v>
      </c>
      <c r="AA11">
        <v>45</v>
      </c>
      <c r="AB11" s="4">
        <f>Table13[[#This Row],[Total_Price]]*(1-Table13[[#This Row],[Discount 2]])</f>
        <v>40322314.2267</v>
      </c>
      <c r="AC11" s="4" t="str" cm="1">
        <f t="array" ref="AC11">_xlfn.IFS(Table13[[#This Row],[Revenue]]&gt;=30000000,"High Value",Table13[[#This Row],[Revenue]]&gt;=10000000,"Moderate Value",TRUE,"Low Value")</f>
        <v>High Value</v>
      </c>
      <c r="AD11" t="str">
        <f>IF(Table13[[#This Row],[Discount 2]]&gt;=5%, "YES", "NO")</f>
        <v>NO</v>
      </c>
      <c r="AE11" t="str" cm="1">
        <f t="array" ref="AE11">_xlfn.IFS(Table13[[#This Row],[Revenue]]&gt;=30000000,"High Spender",Table13[[#This Row],[Revenue]]&gt;=10000000,"Moderate Spender",TRUE,"Low Spender")</f>
        <v>High Spender</v>
      </c>
      <c r="AF11" s="4" t="str" cm="1">
        <f t="array" ref="AF11">_xlfn.IFS(Table13[[#This Row],[Land_Size_SQM]]&gt;=730,"LARGE",Table13[[#This Row],[Land_Size_SQM]]&gt;=465,"MEDIUM",TRUE,"SMALL")</f>
        <v>LARGE</v>
      </c>
      <c r="AK11" t="s">
        <v>202</v>
      </c>
      <c r="AL11" s="4">
        <f>Table13[[#This Row],[Total_Price]]*(1-Table13[[#This Row],[Discount 2]])</f>
        <v>40322314.2267</v>
      </c>
      <c r="AN11" t="s">
        <v>670</v>
      </c>
    </row>
    <row r="12" spans="1:40" x14ac:dyDescent="0.3">
      <c r="A12" t="s">
        <v>184</v>
      </c>
      <c r="B12" t="s">
        <v>602</v>
      </c>
      <c r="C12" t="s">
        <v>626</v>
      </c>
      <c r="D12">
        <v>27</v>
      </c>
      <c r="E12" t="s">
        <v>629</v>
      </c>
      <c r="F12">
        <v>931</v>
      </c>
      <c r="G12" s="4">
        <v>44972</v>
      </c>
      <c r="H12" s="4">
        <v>41868932</v>
      </c>
      <c r="I12" t="s">
        <v>649</v>
      </c>
      <c r="J12" t="s">
        <v>669</v>
      </c>
      <c r="K12" t="s">
        <v>675</v>
      </c>
      <c r="L12" t="s">
        <v>682</v>
      </c>
      <c r="M12" t="s">
        <v>685</v>
      </c>
      <c r="N12" t="s">
        <v>688</v>
      </c>
      <c r="O12" t="s">
        <v>694</v>
      </c>
      <c r="P12" s="4">
        <v>12415838</v>
      </c>
      <c r="Q12">
        <v>6</v>
      </c>
      <c r="R12" s="7">
        <v>4.16</v>
      </c>
      <c r="S12" s="8">
        <f>Table13[[#This Row],[Discount_%]]/100</f>
        <v>4.1599999999999998E-2</v>
      </c>
      <c r="T12" s="6" t="s">
        <v>818</v>
      </c>
      <c r="U12" t="s">
        <v>982</v>
      </c>
      <c r="V12">
        <v>2024</v>
      </c>
      <c r="W12" t="s">
        <v>996</v>
      </c>
      <c r="X12" t="s">
        <v>997</v>
      </c>
      <c r="Y12" t="s">
        <v>1000</v>
      </c>
      <c r="Z12">
        <v>4</v>
      </c>
      <c r="AA12">
        <v>5</v>
      </c>
      <c r="AB12" s="4">
        <f>Table13[[#This Row],[Total_Price]]*(1-Table13[[#This Row],[Discount 2]])</f>
        <v>40127184.428800002</v>
      </c>
      <c r="AC12" s="4" t="str" cm="1">
        <f t="array" ref="AC12">_xlfn.IFS(Table13[[#This Row],[Revenue]]&gt;=30000000,"High Value",Table13[[#This Row],[Revenue]]&gt;=10000000,"Moderate Value",TRUE,"Low Value")</f>
        <v>High Value</v>
      </c>
      <c r="AD12" t="str">
        <f>IF(Table13[[#This Row],[Discount 2]]&gt;=5%, "YES", "NO")</f>
        <v>NO</v>
      </c>
      <c r="AE12" t="str" cm="1">
        <f t="array" ref="AE12">_xlfn.IFS(Table13[[#This Row],[Revenue]]&gt;=30000000,"High Spender",Table13[[#This Row],[Revenue]]&gt;=10000000,"Moderate Spender",TRUE,"Low Spender")</f>
        <v>High Spender</v>
      </c>
      <c r="AF12" s="4" t="str" cm="1">
        <f t="array" ref="AF12">_xlfn.IFS(Table13[[#This Row],[Land_Size_SQM]]&gt;=730,"LARGE",Table13[[#This Row],[Land_Size_SQM]]&gt;=465,"MEDIUM",TRUE,"SMALL")</f>
        <v>LARGE</v>
      </c>
      <c r="AK12" t="s">
        <v>468</v>
      </c>
      <c r="AL12" s="4">
        <f>Table13[[#This Row],[Total_Price]]*(1-Table13[[#This Row],[Discount 2]])</f>
        <v>40127184.428800002</v>
      </c>
      <c r="AN12" t="s">
        <v>668</v>
      </c>
    </row>
    <row r="13" spans="1:40" x14ac:dyDescent="0.3">
      <c r="A13" t="s">
        <v>208</v>
      </c>
      <c r="B13" t="s">
        <v>607</v>
      </c>
      <c r="C13" t="s">
        <v>626</v>
      </c>
      <c r="D13">
        <v>37</v>
      </c>
      <c r="E13" t="s">
        <v>630</v>
      </c>
      <c r="F13">
        <v>897</v>
      </c>
      <c r="G13" s="4">
        <v>47459</v>
      </c>
      <c r="H13" s="4">
        <v>42570723</v>
      </c>
      <c r="I13" t="s">
        <v>656</v>
      </c>
      <c r="J13" t="s">
        <v>669</v>
      </c>
      <c r="K13" t="s">
        <v>674</v>
      </c>
      <c r="L13" t="s">
        <v>680</v>
      </c>
      <c r="M13" t="s">
        <v>687</v>
      </c>
      <c r="N13" t="s">
        <v>690</v>
      </c>
      <c r="O13" t="s">
        <v>694</v>
      </c>
      <c r="P13" s="4">
        <v>13568900</v>
      </c>
      <c r="Q13">
        <v>3</v>
      </c>
      <c r="R13" s="7">
        <v>8.7899999999999991</v>
      </c>
      <c r="S13" s="8">
        <f>Table13[[#This Row],[Discount_%]]/100</f>
        <v>8.7899999999999992E-2</v>
      </c>
      <c r="T13" s="6" t="s">
        <v>836</v>
      </c>
      <c r="U13" t="s">
        <v>984</v>
      </c>
      <c r="V13">
        <v>2024</v>
      </c>
      <c r="W13" t="s">
        <v>994</v>
      </c>
      <c r="X13" t="s">
        <v>998</v>
      </c>
      <c r="Y13" t="s">
        <v>1002</v>
      </c>
      <c r="Z13">
        <v>1</v>
      </c>
      <c r="AA13">
        <v>15</v>
      </c>
      <c r="AB13" s="4">
        <f>Table13[[#This Row],[Total_Price]]*(1-Table13[[#This Row],[Discount 2]])</f>
        <v>38828756.448300004</v>
      </c>
      <c r="AC13" s="4" t="str" cm="1">
        <f t="array" ref="AC13">_xlfn.IFS(Table13[[#This Row],[Revenue]]&gt;=30000000,"High Value",Table13[[#This Row],[Revenue]]&gt;=10000000,"Moderate Value",TRUE,"Low Value")</f>
        <v>High Value</v>
      </c>
      <c r="AD13" t="str">
        <f>IF(Table13[[#This Row],[Discount 2]]&gt;=5%, "YES", "NO")</f>
        <v>YES</v>
      </c>
      <c r="AE13" t="str" cm="1">
        <f t="array" ref="AE13">_xlfn.IFS(Table13[[#This Row],[Revenue]]&gt;=30000000,"High Spender",Table13[[#This Row],[Revenue]]&gt;=10000000,"Moderate Spender",TRUE,"Low Spender")</f>
        <v>High Spender</v>
      </c>
      <c r="AF13" s="4" t="str" cm="1">
        <f t="array" ref="AF13">_xlfn.IFS(Table13[[#This Row],[Land_Size_SQM]]&gt;=730,"LARGE",Table13[[#This Row],[Land_Size_SQM]]&gt;=465,"MEDIUM",TRUE,"SMALL")</f>
        <v>LARGE</v>
      </c>
      <c r="AK13" t="s">
        <v>258</v>
      </c>
      <c r="AL13" s="4">
        <f>Table13[[#This Row],[Total_Price]]*(1-Table13[[#This Row],[Discount 2]])</f>
        <v>38828756.448300004</v>
      </c>
      <c r="AN13" t="s">
        <v>672</v>
      </c>
    </row>
    <row r="14" spans="1:40" x14ac:dyDescent="0.3">
      <c r="A14" t="s">
        <v>151</v>
      </c>
      <c r="B14" t="s">
        <v>593</v>
      </c>
      <c r="C14" t="s">
        <v>626</v>
      </c>
      <c r="D14">
        <v>23</v>
      </c>
      <c r="E14" t="s">
        <v>629</v>
      </c>
      <c r="F14">
        <v>869</v>
      </c>
      <c r="G14" s="4">
        <v>44591</v>
      </c>
      <c r="H14" s="4">
        <v>38749579</v>
      </c>
      <c r="I14" t="s">
        <v>651</v>
      </c>
      <c r="J14" t="s">
        <v>669</v>
      </c>
      <c r="K14" t="s">
        <v>676</v>
      </c>
      <c r="L14" t="s">
        <v>680</v>
      </c>
      <c r="M14" t="s">
        <v>683</v>
      </c>
      <c r="N14" t="s">
        <v>689</v>
      </c>
      <c r="O14" t="s">
        <v>693</v>
      </c>
      <c r="P14" s="4">
        <v>38749579</v>
      </c>
      <c r="Q14">
        <v>0</v>
      </c>
      <c r="R14" s="7">
        <v>0.94</v>
      </c>
      <c r="S14" s="8">
        <f>Table13[[#This Row],[Discount_%]]/100</f>
        <v>9.3999999999999986E-3</v>
      </c>
      <c r="T14" s="6" t="s">
        <v>716</v>
      </c>
      <c r="U14" t="s">
        <v>991</v>
      </c>
      <c r="V14">
        <v>2024</v>
      </c>
      <c r="W14" t="s">
        <v>995</v>
      </c>
      <c r="X14" t="s">
        <v>998</v>
      </c>
      <c r="Y14" t="s">
        <v>1001</v>
      </c>
      <c r="Z14">
        <v>3</v>
      </c>
      <c r="AA14">
        <v>37</v>
      </c>
      <c r="AB14" s="4">
        <f>Table13[[#This Row],[Total_Price]]*(1-Table13[[#This Row],[Discount 2]])</f>
        <v>38385332.957400002</v>
      </c>
      <c r="AC14" s="4" t="str" cm="1">
        <f t="array" ref="AC14">_xlfn.IFS(Table13[[#This Row],[Revenue]]&gt;=30000000,"High Value",Table13[[#This Row],[Revenue]]&gt;=10000000,"Moderate Value",TRUE,"Low Value")</f>
        <v>High Value</v>
      </c>
      <c r="AD14" t="str">
        <f>IF(Table13[[#This Row],[Discount 2]]&gt;=5%, "YES", "NO")</f>
        <v>NO</v>
      </c>
      <c r="AE14" t="str" cm="1">
        <f t="array" ref="AE14">_xlfn.IFS(Table13[[#This Row],[Revenue]]&gt;=30000000,"High Spender",Table13[[#This Row],[Revenue]]&gt;=10000000,"Moderate Spender",TRUE,"Low Spender")</f>
        <v>High Spender</v>
      </c>
      <c r="AF14" s="4" t="str" cm="1">
        <f t="array" ref="AF14">_xlfn.IFS(Table13[[#This Row],[Land_Size_SQM]]&gt;=730,"LARGE",Table13[[#This Row],[Land_Size_SQM]]&gt;=465,"MEDIUM",TRUE,"SMALL")</f>
        <v>LARGE</v>
      </c>
      <c r="AK14" t="s">
        <v>150</v>
      </c>
      <c r="AL14" s="4">
        <f>Table13[[#This Row],[Total_Price]]*(1-Table13[[#This Row],[Discount 2]])</f>
        <v>38385332.957400002</v>
      </c>
      <c r="AN14" t="s">
        <v>671</v>
      </c>
    </row>
    <row r="15" spans="1:40" x14ac:dyDescent="0.3">
      <c r="A15" t="s">
        <v>443</v>
      </c>
      <c r="B15" t="s">
        <v>611</v>
      </c>
      <c r="C15" t="s">
        <v>626</v>
      </c>
      <c r="D15">
        <v>23</v>
      </c>
      <c r="E15" t="s">
        <v>630</v>
      </c>
      <c r="F15">
        <v>970</v>
      </c>
      <c r="G15" s="4">
        <v>41125</v>
      </c>
      <c r="H15" s="4">
        <v>39891250</v>
      </c>
      <c r="I15" t="s">
        <v>641</v>
      </c>
      <c r="J15" t="s">
        <v>673</v>
      </c>
      <c r="K15" t="s">
        <v>679</v>
      </c>
      <c r="L15" t="s">
        <v>681</v>
      </c>
      <c r="M15" t="s">
        <v>686</v>
      </c>
      <c r="N15" t="s">
        <v>691</v>
      </c>
      <c r="O15" t="s">
        <v>693</v>
      </c>
      <c r="P15" s="4">
        <v>39891250</v>
      </c>
      <c r="Q15">
        <v>0</v>
      </c>
      <c r="R15" s="7">
        <v>4.93</v>
      </c>
      <c r="S15" s="8">
        <f>Table13[[#This Row],[Discount_%]]/100</f>
        <v>4.9299999999999997E-2</v>
      </c>
      <c r="T15" s="6" t="s">
        <v>857</v>
      </c>
      <c r="U15" t="s">
        <v>986</v>
      </c>
      <c r="V15">
        <v>2024</v>
      </c>
      <c r="W15" t="s">
        <v>993</v>
      </c>
      <c r="X15" t="s">
        <v>998</v>
      </c>
      <c r="Y15" t="s">
        <v>1000</v>
      </c>
      <c r="Z15">
        <v>4</v>
      </c>
      <c r="AA15">
        <v>41</v>
      </c>
      <c r="AB15" s="4">
        <f>Table13[[#This Row],[Total_Price]]*(1-Table13[[#This Row],[Discount 2]])</f>
        <v>37924611.375</v>
      </c>
      <c r="AC15" s="4" t="str" cm="1">
        <f t="array" ref="AC15">_xlfn.IFS(Table13[[#This Row],[Revenue]]&gt;=30000000,"High Value",Table13[[#This Row],[Revenue]]&gt;=10000000,"Moderate Value",TRUE,"Low Value")</f>
        <v>High Value</v>
      </c>
      <c r="AD15" t="str">
        <f>IF(Table13[[#This Row],[Discount 2]]&gt;=5%, "YES", "NO")</f>
        <v>NO</v>
      </c>
      <c r="AE15" t="str" cm="1">
        <f t="array" ref="AE15">_xlfn.IFS(Table13[[#This Row],[Revenue]]&gt;=30000000,"High Spender",Table13[[#This Row],[Revenue]]&gt;=10000000,"Moderate Spender",TRUE,"Low Spender")</f>
        <v>High Spender</v>
      </c>
      <c r="AF15" s="4" t="str" cm="1">
        <f t="array" ref="AF15">_xlfn.IFS(Table13[[#This Row],[Land_Size_SQM]]&gt;=730,"LARGE",Table13[[#This Row],[Land_Size_SQM]]&gt;=465,"MEDIUM",TRUE,"SMALL")</f>
        <v>LARGE</v>
      </c>
      <c r="AK15" t="s">
        <v>327</v>
      </c>
      <c r="AL15" s="4">
        <f>Table13[[#This Row],[Total_Price]]*(1-Table13[[#This Row],[Discount 2]])</f>
        <v>37924611.375</v>
      </c>
      <c r="AN15" t="s">
        <v>671</v>
      </c>
    </row>
    <row r="16" spans="1:40" x14ac:dyDescent="0.3">
      <c r="A16" t="s">
        <v>501</v>
      </c>
      <c r="B16" t="s">
        <v>569</v>
      </c>
      <c r="C16" t="s">
        <v>626</v>
      </c>
      <c r="D16">
        <v>57</v>
      </c>
      <c r="E16" t="s">
        <v>628</v>
      </c>
      <c r="F16">
        <v>869</v>
      </c>
      <c r="G16" s="4">
        <v>44080</v>
      </c>
      <c r="H16" s="4">
        <v>38305520</v>
      </c>
      <c r="I16" t="s">
        <v>659</v>
      </c>
      <c r="J16" t="s">
        <v>668</v>
      </c>
      <c r="K16" t="s">
        <v>640</v>
      </c>
      <c r="L16" t="s">
        <v>682</v>
      </c>
      <c r="M16" t="s">
        <v>685</v>
      </c>
      <c r="N16" t="s">
        <v>692</v>
      </c>
      <c r="O16" t="s">
        <v>694</v>
      </c>
      <c r="P16" s="4">
        <v>10230073</v>
      </c>
      <c r="Q16">
        <v>6</v>
      </c>
      <c r="R16" s="7">
        <v>1.1599999999999999</v>
      </c>
      <c r="S16" s="8">
        <f>Table13[[#This Row],[Discount_%]]/100</f>
        <v>1.1599999999999999E-2</v>
      </c>
      <c r="T16" s="6" t="s">
        <v>726</v>
      </c>
      <c r="U16" t="s">
        <v>981</v>
      </c>
      <c r="V16">
        <v>2024</v>
      </c>
      <c r="W16" t="s">
        <v>994</v>
      </c>
      <c r="X16" t="s">
        <v>999</v>
      </c>
      <c r="Y16" t="s">
        <v>1002</v>
      </c>
      <c r="Z16">
        <v>4</v>
      </c>
      <c r="AA16">
        <v>37</v>
      </c>
      <c r="AB16" s="4">
        <f>Table13[[#This Row],[Total_Price]]*(1-Table13[[#This Row],[Discount 2]])</f>
        <v>37861175.967999995</v>
      </c>
      <c r="AC16" s="4" t="str" cm="1">
        <f t="array" ref="AC16">_xlfn.IFS(Table13[[#This Row],[Revenue]]&gt;=30000000,"High Value",Table13[[#This Row],[Revenue]]&gt;=10000000,"Moderate Value",TRUE,"Low Value")</f>
        <v>High Value</v>
      </c>
      <c r="AD16" t="str">
        <f>IF(Table13[[#This Row],[Discount 2]]&gt;=5%, "YES", "NO")</f>
        <v>NO</v>
      </c>
      <c r="AE16" t="str" cm="1">
        <f t="array" ref="AE16">_xlfn.IFS(Table13[[#This Row],[Revenue]]&gt;=30000000,"High Spender",Table13[[#This Row],[Revenue]]&gt;=10000000,"Moderate Spender",TRUE,"Low Spender")</f>
        <v>High Spender</v>
      </c>
      <c r="AF16" s="4" t="str" cm="1">
        <f t="array" ref="AF16">_xlfn.IFS(Table13[[#This Row],[Land_Size_SQM]]&gt;=730,"LARGE",Table13[[#This Row],[Land_Size_SQM]]&gt;=465,"MEDIUM",TRUE,"SMALL")</f>
        <v>LARGE</v>
      </c>
    </row>
    <row r="17" spans="1:32" x14ac:dyDescent="0.3">
      <c r="A17" t="s">
        <v>223</v>
      </c>
      <c r="B17" t="s">
        <v>568</v>
      </c>
      <c r="C17" t="s">
        <v>627</v>
      </c>
      <c r="D17">
        <v>38</v>
      </c>
      <c r="E17" t="s">
        <v>628</v>
      </c>
      <c r="F17">
        <v>820</v>
      </c>
      <c r="G17" s="4">
        <v>47922</v>
      </c>
      <c r="H17" s="4">
        <v>39296040</v>
      </c>
      <c r="I17" t="s">
        <v>637</v>
      </c>
      <c r="J17" t="s">
        <v>672</v>
      </c>
      <c r="K17" t="s">
        <v>674</v>
      </c>
      <c r="L17" t="s">
        <v>680</v>
      </c>
      <c r="M17" t="s">
        <v>684</v>
      </c>
      <c r="N17" t="s">
        <v>688</v>
      </c>
      <c r="O17" t="s">
        <v>693</v>
      </c>
      <c r="P17" s="4">
        <v>39296040</v>
      </c>
      <c r="Q17">
        <v>0</v>
      </c>
      <c r="R17" s="7">
        <v>4.1900000000000004</v>
      </c>
      <c r="S17" s="8">
        <f>Table13[[#This Row],[Discount_%]]/100</f>
        <v>4.1900000000000007E-2</v>
      </c>
      <c r="T17" s="6" t="s">
        <v>845</v>
      </c>
      <c r="U17" t="s">
        <v>981</v>
      </c>
      <c r="V17">
        <v>2024</v>
      </c>
      <c r="W17" t="s">
        <v>996</v>
      </c>
      <c r="X17" t="s">
        <v>998</v>
      </c>
      <c r="Y17" t="s">
        <v>1001</v>
      </c>
      <c r="Z17">
        <v>2</v>
      </c>
      <c r="AA17">
        <v>23</v>
      </c>
      <c r="AB17" s="4">
        <f>Table13[[#This Row],[Total_Price]]*(1-Table13[[#This Row],[Discount 2]])</f>
        <v>37649535.923999995</v>
      </c>
      <c r="AC17" s="4" t="str" cm="1">
        <f t="array" ref="AC17">_xlfn.IFS(Table13[[#This Row],[Revenue]]&gt;=30000000,"High Value",Table13[[#This Row],[Revenue]]&gt;=10000000,"Moderate Value",TRUE,"Low Value")</f>
        <v>High Value</v>
      </c>
      <c r="AD17" t="str">
        <f>IF(Table13[[#This Row],[Discount 2]]&gt;=5%, "YES", "NO")</f>
        <v>NO</v>
      </c>
      <c r="AE17" t="str" cm="1">
        <f t="array" ref="AE17">_xlfn.IFS(Table13[[#This Row],[Revenue]]&gt;=30000000,"High Spender",Table13[[#This Row],[Revenue]]&gt;=10000000,"Moderate Spender",TRUE,"Low Spender")</f>
        <v>High Spender</v>
      </c>
      <c r="AF17" s="4" t="str" cm="1">
        <f t="array" ref="AF17">_xlfn.IFS(Table13[[#This Row],[Land_Size_SQM]]&gt;=730,"LARGE",Table13[[#This Row],[Land_Size_SQM]]&gt;=465,"MEDIUM",TRUE,"SMALL")</f>
        <v>LARGE</v>
      </c>
    </row>
    <row r="18" spans="1:32" x14ac:dyDescent="0.3">
      <c r="A18" t="s">
        <v>521</v>
      </c>
      <c r="B18" t="s">
        <v>563</v>
      </c>
      <c r="C18" t="s">
        <v>626</v>
      </c>
      <c r="D18">
        <v>59</v>
      </c>
      <c r="E18" t="s">
        <v>630</v>
      </c>
      <c r="F18">
        <v>955</v>
      </c>
      <c r="G18" s="4">
        <v>43364</v>
      </c>
      <c r="H18" s="4">
        <v>41412620</v>
      </c>
      <c r="I18" t="s">
        <v>648</v>
      </c>
      <c r="J18" t="s">
        <v>671</v>
      </c>
      <c r="K18" t="s">
        <v>664</v>
      </c>
      <c r="L18" t="s">
        <v>680</v>
      </c>
      <c r="M18" t="s">
        <v>687</v>
      </c>
      <c r="N18" t="s">
        <v>689</v>
      </c>
      <c r="O18" t="s">
        <v>694</v>
      </c>
      <c r="P18" s="4">
        <v>19750379</v>
      </c>
      <c r="Q18">
        <v>6</v>
      </c>
      <c r="R18" s="7">
        <v>9.2899999999999991</v>
      </c>
      <c r="S18" s="8">
        <f>Table13[[#This Row],[Discount_%]]/100</f>
        <v>9.2899999999999996E-2</v>
      </c>
      <c r="T18" s="6" t="s">
        <v>769</v>
      </c>
      <c r="U18" t="s">
        <v>983</v>
      </c>
      <c r="V18">
        <v>2024</v>
      </c>
      <c r="W18" t="s">
        <v>995</v>
      </c>
      <c r="X18" t="s">
        <v>998</v>
      </c>
      <c r="Y18" t="s">
        <v>1002</v>
      </c>
      <c r="Z18">
        <v>3</v>
      </c>
      <c r="AA18">
        <v>7</v>
      </c>
      <c r="AB18" s="4">
        <f>Table13[[#This Row],[Total_Price]]*(1-Table13[[#This Row],[Discount 2]])</f>
        <v>37565387.601999998</v>
      </c>
      <c r="AC18" s="4" t="str" cm="1">
        <f t="array" ref="AC18">_xlfn.IFS(Table13[[#This Row],[Revenue]]&gt;=30000000,"High Value",Table13[[#This Row],[Revenue]]&gt;=10000000,"Moderate Value",TRUE,"Low Value")</f>
        <v>High Value</v>
      </c>
      <c r="AD18" t="str">
        <f>IF(Table13[[#This Row],[Discount 2]]&gt;=5%, "YES", "NO")</f>
        <v>YES</v>
      </c>
      <c r="AE18" t="str" cm="1">
        <f t="array" ref="AE18">_xlfn.IFS(Table13[[#This Row],[Revenue]]&gt;=30000000,"High Spender",Table13[[#This Row],[Revenue]]&gt;=10000000,"Moderate Spender",TRUE,"Low Spender")</f>
        <v>High Spender</v>
      </c>
      <c r="AF18" s="4" t="str" cm="1">
        <f t="array" ref="AF18">_xlfn.IFS(Table13[[#This Row],[Land_Size_SQM]]&gt;=730,"LARGE",Table13[[#This Row],[Land_Size_SQM]]&gt;=465,"MEDIUM",TRUE,"SMALL")</f>
        <v>LARGE</v>
      </c>
    </row>
    <row r="19" spans="1:32" x14ac:dyDescent="0.3">
      <c r="A19" t="s">
        <v>109</v>
      </c>
      <c r="B19" t="s">
        <v>548</v>
      </c>
      <c r="C19" t="s">
        <v>626</v>
      </c>
      <c r="D19">
        <v>60</v>
      </c>
      <c r="E19" t="s">
        <v>628</v>
      </c>
      <c r="F19">
        <v>990</v>
      </c>
      <c r="G19" s="4">
        <v>40135</v>
      </c>
      <c r="H19" s="4">
        <v>39733650</v>
      </c>
      <c r="I19" t="s">
        <v>648</v>
      </c>
      <c r="J19" t="s">
        <v>671</v>
      </c>
      <c r="K19" t="s">
        <v>676</v>
      </c>
      <c r="L19" t="s">
        <v>680</v>
      </c>
      <c r="M19" t="s">
        <v>685</v>
      </c>
      <c r="N19" t="s">
        <v>691</v>
      </c>
      <c r="O19" t="s">
        <v>694</v>
      </c>
      <c r="P19" s="4">
        <v>8475216</v>
      </c>
      <c r="Q19">
        <v>6</v>
      </c>
      <c r="R19" s="7">
        <v>5.46</v>
      </c>
      <c r="S19" s="8">
        <f>Table13[[#This Row],[Discount_%]]/100</f>
        <v>5.4600000000000003E-2</v>
      </c>
      <c r="T19" s="6" t="s">
        <v>769</v>
      </c>
      <c r="U19" t="s">
        <v>983</v>
      </c>
      <c r="V19">
        <v>2024</v>
      </c>
      <c r="W19" t="s">
        <v>993</v>
      </c>
      <c r="X19" t="s">
        <v>998</v>
      </c>
      <c r="Y19" t="s">
        <v>1000</v>
      </c>
      <c r="Z19">
        <v>1</v>
      </c>
      <c r="AA19">
        <v>13</v>
      </c>
      <c r="AB19" s="4">
        <f>Table13[[#This Row],[Total_Price]]*(1-Table13[[#This Row],[Discount 2]])</f>
        <v>37564192.710000001</v>
      </c>
      <c r="AC19" s="4" t="str" cm="1">
        <f t="array" ref="AC19">_xlfn.IFS(Table13[[#This Row],[Revenue]]&gt;=30000000,"High Value",Table13[[#This Row],[Revenue]]&gt;=10000000,"Moderate Value",TRUE,"Low Value")</f>
        <v>High Value</v>
      </c>
      <c r="AD19" t="str">
        <f>IF(Table13[[#This Row],[Discount 2]]&gt;=5%, "YES", "NO")</f>
        <v>YES</v>
      </c>
      <c r="AE19" t="str" cm="1">
        <f t="array" ref="AE19">_xlfn.IFS(Table13[[#This Row],[Revenue]]&gt;=30000000,"High Spender",Table13[[#This Row],[Revenue]]&gt;=10000000,"Moderate Spender",TRUE,"Low Spender")</f>
        <v>High Spender</v>
      </c>
      <c r="AF19" s="4" t="str" cm="1">
        <f t="array" ref="AF19">_xlfn.IFS(Table13[[#This Row],[Land_Size_SQM]]&gt;=730,"LARGE",Table13[[#This Row],[Land_Size_SQM]]&gt;=465,"MEDIUM",TRUE,"SMALL")</f>
        <v>LARGE</v>
      </c>
    </row>
    <row r="20" spans="1:32" x14ac:dyDescent="0.3">
      <c r="A20" t="s">
        <v>311</v>
      </c>
      <c r="B20" t="s">
        <v>569</v>
      </c>
      <c r="C20" t="s">
        <v>626</v>
      </c>
      <c r="D20">
        <v>60</v>
      </c>
      <c r="E20" t="s">
        <v>630</v>
      </c>
      <c r="F20">
        <v>908</v>
      </c>
      <c r="G20" s="4">
        <v>44505</v>
      </c>
      <c r="H20" s="4">
        <v>40410540</v>
      </c>
      <c r="I20" t="s">
        <v>646</v>
      </c>
      <c r="J20" t="s">
        <v>673</v>
      </c>
      <c r="K20" t="s">
        <v>651</v>
      </c>
      <c r="L20" t="s">
        <v>680</v>
      </c>
      <c r="M20" t="s">
        <v>686</v>
      </c>
      <c r="N20" t="s">
        <v>691</v>
      </c>
      <c r="O20" t="s">
        <v>693</v>
      </c>
      <c r="P20" s="4">
        <v>40410540</v>
      </c>
      <c r="Q20">
        <v>0</v>
      </c>
      <c r="R20" s="7">
        <v>7.18</v>
      </c>
      <c r="S20" s="8">
        <f>Table13[[#This Row],[Discount_%]]/100</f>
        <v>7.1800000000000003E-2</v>
      </c>
      <c r="T20" s="6" t="s">
        <v>907</v>
      </c>
      <c r="U20" t="s">
        <v>987</v>
      </c>
      <c r="V20">
        <v>2024</v>
      </c>
      <c r="W20" t="s">
        <v>996</v>
      </c>
      <c r="X20" t="s">
        <v>998</v>
      </c>
      <c r="Y20" t="s">
        <v>1001</v>
      </c>
      <c r="Z20">
        <v>4</v>
      </c>
      <c r="AA20">
        <v>3</v>
      </c>
      <c r="AB20" s="4">
        <f>Table13[[#This Row],[Total_Price]]*(1-Table13[[#This Row],[Discount 2]])</f>
        <v>37509063.228</v>
      </c>
      <c r="AC20" s="4" t="str" cm="1">
        <f t="array" ref="AC20">_xlfn.IFS(Table13[[#This Row],[Revenue]]&gt;=30000000,"High Value",Table13[[#This Row],[Revenue]]&gt;=10000000,"Moderate Value",TRUE,"Low Value")</f>
        <v>High Value</v>
      </c>
      <c r="AD20" t="str">
        <f>IF(Table13[[#This Row],[Discount 2]]&gt;=5%, "YES", "NO")</f>
        <v>YES</v>
      </c>
      <c r="AE20" t="str" cm="1">
        <f t="array" ref="AE20">_xlfn.IFS(Table13[[#This Row],[Revenue]]&gt;=30000000,"High Spender",Table13[[#This Row],[Revenue]]&gt;=10000000,"Moderate Spender",TRUE,"Low Spender")</f>
        <v>High Spender</v>
      </c>
      <c r="AF20" s="4" t="str" cm="1">
        <f t="array" ref="AF20">_xlfn.IFS(Table13[[#This Row],[Land_Size_SQM]]&gt;=730,"LARGE",Table13[[#This Row],[Land_Size_SQM]]&gt;=465,"MEDIUM",TRUE,"SMALL")</f>
        <v>LARGE</v>
      </c>
    </row>
    <row r="21" spans="1:32" x14ac:dyDescent="0.3">
      <c r="A21" t="s">
        <v>315</v>
      </c>
      <c r="B21" t="s">
        <v>542</v>
      </c>
      <c r="C21" t="s">
        <v>627</v>
      </c>
      <c r="D21">
        <v>39</v>
      </c>
      <c r="E21" t="s">
        <v>630</v>
      </c>
      <c r="F21">
        <v>876</v>
      </c>
      <c r="G21" s="4">
        <v>47319</v>
      </c>
      <c r="H21" s="4">
        <v>41451444</v>
      </c>
      <c r="I21" t="s">
        <v>651</v>
      </c>
      <c r="J21" t="s">
        <v>669</v>
      </c>
      <c r="K21" t="s">
        <v>674</v>
      </c>
      <c r="L21" t="s">
        <v>681</v>
      </c>
      <c r="M21" t="s">
        <v>684</v>
      </c>
      <c r="N21" t="s">
        <v>689</v>
      </c>
      <c r="O21" t="s">
        <v>693</v>
      </c>
      <c r="P21" s="4">
        <v>41451444</v>
      </c>
      <c r="Q21">
        <v>0</v>
      </c>
      <c r="R21" s="7">
        <v>9.66</v>
      </c>
      <c r="S21" s="8">
        <f>Table13[[#This Row],[Discount_%]]/100</f>
        <v>9.6600000000000005E-2</v>
      </c>
      <c r="T21" s="6" t="s">
        <v>909</v>
      </c>
      <c r="U21" t="s">
        <v>985</v>
      </c>
      <c r="V21">
        <v>2024</v>
      </c>
      <c r="W21" t="s">
        <v>995</v>
      </c>
      <c r="X21" t="s">
        <v>997</v>
      </c>
      <c r="Y21" t="s">
        <v>1000</v>
      </c>
      <c r="Z21">
        <v>3</v>
      </c>
      <c r="AA21">
        <v>31</v>
      </c>
      <c r="AB21" s="4">
        <f>Table13[[#This Row],[Total_Price]]*(1-Table13[[#This Row],[Discount 2]])</f>
        <v>37447234.509599999</v>
      </c>
      <c r="AC21" s="4" t="str" cm="1">
        <f t="array" ref="AC21">_xlfn.IFS(Table13[[#This Row],[Revenue]]&gt;=30000000,"High Value",Table13[[#This Row],[Revenue]]&gt;=10000000,"Moderate Value",TRUE,"Low Value")</f>
        <v>High Value</v>
      </c>
      <c r="AD21" t="str">
        <f>IF(Table13[[#This Row],[Discount 2]]&gt;=5%, "YES", "NO")</f>
        <v>YES</v>
      </c>
      <c r="AE21" t="str" cm="1">
        <f t="array" ref="AE21">_xlfn.IFS(Table13[[#This Row],[Revenue]]&gt;=30000000,"High Spender",Table13[[#This Row],[Revenue]]&gt;=10000000,"Moderate Spender",TRUE,"Low Spender")</f>
        <v>High Spender</v>
      </c>
      <c r="AF21" s="4" t="str" cm="1">
        <f t="array" ref="AF21">_xlfn.IFS(Table13[[#This Row],[Land_Size_SQM]]&gt;=730,"LARGE",Table13[[#This Row],[Land_Size_SQM]]&gt;=465,"MEDIUM",TRUE,"SMALL")</f>
        <v>LARGE</v>
      </c>
    </row>
    <row r="22" spans="1:32" x14ac:dyDescent="0.3">
      <c r="A22" t="s">
        <v>329</v>
      </c>
      <c r="B22" t="s">
        <v>536</v>
      </c>
      <c r="C22" t="s">
        <v>627</v>
      </c>
      <c r="D22">
        <v>57</v>
      </c>
      <c r="E22" t="s">
        <v>629</v>
      </c>
      <c r="F22">
        <v>878</v>
      </c>
      <c r="G22" s="4">
        <v>45883</v>
      </c>
      <c r="H22" s="4">
        <v>40285274</v>
      </c>
      <c r="I22" t="s">
        <v>653</v>
      </c>
      <c r="J22" t="s">
        <v>668</v>
      </c>
      <c r="K22" t="s">
        <v>638</v>
      </c>
      <c r="L22" t="s">
        <v>681</v>
      </c>
      <c r="M22" t="s">
        <v>687</v>
      </c>
      <c r="N22" t="s">
        <v>692</v>
      </c>
      <c r="O22" t="s">
        <v>693</v>
      </c>
      <c r="P22" s="4">
        <v>40285274</v>
      </c>
      <c r="Q22">
        <v>0</v>
      </c>
      <c r="R22" s="7">
        <v>7.39</v>
      </c>
      <c r="S22" s="8">
        <f>Table13[[#This Row],[Discount_%]]/100</f>
        <v>7.3899999999999993E-2</v>
      </c>
      <c r="T22" s="6" t="s">
        <v>917</v>
      </c>
      <c r="U22" t="s">
        <v>984</v>
      </c>
      <c r="V22">
        <v>2024</v>
      </c>
      <c r="W22" t="s">
        <v>993</v>
      </c>
      <c r="X22" t="s">
        <v>998</v>
      </c>
      <c r="Y22" t="s">
        <v>1000</v>
      </c>
      <c r="Z22">
        <v>3</v>
      </c>
      <c r="AA22">
        <v>26</v>
      </c>
      <c r="AB22" s="4">
        <f>Table13[[#This Row],[Total_Price]]*(1-Table13[[#This Row],[Discount 2]])</f>
        <v>37308192.251400001</v>
      </c>
      <c r="AC22" s="4" t="str" cm="1">
        <f t="array" ref="AC22">_xlfn.IFS(Table13[[#This Row],[Revenue]]&gt;=30000000,"High Value",Table13[[#This Row],[Revenue]]&gt;=10000000,"Moderate Value",TRUE,"Low Value")</f>
        <v>High Value</v>
      </c>
      <c r="AD22" t="str">
        <f>IF(Table13[[#This Row],[Discount 2]]&gt;=5%, "YES", "NO")</f>
        <v>YES</v>
      </c>
      <c r="AE22" t="str" cm="1">
        <f t="array" ref="AE22">_xlfn.IFS(Table13[[#This Row],[Revenue]]&gt;=30000000,"High Spender",Table13[[#This Row],[Revenue]]&gt;=10000000,"Moderate Spender",TRUE,"Low Spender")</f>
        <v>High Spender</v>
      </c>
      <c r="AF22" s="4" t="str" cm="1">
        <f t="array" ref="AF22">_xlfn.IFS(Table13[[#This Row],[Land_Size_SQM]]&gt;=730,"LARGE",Table13[[#This Row],[Land_Size_SQM]]&gt;=465,"MEDIUM",TRUE,"SMALL")</f>
        <v>LARGE</v>
      </c>
    </row>
    <row r="23" spans="1:32" x14ac:dyDescent="0.3">
      <c r="A23" t="s">
        <v>123</v>
      </c>
      <c r="B23" t="s">
        <v>561</v>
      </c>
      <c r="C23" t="s">
        <v>626</v>
      </c>
      <c r="D23">
        <v>29</v>
      </c>
      <c r="E23" t="s">
        <v>628</v>
      </c>
      <c r="F23">
        <v>982</v>
      </c>
      <c r="G23" s="4">
        <v>38035</v>
      </c>
      <c r="H23" s="4">
        <v>37350370</v>
      </c>
      <c r="I23" t="s">
        <v>647</v>
      </c>
      <c r="J23" t="s">
        <v>670</v>
      </c>
      <c r="K23" t="s">
        <v>678</v>
      </c>
      <c r="L23" t="s">
        <v>682</v>
      </c>
      <c r="M23" t="s">
        <v>686</v>
      </c>
      <c r="N23" t="s">
        <v>691</v>
      </c>
      <c r="O23" t="s">
        <v>694</v>
      </c>
      <c r="P23" s="4">
        <v>8911762</v>
      </c>
      <c r="Q23">
        <v>3</v>
      </c>
      <c r="R23" s="7">
        <v>0.97</v>
      </c>
      <c r="S23" s="8">
        <f>Table13[[#This Row],[Discount_%]]/100</f>
        <v>9.7000000000000003E-3</v>
      </c>
      <c r="T23" s="6" t="s">
        <v>740</v>
      </c>
      <c r="U23" t="s">
        <v>991</v>
      </c>
      <c r="V23">
        <v>2024</v>
      </c>
      <c r="W23" t="s">
        <v>993</v>
      </c>
      <c r="X23" t="s">
        <v>999</v>
      </c>
      <c r="Y23" t="s">
        <v>1000</v>
      </c>
      <c r="Z23">
        <v>2</v>
      </c>
      <c r="AA23">
        <v>46</v>
      </c>
      <c r="AB23" s="4">
        <f>Table13[[#This Row],[Total_Price]]*(1-Table13[[#This Row],[Discount 2]])</f>
        <v>36988071.410999998</v>
      </c>
      <c r="AC23" s="4" t="str" cm="1">
        <f t="array" ref="AC23">_xlfn.IFS(Table13[[#This Row],[Revenue]]&gt;=30000000,"High Value",Table13[[#This Row],[Revenue]]&gt;=10000000,"Moderate Value",TRUE,"Low Value")</f>
        <v>High Value</v>
      </c>
      <c r="AD23" t="str">
        <f>IF(Table13[[#This Row],[Discount 2]]&gt;=5%, "YES", "NO")</f>
        <v>NO</v>
      </c>
      <c r="AE23" t="str" cm="1">
        <f t="array" ref="AE23">_xlfn.IFS(Table13[[#This Row],[Revenue]]&gt;=30000000,"High Spender",Table13[[#This Row],[Revenue]]&gt;=10000000,"Moderate Spender",TRUE,"Low Spender")</f>
        <v>High Spender</v>
      </c>
      <c r="AF23" s="4" t="str" cm="1">
        <f t="array" ref="AF23">_xlfn.IFS(Table13[[#This Row],[Land_Size_SQM]]&gt;=730,"LARGE",Table13[[#This Row],[Land_Size_SQM]]&gt;=465,"MEDIUM",TRUE,"SMALL")</f>
        <v>LARGE</v>
      </c>
    </row>
    <row r="24" spans="1:32" x14ac:dyDescent="0.3">
      <c r="A24" t="s">
        <v>362</v>
      </c>
      <c r="B24" t="s">
        <v>600</v>
      </c>
      <c r="C24" t="s">
        <v>627</v>
      </c>
      <c r="D24">
        <v>38</v>
      </c>
      <c r="E24" t="s">
        <v>630</v>
      </c>
      <c r="F24">
        <v>920</v>
      </c>
      <c r="G24" s="4">
        <v>43510</v>
      </c>
      <c r="H24" s="4">
        <v>40029200</v>
      </c>
      <c r="I24" t="s">
        <v>636</v>
      </c>
      <c r="J24" t="s">
        <v>671</v>
      </c>
      <c r="K24" t="s">
        <v>678</v>
      </c>
      <c r="L24" t="s">
        <v>681</v>
      </c>
      <c r="M24" t="s">
        <v>686</v>
      </c>
      <c r="N24" t="s">
        <v>692</v>
      </c>
      <c r="O24" t="s">
        <v>693</v>
      </c>
      <c r="P24" s="4">
        <v>40029200</v>
      </c>
      <c r="Q24">
        <v>0</v>
      </c>
      <c r="R24" s="7">
        <v>8.6</v>
      </c>
      <c r="S24" s="8">
        <f>Table13[[#This Row],[Discount_%]]/100</f>
        <v>8.5999999999999993E-2</v>
      </c>
      <c r="T24" s="6" t="s">
        <v>877</v>
      </c>
      <c r="U24" t="s">
        <v>981</v>
      </c>
      <c r="V24">
        <v>2024</v>
      </c>
      <c r="W24" t="s">
        <v>996</v>
      </c>
      <c r="X24" t="s">
        <v>997</v>
      </c>
      <c r="Y24" t="s">
        <v>1000</v>
      </c>
      <c r="Z24">
        <v>5</v>
      </c>
      <c r="AA24">
        <v>22</v>
      </c>
      <c r="AB24" s="4">
        <f>Table13[[#This Row],[Total_Price]]*(1-Table13[[#This Row],[Discount 2]])</f>
        <v>36586688.800000004</v>
      </c>
      <c r="AC24" s="4" t="str" cm="1">
        <f t="array" ref="AC24">_xlfn.IFS(Table13[[#This Row],[Revenue]]&gt;=30000000,"High Value",Table13[[#This Row],[Revenue]]&gt;=10000000,"Moderate Value",TRUE,"Low Value")</f>
        <v>High Value</v>
      </c>
      <c r="AD24" t="str">
        <f>IF(Table13[[#This Row],[Discount 2]]&gt;=5%, "YES", "NO")</f>
        <v>YES</v>
      </c>
      <c r="AE24" t="str" cm="1">
        <f t="array" ref="AE24">_xlfn.IFS(Table13[[#This Row],[Revenue]]&gt;=30000000,"High Spender",Table13[[#This Row],[Revenue]]&gt;=10000000,"Moderate Spender",TRUE,"Low Spender")</f>
        <v>High Spender</v>
      </c>
      <c r="AF24" s="4" t="str" cm="1">
        <f t="array" ref="AF24">_xlfn.IFS(Table13[[#This Row],[Land_Size_SQM]]&gt;=730,"LARGE",Table13[[#This Row],[Land_Size_SQM]]&gt;=465,"MEDIUM",TRUE,"SMALL")</f>
        <v>LARGE</v>
      </c>
    </row>
    <row r="25" spans="1:32" x14ac:dyDescent="0.3">
      <c r="A25" t="s">
        <v>248</v>
      </c>
      <c r="B25" t="s">
        <v>564</v>
      </c>
      <c r="C25" t="s">
        <v>627</v>
      </c>
      <c r="D25">
        <v>40</v>
      </c>
      <c r="E25" t="s">
        <v>628</v>
      </c>
      <c r="F25">
        <v>831</v>
      </c>
      <c r="G25" s="4">
        <v>45215</v>
      </c>
      <c r="H25" s="4">
        <v>37573665</v>
      </c>
      <c r="I25" t="s">
        <v>666</v>
      </c>
      <c r="J25" t="s">
        <v>670</v>
      </c>
      <c r="K25" t="s">
        <v>651</v>
      </c>
      <c r="L25" t="s">
        <v>680</v>
      </c>
      <c r="M25" t="s">
        <v>684</v>
      </c>
      <c r="N25" t="s">
        <v>690</v>
      </c>
      <c r="O25" t="s">
        <v>694</v>
      </c>
      <c r="P25" s="4">
        <v>13889692</v>
      </c>
      <c r="Q25">
        <v>6</v>
      </c>
      <c r="R25" s="7">
        <v>3.64</v>
      </c>
      <c r="S25" s="8">
        <f>Table13[[#This Row],[Discount_%]]/100</f>
        <v>3.6400000000000002E-2</v>
      </c>
      <c r="T25" s="6" t="s">
        <v>849</v>
      </c>
      <c r="U25" t="s">
        <v>982</v>
      </c>
      <c r="V25">
        <v>2024</v>
      </c>
      <c r="W25" t="s">
        <v>994</v>
      </c>
      <c r="X25" t="s">
        <v>999</v>
      </c>
      <c r="Y25" t="s">
        <v>1001</v>
      </c>
      <c r="Z25">
        <v>3</v>
      </c>
      <c r="AA25">
        <v>31</v>
      </c>
      <c r="AB25" s="4">
        <f>Table13[[#This Row],[Total_Price]]*(1-Table13[[#This Row],[Discount 2]])</f>
        <v>36205983.593999997</v>
      </c>
      <c r="AC25" s="4" t="str" cm="1">
        <f t="array" ref="AC25">_xlfn.IFS(Table13[[#This Row],[Revenue]]&gt;=30000000,"High Value",Table13[[#This Row],[Revenue]]&gt;=10000000,"Moderate Value",TRUE,"Low Value")</f>
        <v>High Value</v>
      </c>
      <c r="AD25" t="str">
        <f>IF(Table13[[#This Row],[Discount 2]]&gt;=5%, "YES", "NO")</f>
        <v>NO</v>
      </c>
      <c r="AE25" t="str" cm="1">
        <f t="array" ref="AE25">_xlfn.IFS(Table13[[#This Row],[Revenue]]&gt;=30000000,"High Spender",Table13[[#This Row],[Revenue]]&gt;=10000000,"Moderate Spender",TRUE,"Low Spender")</f>
        <v>High Spender</v>
      </c>
      <c r="AF25" s="4" t="str" cm="1">
        <f t="array" ref="AF25">_xlfn.IFS(Table13[[#This Row],[Land_Size_SQM]]&gt;=730,"LARGE",Table13[[#This Row],[Land_Size_SQM]]&gt;=465,"MEDIUM",TRUE,"SMALL")</f>
        <v>LARGE</v>
      </c>
    </row>
    <row r="26" spans="1:32" x14ac:dyDescent="0.3">
      <c r="A26" t="s">
        <v>304</v>
      </c>
      <c r="B26" t="s">
        <v>537</v>
      </c>
      <c r="C26" t="s">
        <v>626</v>
      </c>
      <c r="D26">
        <v>58</v>
      </c>
      <c r="E26" t="s">
        <v>630</v>
      </c>
      <c r="F26">
        <v>894</v>
      </c>
      <c r="G26" s="4">
        <v>42137</v>
      </c>
      <c r="H26" s="4">
        <v>37670478</v>
      </c>
      <c r="I26" t="s">
        <v>633</v>
      </c>
      <c r="J26" t="s">
        <v>668</v>
      </c>
      <c r="K26" t="s">
        <v>675</v>
      </c>
      <c r="L26" t="s">
        <v>681</v>
      </c>
      <c r="M26" t="s">
        <v>686</v>
      </c>
      <c r="N26" t="s">
        <v>688</v>
      </c>
      <c r="O26" t="s">
        <v>693</v>
      </c>
      <c r="P26" s="4">
        <v>37670478</v>
      </c>
      <c r="Q26">
        <v>0</v>
      </c>
      <c r="R26" s="7">
        <v>4.17</v>
      </c>
      <c r="S26" s="8">
        <f>Table13[[#This Row],[Discount_%]]/100</f>
        <v>4.1700000000000001E-2</v>
      </c>
      <c r="T26" s="6" t="s">
        <v>901</v>
      </c>
      <c r="U26" t="s">
        <v>985</v>
      </c>
      <c r="V26">
        <v>2024</v>
      </c>
      <c r="W26" t="s">
        <v>996</v>
      </c>
      <c r="X26" t="s">
        <v>997</v>
      </c>
      <c r="Y26" t="s">
        <v>1000</v>
      </c>
      <c r="Z26">
        <v>5</v>
      </c>
      <c r="AA26">
        <v>35</v>
      </c>
      <c r="AB26" s="4">
        <f>Table13[[#This Row],[Total_Price]]*(1-Table13[[#This Row],[Discount 2]])</f>
        <v>36099619.067400001</v>
      </c>
      <c r="AC26" s="4" t="str" cm="1">
        <f t="array" ref="AC26">_xlfn.IFS(Table13[[#This Row],[Revenue]]&gt;=30000000,"High Value",Table13[[#This Row],[Revenue]]&gt;=10000000,"Moderate Value",TRUE,"Low Value")</f>
        <v>High Value</v>
      </c>
      <c r="AD26" t="str">
        <f>IF(Table13[[#This Row],[Discount 2]]&gt;=5%, "YES", "NO")</f>
        <v>NO</v>
      </c>
      <c r="AE26" t="str" cm="1">
        <f t="array" ref="AE26">_xlfn.IFS(Table13[[#This Row],[Revenue]]&gt;=30000000,"High Spender",Table13[[#This Row],[Revenue]]&gt;=10000000,"Moderate Spender",TRUE,"Low Spender")</f>
        <v>High Spender</v>
      </c>
      <c r="AF26" s="4" t="str" cm="1">
        <f t="array" ref="AF26">_xlfn.IFS(Table13[[#This Row],[Land_Size_SQM]]&gt;=730,"LARGE",Table13[[#This Row],[Land_Size_SQM]]&gt;=465,"MEDIUM",TRUE,"SMALL")</f>
        <v>LARGE</v>
      </c>
    </row>
    <row r="27" spans="1:32" x14ac:dyDescent="0.3">
      <c r="A27" t="s">
        <v>505</v>
      </c>
      <c r="B27" t="s">
        <v>611</v>
      </c>
      <c r="C27" t="s">
        <v>627</v>
      </c>
      <c r="D27">
        <v>40</v>
      </c>
      <c r="E27" t="s">
        <v>629</v>
      </c>
      <c r="F27">
        <v>740</v>
      </c>
      <c r="G27" s="4">
        <v>49628</v>
      </c>
      <c r="H27" s="4">
        <v>36724720</v>
      </c>
      <c r="I27" t="s">
        <v>666</v>
      </c>
      <c r="J27" t="s">
        <v>670</v>
      </c>
      <c r="K27" t="s">
        <v>676</v>
      </c>
      <c r="L27" t="s">
        <v>680</v>
      </c>
      <c r="M27" t="s">
        <v>687</v>
      </c>
      <c r="N27" t="s">
        <v>691</v>
      </c>
      <c r="O27" t="s">
        <v>694</v>
      </c>
      <c r="P27" s="4">
        <v>15017212</v>
      </c>
      <c r="Q27">
        <v>12</v>
      </c>
      <c r="R27" s="7">
        <v>1.95</v>
      </c>
      <c r="S27" s="8">
        <f>Table13[[#This Row],[Discount_%]]/100</f>
        <v>1.95E-2</v>
      </c>
      <c r="T27" s="6" t="s">
        <v>937</v>
      </c>
      <c r="U27" t="s">
        <v>985</v>
      </c>
      <c r="V27">
        <v>2024</v>
      </c>
      <c r="W27" t="s">
        <v>996</v>
      </c>
      <c r="X27" t="s">
        <v>997</v>
      </c>
      <c r="Y27" t="s">
        <v>1000</v>
      </c>
      <c r="Z27">
        <v>4</v>
      </c>
      <c r="AA27">
        <v>45</v>
      </c>
      <c r="AB27" s="4">
        <f>Table13[[#This Row],[Total_Price]]*(1-Table13[[#This Row],[Discount 2]])</f>
        <v>36008587.960000001</v>
      </c>
      <c r="AC27" s="4" t="str" cm="1">
        <f t="array" ref="AC27">_xlfn.IFS(Table13[[#This Row],[Revenue]]&gt;=30000000,"High Value",Table13[[#This Row],[Revenue]]&gt;=10000000,"Moderate Value",TRUE,"Low Value")</f>
        <v>High Value</v>
      </c>
      <c r="AD27" t="str">
        <f>IF(Table13[[#This Row],[Discount 2]]&gt;=5%, "YES", "NO")</f>
        <v>NO</v>
      </c>
      <c r="AE27" t="str" cm="1">
        <f t="array" ref="AE27">_xlfn.IFS(Table13[[#This Row],[Revenue]]&gt;=30000000,"High Spender",Table13[[#This Row],[Revenue]]&gt;=10000000,"Moderate Spender",TRUE,"Low Spender")</f>
        <v>High Spender</v>
      </c>
      <c r="AF27" s="4" t="str" cm="1">
        <f t="array" ref="AF27">_xlfn.IFS(Table13[[#This Row],[Land_Size_SQM]]&gt;=730,"LARGE",Table13[[#This Row],[Land_Size_SQM]]&gt;=465,"MEDIUM",TRUE,"SMALL")</f>
        <v>LARGE</v>
      </c>
    </row>
    <row r="28" spans="1:32" x14ac:dyDescent="0.3">
      <c r="A28" t="s">
        <v>323</v>
      </c>
      <c r="B28" t="s">
        <v>540</v>
      </c>
      <c r="C28" t="s">
        <v>626</v>
      </c>
      <c r="D28">
        <v>21</v>
      </c>
      <c r="E28" t="s">
        <v>629</v>
      </c>
      <c r="F28">
        <v>903</v>
      </c>
      <c r="G28" s="4">
        <v>40947</v>
      </c>
      <c r="H28" s="4">
        <v>36975141</v>
      </c>
      <c r="I28" t="s">
        <v>646</v>
      </c>
      <c r="J28" t="s">
        <v>673</v>
      </c>
      <c r="K28" t="s">
        <v>664</v>
      </c>
      <c r="L28" t="s">
        <v>681</v>
      </c>
      <c r="M28" t="s">
        <v>683</v>
      </c>
      <c r="N28" t="s">
        <v>690</v>
      </c>
      <c r="O28" t="s">
        <v>693</v>
      </c>
      <c r="P28" s="4">
        <v>36975141</v>
      </c>
      <c r="Q28">
        <v>0</v>
      </c>
      <c r="R28" s="7">
        <v>3.33</v>
      </c>
      <c r="S28" s="8">
        <f>Table13[[#This Row],[Discount_%]]/100</f>
        <v>3.3300000000000003E-2</v>
      </c>
      <c r="T28" s="6" t="s">
        <v>842</v>
      </c>
      <c r="U28" t="s">
        <v>988</v>
      </c>
      <c r="V28">
        <v>2024</v>
      </c>
      <c r="W28" t="s">
        <v>996</v>
      </c>
      <c r="X28" t="s">
        <v>999</v>
      </c>
      <c r="Y28" t="s">
        <v>1002</v>
      </c>
      <c r="Z28">
        <v>3</v>
      </c>
      <c r="AA28">
        <v>35</v>
      </c>
      <c r="AB28" s="4">
        <f>Table13[[#This Row],[Total_Price]]*(1-Table13[[#This Row],[Discount 2]])</f>
        <v>35743868.804700002</v>
      </c>
      <c r="AC28" s="4" t="str" cm="1">
        <f t="array" ref="AC28">_xlfn.IFS(Table13[[#This Row],[Revenue]]&gt;=30000000,"High Value",Table13[[#This Row],[Revenue]]&gt;=10000000,"Moderate Value",TRUE,"Low Value")</f>
        <v>High Value</v>
      </c>
      <c r="AD28" t="str">
        <f>IF(Table13[[#This Row],[Discount 2]]&gt;=5%, "YES", "NO")</f>
        <v>NO</v>
      </c>
      <c r="AE28" t="str" cm="1">
        <f t="array" ref="AE28">_xlfn.IFS(Table13[[#This Row],[Revenue]]&gt;=30000000,"High Spender",Table13[[#This Row],[Revenue]]&gt;=10000000,"Moderate Spender",TRUE,"Low Spender")</f>
        <v>High Spender</v>
      </c>
      <c r="AF28" s="4" t="str" cm="1">
        <f t="array" ref="AF28">_xlfn.IFS(Table13[[#This Row],[Land_Size_SQM]]&gt;=730,"LARGE",Table13[[#This Row],[Land_Size_SQM]]&gt;=465,"MEDIUM",TRUE,"SMALL")</f>
        <v>LARGE</v>
      </c>
    </row>
    <row r="29" spans="1:32" x14ac:dyDescent="0.3">
      <c r="A29" t="s">
        <v>383</v>
      </c>
      <c r="B29" t="s">
        <v>579</v>
      </c>
      <c r="C29" t="s">
        <v>626</v>
      </c>
      <c r="D29">
        <v>47</v>
      </c>
      <c r="E29" t="s">
        <v>628</v>
      </c>
      <c r="F29">
        <v>914</v>
      </c>
      <c r="G29" s="4">
        <v>40625</v>
      </c>
      <c r="H29" s="4">
        <v>37131250</v>
      </c>
      <c r="I29" t="s">
        <v>633</v>
      </c>
      <c r="J29" t="s">
        <v>668</v>
      </c>
      <c r="K29" t="s">
        <v>651</v>
      </c>
      <c r="L29" t="s">
        <v>682</v>
      </c>
      <c r="M29" t="s">
        <v>683</v>
      </c>
      <c r="N29" t="s">
        <v>691</v>
      </c>
      <c r="O29" t="s">
        <v>693</v>
      </c>
      <c r="P29" s="4">
        <v>37131250</v>
      </c>
      <c r="Q29">
        <v>0</v>
      </c>
      <c r="R29" s="7">
        <v>4.4000000000000004</v>
      </c>
      <c r="S29" s="8">
        <f>Table13[[#This Row],[Discount_%]]/100</f>
        <v>4.4000000000000004E-2</v>
      </c>
      <c r="T29" s="6" t="s">
        <v>885</v>
      </c>
      <c r="U29" t="s">
        <v>981</v>
      </c>
      <c r="V29">
        <v>2024</v>
      </c>
      <c r="W29" t="s">
        <v>993</v>
      </c>
      <c r="X29" t="s">
        <v>998</v>
      </c>
      <c r="Y29" t="s">
        <v>1000</v>
      </c>
      <c r="Z29">
        <v>4</v>
      </c>
      <c r="AA29">
        <v>8</v>
      </c>
      <c r="AB29" s="4">
        <f>Table13[[#This Row],[Total_Price]]*(1-Table13[[#This Row],[Discount 2]])</f>
        <v>35497475</v>
      </c>
      <c r="AC29" s="4" t="str" cm="1">
        <f t="array" ref="AC29">_xlfn.IFS(Table13[[#This Row],[Revenue]]&gt;=30000000,"High Value",Table13[[#This Row],[Revenue]]&gt;=10000000,"Moderate Value",TRUE,"Low Value")</f>
        <v>High Value</v>
      </c>
      <c r="AD29" t="str">
        <f>IF(Table13[[#This Row],[Discount 2]]&gt;=5%, "YES", "NO")</f>
        <v>NO</v>
      </c>
      <c r="AE29" t="str" cm="1">
        <f t="array" ref="AE29">_xlfn.IFS(Table13[[#This Row],[Revenue]]&gt;=30000000,"High Spender",Table13[[#This Row],[Revenue]]&gt;=10000000,"Moderate Spender",TRUE,"Low Spender")</f>
        <v>High Spender</v>
      </c>
      <c r="AF29" s="4" t="str" cm="1">
        <f t="array" ref="AF29">_xlfn.IFS(Table13[[#This Row],[Land_Size_SQM]]&gt;=730,"LARGE",Table13[[#This Row],[Land_Size_SQM]]&gt;=465,"MEDIUM",TRUE,"SMALL")</f>
        <v>LARGE</v>
      </c>
    </row>
    <row r="30" spans="1:32" x14ac:dyDescent="0.3">
      <c r="A30" t="s">
        <v>228</v>
      </c>
      <c r="B30" t="s">
        <v>561</v>
      </c>
      <c r="C30" t="s">
        <v>627</v>
      </c>
      <c r="D30">
        <v>47</v>
      </c>
      <c r="E30" t="s">
        <v>629</v>
      </c>
      <c r="F30">
        <v>985</v>
      </c>
      <c r="G30" s="4">
        <v>39791</v>
      </c>
      <c r="H30" s="4">
        <v>39194135</v>
      </c>
      <c r="I30" t="s">
        <v>659</v>
      </c>
      <c r="J30" t="s">
        <v>668</v>
      </c>
      <c r="K30" t="s">
        <v>675</v>
      </c>
      <c r="L30" t="s">
        <v>682</v>
      </c>
      <c r="M30" t="s">
        <v>683</v>
      </c>
      <c r="N30" t="s">
        <v>691</v>
      </c>
      <c r="O30" t="s">
        <v>693</v>
      </c>
      <c r="P30" s="4">
        <v>39194135</v>
      </c>
      <c r="Q30">
        <v>0</v>
      </c>
      <c r="R30" s="7">
        <v>9.7799999999999994</v>
      </c>
      <c r="S30" s="8">
        <f>Table13[[#This Row],[Discount_%]]/100</f>
        <v>9.7799999999999998E-2</v>
      </c>
      <c r="T30" s="6" t="s">
        <v>782</v>
      </c>
      <c r="U30" t="s">
        <v>984</v>
      </c>
      <c r="V30">
        <v>2024</v>
      </c>
      <c r="W30" t="s">
        <v>994</v>
      </c>
      <c r="X30" t="s">
        <v>997</v>
      </c>
      <c r="Y30" t="s">
        <v>1001</v>
      </c>
      <c r="Z30">
        <v>4</v>
      </c>
      <c r="AA30">
        <v>10</v>
      </c>
      <c r="AB30" s="4">
        <f>Table13[[#This Row],[Total_Price]]*(1-Table13[[#This Row],[Discount 2]])</f>
        <v>35360948.597000003</v>
      </c>
      <c r="AC30" s="4" t="str" cm="1">
        <f t="array" ref="AC30">_xlfn.IFS(Table13[[#This Row],[Revenue]]&gt;=30000000,"High Value",Table13[[#This Row],[Revenue]]&gt;=10000000,"Moderate Value",TRUE,"Low Value")</f>
        <v>High Value</v>
      </c>
      <c r="AD30" t="str">
        <f>IF(Table13[[#This Row],[Discount 2]]&gt;=5%, "YES", "NO")</f>
        <v>YES</v>
      </c>
      <c r="AE30" t="str" cm="1">
        <f t="array" ref="AE30">_xlfn.IFS(Table13[[#This Row],[Revenue]]&gt;=30000000,"High Spender",Table13[[#This Row],[Revenue]]&gt;=10000000,"Moderate Spender",TRUE,"Low Spender")</f>
        <v>High Spender</v>
      </c>
      <c r="AF30" s="4" t="str" cm="1">
        <f t="array" ref="AF30">_xlfn.IFS(Table13[[#This Row],[Land_Size_SQM]]&gt;=730,"LARGE",Table13[[#This Row],[Land_Size_SQM]]&gt;=465,"MEDIUM",TRUE,"SMALL")</f>
        <v>LARGE</v>
      </c>
    </row>
    <row r="31" spans="1:32" x14ac:dyDescent="0.3">
      <c r="A31" t="s">
        <v>364</v>
      </c>
      <c r="B31" t="s">
        <v>553</v>
      </c>
      <c r="C31" t="s">
        <v>626</v>
      </c>
      <c r="D31">
        <v>52</v>
      </c>
      <c r="E31" t="s">
        <v>629</v>
      </c>
      <c r="F31">
        <v>955</v>
      </c>
      <c r="G31" s="4">
        <v>40018</v>
      </c>
      <c r="H31" s="4">
        <v>38217190</v>
      </c>
      <c r="I31" t="s">
        <v>662</v>
      </c>
      <c r="J31" t="s">
        <v>673</v>
      </c>
      <c r="K31" t="s">
        <v>678</v>
      </c>
      <c r="L31" t="s">
        <v>681</v>
      </c>
      <c r="M31" t="s">
        <v>687</v>
      </c>
      <c r="N31" t="s">
        <v>689</v>
      </c>
      <c r="O31" t="s">
        <v>693</v>
      </c>
      <c r="P31" s="4">
        <v>38217190</v>
      </c>
      <c r="Q31">
        <v>0</v>
      </c>
      <c r="R31" s="7">
        <v>7.53</v>
      </c>
      <c r="S31" s="8">
        <f>Table13[[#This Row],[Discount_%]]/100</f>
        <v>7.5300000000000006E-2</v>
      </c>
      <c r="T31" s="6" t="s">
        <v>935</v>
      </c>
      <c r="U31" t="s">
        <v>990</v>
      </c>
      <c r="V31">
        <v>2024</v>
      </c>
      <c r="W31" t="s">
        <v>993</v>
      </c>
      <c r="X31" t="s">
        <v>998</v>
      </c>
      <c r="Y31" t="s">
        <v>1002</v>
      </c>
      <c r="Z31">
        <v>4</v>
      </c>
      <c r="AA31">
        <v>32</v>
      </c>
      <c r="AB31" s="4">
        <f>Table13[[#This Row],[Total_Price]]*(1-Table13[[#This Row],[Discount 2]])</f>
        <v>35339435.593000002</v>
      </c>
      <c r="AC31" s="4" t="str" cm="1">
        <f t="array" ref="AC31">_xlfn.IFS(Table13[[#This Row],[Revenue]]&gt;=30000000,"High Value",Table13[[#This Row],[Revenue]]&gt;=10000000,"Moderate Value",TRUE,"Low Value")</f>
        <v>High Value</v>
      </c>
      <c r="AD31" t="str">
        <f>IF(Table13[[#This Row],[Discount 2]]&gt;=5%, "YES", "NO")</f>
        <v>YES</v>
      </c>
      <c r="AE31" t="str" cm="1">
        <f t="array" ref="AE31">_xlfn.IFS(Table13[[#This Row],[Revenue]]&gt;=30000000,"High Spender",Table13[[#This Row],[Revenue]]&gt;=10000000,"Moderate Spender",TRUE,"Low Spender")</f>
        <v>High Spender</v>
      </c>
      <c r="AF31" s="4" t="str" cm="1">
        <f t="array" ref="AF31">_xlfn.IFS(Table13[[#This Row],[Land_Size_SQM]]&gt;=730,"LARGE",Table13[[#This Row],[Land_Size_SQM]]&gt;=465,"MEDIUM",TRUE,"SMALL")</f>
        <v>LARGE</v>
      </c>
    </row>
    <row r="32" spans="1:32" x14ac:dyDescent="0.3">
      <c r="A32" t="s">
        <v>52</v>
      </c>
      <c r="B32" t="s">
        <v>546</v>
      </c>
      <c r="C32" t="s">
        <v>626</v>
      </c>
      <c r="D32">
        <v>40</v>
      </c>
      <c r="E32" t="s">
        <v>629</v>
      </c>
      <c r="F32">
        <v>984</v>
      </c>
      <c r="G32" s="4">
        <v>36163</v>
      </c>
      <c r="H32" s="4">
        <v>35584392</v>
      </c>
      <c r="I32" t="s">
        <v>648</v>
      </c>
      <c r="J32" t="s">
        <v>671</v>
      </c>
      <c r="K32" t="s">
        <v>677</v>
      </c>
      <c r="L32" t="s">
        <v>680</v>
      </c>
      <c r="M32" t="s">
        <v>683</v>
      </c>
      <c r="N32" t="s">
        <v>688</v>
      </c>
      <c r="O32" t="s">
        <v>694</v>
      </c>
      <c r="P32" s="4">
        <v>10048293</v>
      </c>
      <c r="Q32">
        <v>6</v>
      </c>
      <c r="R32" s="7">
        <v>0.77</v>
      </c>
      <c r="S32" s="8">
        <f>Table13[[#This Row],[Discount_%]]/100</f>
        <v>7.7000000000000002E-3</v>
      </c>
      <c r="T32" s="6" t="s">
        <v>720</v>
      </c>
      <c r="U32" t="s">
        <v>992</v>
      </c>
      <c r="V32">
        <v>2024</v>
      </c>
      <c r="W32" t="s">
        <v>996</v>
      </c>
      <c r="X32" t="s">
        <v>998</v>
      </c>
      <c r="Y32" t="s">
        <v>1001</v>
      </c>
      <c r="Z32">
        <v>2</v>
      </c>
      <c r="AA32">
        <v>46</v>
      </c>
      <c r="AB32" s="4">
        <f>Table13[[#This Row],[Total_Price]]*(1-Table13[[#This Row],[Discount 2]])</f>
        <v>35310392.181599997</v>
      </c>
      <c r="AC32" s="4" t="str" cm="1">
        <f t="array" ref="AC32">_xlfn.IFS(Table13[[#This Row],[Revenue]]&gt;=30000000,"High Value",Table13[[#This Row],[Revenue]]&gt;=10000000,"Moderate Value",TRUE,"Low Value")</f>
        <v>High Value</v>
      </c>
      <c r="AD32" t="str">
        <f>IF(Table13[[#This Row],[Discount 2]]&gt;=5%, "YES", "NO")</f>
        <v>NO</v>
      </c>
      <c r="AE32" t="str" cm="1">
        <f t="array" ref="AE32">_xlfn.IFS(Table13[[#This Row],[Revenue]]&gt;=30000000,"High Spender",Table13[[#This Row],[Revenue]]&gt;=10000000,"Moderate Spender",TRUE,"Low Spender")</f>
        <v>High Spender</v>
      </c>
      <c r="AF32" s="4" t="str" cm="1">
        <f t="array" ref="AF32">_xlfn.IFS(Table13[[#This Row],[Land_Size_SQM]]&gt;=730,"LARGE",Table13[[#This Row],[Land_Size_SQM]]&gt;=465,"MEDIUM",TRUE,"SMALL")</f>
        <v>LARGE</v>
      </c>
    </row>
    <row r="33" spans="1:32" x14ac:dyDescent="0.3">
      <c r="A33" t="s">
        <v>288</v>
      </c>
      <c r="B33" t="s">
        <v>600</v>
      </c>
      <c r="C33" t="s">
        <v>627</v>
      </c>
      <c r="D33">
        <v>26</v>
      </c>
      <c r="E33" t="s">
        <v>629</v>
      </c>
      <c r="F33">
        <v>984</v>
      </c>
      <c r="G33" s="4">
        <v>38140</v>
      </c>
      <c r="H33" s="4">
        <v>37529760</v>
      </c>
      <c r="I33" t="s">
        <v>655</v>
      </c>
      <c r="J33" t="s">
        <v>672</v>
      </c>
      <c r="K33" t="s">
        <v>678</v>
      </c>
      <c r="L33" t="s">
        <v>682</v>
      </c>
      <c r="M33" t="s">
        <v>685</v>
      </c>
      <c r="N33" t="s">
        <v>689</v>
      </c>
      <c r="O33" t="s">
        <v>693</v>
      </c>
      <c r="P33" s="4">
        <v>37529760</v>
      </c>
      <c r="Q33">
        <v>0</v>
      </c>
      <c r="R33" s="7">
        <v>6.13</v>
      </c>
      <c r="S33" s="8">
        <f>Table13[[#This Row],[Discount_%]]/100</f>
        <v>6.13E-2</v>
      </c>
      <c r="T33" s="6" t="s">
        <v>887</v>
      </c>
      <c r="U33" t="s">
        <v>982</v>
      </c>
      <c r="V33">
        <v>2024</v>
      </c>
      <c r="W33" t="s">
        <v>996</v>
      </c>
      <c r="X33" t="s">
        <v>999</v>
      </c>
      <c r="Y33" t="s">
        <v>1000</v>
      </c>
      <c r="Z33">
        <v>2</v>
      </c>
      <c r="AA33">
        <v>7</v>
      </c>
      <c r="AB33" s="4">
        <f>Table13[[#This Row],[Total_Price]]*(1-Table13[[#This Row],[Discount 2]])</f>
        <v>35229185.711999997</v>
      </c>
      <c r="AC33" s="4" t="str" cm="1">
        <f t="array" ref="AC33">_xlfn.IFS(Table13[[#This Row],[Revenue]]&gt;=30000000,"High Value",Table13[[#This Row],[Revenue]]&gt;=10000000,"Moderate Value",TRUE,"Low Value")</f>
        <v>High Value</v>
      </c>
      <c r="AD33" t="str">
        <f>IF(Table13[[#This Row],[Discount 2]]&gt;=5%, "YES", "NO")</f>
        <v>YES</v>
      </c>
      <c r="AE33" t="str" cm="1">
        <f t="array" ref="AE33">_xlfn.IFS(Table13[[#This Row],[Revenue]]&gt;=30000000,"High Spender",Table13[[#This Row],[Revenue]]&gt;=10000000,"Moderate Spender",TRUE,"Low Spender")</f>
        <v>High Spender</v>
      </c>
      <c r="AF33" s="4" t="str" cm="1">
        <f t="array" ref="AF33">_xlfn.IFS(Table13[[#This Row],[Land_Size_SQM]]&gt;=730,"LARGE",Table13[[#This Row],[Land_Size_SQM]]&gt;=465,"MEDIUM",TRUE,"SMALL")</f>
        <v>LARGE</v>
      </c>
    </row>
    <row r="34" spans="1:32" x14ac:dyDescent="0.3">
      <c r="A34" t="s">
        <v>143</v>
      </c>
      <c r="B34" t="s">
        <v>548</v>
      </c>
      <c r="C34" t="s">
        <v>627</v>
      </c>
      <c r="D34">
        <v>55</v>
      </c>
      <c r="E34" t="s">
        <v>630</v>
      </c>
      <c r="F34">
        <v>972</v>
      </c>
      <c r="G34" s="4">
        <v>37253</v>
      </c>
      <c r="H34" s="4">
        <v>36209916</v>
      </c>
      <c r="I34" t="s">
        <v>639</v>
      </c>
      <c r="J34" t="s">
        <v>671</v>
      </c>
      <c r="K34" t="s">
        <v>638</v>
      </c>
      <c r="L34" t="s">
        <v>681</v>
      </c>
      <c r="M34" t="s">
        <v>686</v>
      </c>
      <c r="N34" t="s">
        <v>692</v>
      </c>
      <c r="O34" t="s">
        <v>694</v>
      </c>
      <c r="P34" s="4">
        <v>16468352</v>
      </c>
      <c r="Q34">
        <v>6</v>
      </c>
      <c r="R34" s="7">
        <v>3.01</v>
      </c>
      <c r="S34" s="8">
        <f>Table13[[#This Row],[Discount_%]]/100</f>
        <v>3.0099999999999998E-2</v>
      </c>
      <c r="T34" s="6" t="s">
        <v>793</v>
      </c>
      <c r="U34" t="s">
        <v>984</v>
      </c>
      <c r="V34">
        <v>2024</v>
      </c>
      <c r="W34" t="s">
        <v>996</v>
      </c>
      <c r="X34" t="s">
        <v>998</v>
      </c>
      <c r="Y34" t="s">
        <v>1000</v>
      </c>
      <c r="Z34">
        <v>3</v>
      </c>
      <c r="AA34">
        <v>14</v>
      </c>
      <c r="AB34" s="4">
        <f>Table13[[#This Row],[Total_Price]]*(1-Table13[[#This Row],[Discount 2]])</f>
        <v>35119997.528399996</v>
      </c>
      <c r="AC34" s="4" t="str" cm="1">
        <f t="array" ref="AC34">_xlfn.IFS(Table13[[#This Row],[Revenue]]&gt;=30000000,"High Value",Table13[[#This Row],[Revenue]]&gt;=10000000,"Moderate Value",TRUE,"Low Value")</f>
        <v>High Value</v>
      </c>
      <c r="AD34" t="str">
        <f>IF(Table13[[#This Row],[Discount 2]]&gt;=5%, "YES", "NO")</f>
        <v>NO</v>
      </c>
      <c r="AE34" t="str" cm="1">
        <f t="array" ref="AE34">_xlfn.IFS(Table13[[#This Row],[Revenue]]&gt;=30000000,"High Spender",Table13[[#This Row],[Revenue]]&gt;=10000000,"Moderate Spender",TRUE,"Low Spender")</f>
        <v>High Spender</v>
      </c>
      <c r="AF34" s="4" t="str" cm="1">
        <f t="array" ref="AF34">_xlfn.IFS(Table13[[#This Row],[Land_Size_SQM]]&gt;=730,"LARGE",Table13[[#This Row],[Land_Size_SQM]]&gt;=465,"MEDIUM",TRUE,"SMALL")</f>
        <v>LARGE</v>
      </c>
    </row>
    <row r="35" spans="1:32" x14ac:dyDescent="0.3">
      <c r="A35" t="s">
        <v>161</v>
      </c>
      <c r="B35" t="s">
        <v>581</v>
      </c>
      <c r="C35" t="s">
        <v>627</v>
      </c>
      <c r="D35">
        <v>56</v>
      </c>
      <c r="E35" t="s">
        <v>629</v>
      </c>
      <c r="F35">
        <v>808</v>
      </c>
      <c r="G35" s="4">
        <v>43823</v>
      </c>
      <c r="H35" s="4">
        <v>35408984</v>
      </c>
      <c r="I35" t="s">
        <v>646</v>
      </c>
      <c r="J35" t="s">
        <v>673</v>
      </c>
      <c r="K35" t="s">
        <v>675</v>
      </c>
      <c r="L35" t="s">
        <v>682</v>
      </c>
      <c r="M35" t="s">
        <v>684</v>
      </c>
      <c r="N35" t="s">
        <v>690</v>
      </c>
      <c r="O35" t="s">
        <v>693</v>
      </c>
      <c r="P35" s="4">
        <v>35408984</v>
      </c>
      <c r="Q35">
        <v>0</v>
      </c>
      <c r="R35" s="7">
        <v>1.0900000000000001</v>
      </c>
      <c r="S35" s="8">
        <f>Table13[[#This Row],[Discount_%]]/100</f>
        <v>1.09E-2</v>
      </c>
      <c r="T35" s="6" t="s">
        <v>803</v>
      </c>
      <c r="U35" t="s">
        <v>992</v>
      </c>
      <c r="V35">
        <v>2024</v>
      </c>
      <c r="W35" t="s">
        <v>995</v>
      </c>
      <c r="X35" t="s">
        <v>999</v>
      </c>
      <c r="Y35" t="s">
        <v>1000</v>
      </c>
      <c r="Z35">
        <v>1</v>
      </c>
      <c r="AA35">
        <v>17</v>
      </c>
      <c r="AB35" s="4">
        <f>Table13[[#This Row],[Total_Price]]*(1-Table13[[#This Row],[Discount 2]])</f>
        <v>35023026.0744</v>
      </c>
      <c r="AC35" s="4" t="str" cm="1">
        <f t="array" ref="AC35">_xlfn.IFS(Table13[[#This Row],[Revenue]]&gt;=30000000,"High Value",Table13[[#This Row],[Revenue]]&gt;=10000000,"Moderate Value",TRUE,"Low Value")</f>
        <v>High Value</v>
      </c>
      <c r="AD35" t="str">
        <f>IF(Table13[[#This Row],[Discount 2]]&gt;=5%, "YES", "NO")</f>
        <v>NO</v>
      </c>
      <c r="AE35" t="str" cm="1">
        <f t="array" ref="AE35">_xlfn.IFS(Table13[[#This Row],[Revenue]]&gt;=30000000,"High Spender",Table13[[#This Row],[Revenue]]&gt;=10000000,"Moderate Spender",TRUE,"Low Spender")</f>
        <v>High Spender</v>
      </c>
      <c r="AF35" s="4" t="str" cm="1">
        <f t="array" ref="AF35">_xlfn.IFS(Table13[[#This Row],[Land_Size_SQM]]&gt;=730,"LARGE",Table13[[#This Row],[Land_Size_SQM]]&gt;=465,"MEDIUM",TRUE,"SMALL")</f>
        <v>LARGE</v>
      </c>
    </row>
    <row r="36" spans="1:32" x14ac:dyDescent="0.3">
      <c r="A36" t="s">
        <v>404</v>
      </c>
      <c r="B36" t="s">
        <v>527</v>
      </c>
      <c r="C36" t="s">
        <v>626</v>
      </c>
      <c r="D36">
        <v>38</v>
      </c>
      <c r="E36" t="s">
        <v>628</v>
      </c>
      <c r="F36">
        <v>808</v>
      </c>
      <c r="G36" s="4">
        <v>46941</v>
      </c>
      <c r="H36" s="4">
        <v>37928328</v>
      </c>
      <c r="I36" t="s">
        <v>659</v>
      </c>
      <c r="J36" t="s">
        <v>668</v>
      </c>
      <c r="K36" t="s">
        <v>638</v>
      </c>
      <c r="L36" t="s">
        <v>680</v>
      </c>
      <c r="M36" t="s">
        <v>684</v>
      </c>
      <c r="N36" t="s">
        <v>690</v>
      </c>
      <c r="O36" t="s">
        <v>694</v>
      </c>
      <c r="P36" s="4">
        <v>12722943</v>
      </c>
      <c r="Q36">
        <v>12</v>
      </c>
      <c r="R36" s="7">
        <v>8.74</v>
      </c>
      <c r="S36" s="8">
        <f>Table13[[#This Row],[Discount_%]]/100</f>
        <v>8.7400000000000005E-2</v>
      </c>
      <c r="T36" s="6" t="s">
        <v>786</v>
      </c>
      <c r="U36" t="s">
        <v>987</v>
      </c>
      <c r="V36">
        <v>2024</v>
      </c>
      <c r="W36" t="s">
        <v>996</v>
      </c>
      <c r="X36" t="s">
        <v>998</v>
      </c>
      <c r="Y36" t="s">
        <v>1002</v>
      </c>
      <c r="Z36">
        <v>5</v>
      </c>
      <c r="AA36">
        <v>15</v>
      </c>
      <c r="AB36" s="4">
        <f>Table13[[#This Row],[Total_Price]]*(1-Table13[[#This Row],[Discount 2]])</f>
        <v>34613392.132799998</v>
      </c>
      <c r="AC36" s="4" t="str" cm="1">
        <f t="array" ref="AC36">_xlfn.IFS(Table13[[#This Row],[Revenue]]&gt;=30000000,"High Value",Table13[[#This Row],[Revenue]]&gt;=10000000,"Moderate Value",TRUE,"Low Value")</f>
        <v>High Value</v>
      </c>
      <c r="AD36" t="str">
        <f>IF(Table13[[#This Row],[Discount 2]]&gt;=5%, "YES", "NO")</f>
        <v>YES</v>
      </c>
      <c r="AE36" t="str" cm="1">
        <f t="array" ref="AE36">_xlfn.IFS(Table13[[#This Row],[Revenue]]&gt;=30000000,"High Spender",Table13[[#This Row],[Revenue]]&gt;=10000000,"Moderate Spender",TRUE,"Low Spender")</f>
        <v>High Spender</v>
      </c>
      <c r="AF36" s="4" t="str" cm="1">
        <f t="array" ref="AF36">_xlfn.IFS(Table13[[#This Row],[Land_Size_SQM]]&gt;=730,"LARGE",Table13[[#This Row],[Land_Size_SQM]]&gt;=465,"MEDIUM",TRUE,"SMALL")</f>
        <v>LARGE</v>
      </c>
    </row>
    <row r="37" spans="1:32" x14ac:dyDescent="0.3">
      <c r="A37" t="s">
        <v>330</v>
      </c>
      <c r="B37" t="s">
        <v>613</v>
      </c>
      <c r="C37" t="s">
        <v>627</v>
      </c>
      <c r="D37">
        <v>29</v>
      </c>
      <c r="E37" t="s">
        <v>629</v>
      </c>
      <c r="F37">
        <v>901</v>
      </c>
      <c r="G37" s="4">
        <v>41086</v>
      </c>
      <c r="H37" s="4">
        <v>37018486</v>
      </c>
      <c r="I37" t="s">
        <v>642</v>
      </c>
      <c r="J37" t="s">
        <v>673</v>
      </c>
      <c r="K37" t="s">
        <v>676</v>
      </c>
      <c r="L37" t="s">
        <v>680</v>
      </c>
      <c r="M37" t="s">
        <v>684</v>
      </c>
      <c r="N37" t="s">
        <v>692</v>
      </c>
      <c r="O37" t="s">
        <v>694</v>
      </c>
      <c r="P37" s="4">
        <v>12893115</v>
      </c>
      <c r="Q37">
        <v>12</v>
      </c>
      <c r="R37" s="7">
        <v>6.6</v>
      </c>
      <c r="S37" s="8">
        <f>Table13[[#This Row],[Discount_%]]/100</f>
        <v>6.6000000000000003E-2</v>
      </c>
      <c r="T37" s="6" t="s">
        <v>918</v>
      </c>
      <c r="U37" t="s">
        <v>981</v>
      </c>
      <c r="V37">
        <v>2024</v>
      </c>
      <c r="W37" t="s">
        <v>994</v>
      </c>
      <c r="X37" t="s">
        <v>998</v>
      </c>
      <c r="Y37" t="s">
        <v>1001</v>
      </c>
      <c r="Z37">
        <v>5</v>
      </c>
      <c r="AA37">
        <v>29</v>
      </c>
      <c r="AB37" s="4">
        <f>Table13[[#This Row],[Total_Price]]*(1-Table13[[#This Row],[Discount 2]])</f>
        <v>34575265.923999995</v>
      </c>
      <c r="AC37" s="4" t="str" cm="1">
        <f t="array" ref="AC37">_xlfn.IFS(Table13[[#This Row],[Revenue]]&gt;=30000000,"High Value",Table13[[#This Row],[Revenue]]&gt;=10000000,"Moderate Value",TRUE,"Low Value")</f>
        <v>High Value</v>
      </c>
      <c r="AD37" t="str">
        <f>IF(Table13[[#This Row],[Discount 2]]&gt;=5%, "YES", "NO")</f>
        <v>YES</v>
      </c>
      <c r="AE37" t="str" cm="1">
        <f t="array" ref="AE37">_xlfn.IFS(Table13[[#This Row],[Revenue]]&gt;=30000000,"High Spender",Table13[[#This Row],[Revenue]]&gt;=10000000,"Moderate Spender",TRUE,"Low Spender")</f>
        <v>High Spender</v>
      </c>
      <c r="AF37" s="4" t="str" cm="1">
        <f t="array" ref="AF37">_xlfn.IFS(Table13[[#This Row],[Land_Size_SQM]]&gt;=730,"LARGE",Table13[[#This Row],[Land_Size_SQM]]&gt;=465,"MEDIUM",TRUE,"SMALL")</f>
        <v>LARGE</v>
      </c>
    </row>
    <row r="38" spans="1:32" x14ac:dyDescent="0.3">
      <c r="A38" t="s">
        <v>241</v>
      </c>
      <c r="B38" t="s">
        <v>572</v>
      </c>
      <c r="C38" t="s">
        <v>627</v>
      </c>
      <c r="D38">
        <v>22</v>
      </c>
      <c r="E38" t="s">
        <v>629</v>
      </c>
      <c r="F38">
        <v>774</v>
      </c>
      <c r="G38" s="4">
        <v>44552</v>
      </c>
      <c r="H38" s="4">
        <v>34483248</v>
      </c>
      <c r="I38" t="s">
        <v>665</v>
      </c>
      <c r="J38" t="s">
        <v>672</v>
      </c>
      <c r="K38" t="s">
        <v>678</v>
      </c>
      <c r="L38" t="s">
        <v>681</v>
      </c>
      <c r="M38" t="s">
        <v>684</v>
      </c>
      <c r="N38" t="s">
        <v>689</v>
      </c>
      <c r="O38" t="s">
        <v>693</v>
      </c>
      <c r="P38" s="4">
        <v>34483248</v>
      </c>
      <c r="Q38">
        <v>0</v>
      </c>
      <c r="R38" s="7">
        <v>1.1499999999999999</v>
      </c>
      <c r="S38" s="8">
        <f>Table13[[#This Row],[Discount_%]]/100</f>
        <v>1.15E-2</v>
      </c>
      <c r="T38" s="6" t="s">
        <v>858</v>
      </c>
      <c r="U38" t="s">
        <v>982</v>
      </c>
      <c r="V38">
        <v>2024</v>
      </c>
      <c r="W38" t="s">
        <v>995</v>
      </c>
      <c r="X38" t="s">
        <v>998</v>
      </c>
      <c r="Y38" t="s">
        <v>1001</v>
      </c>
      <c r="Z38">
        <v>3</v>
      </c>
      <c r="AA38">
        <v>2</v>
      </c>
      <c r="AB38" s="4">
        <f>Table13[[#This Row],[Total_Price]]*(1-Table13[[#This Row],[Discount 2]])</f>
        <v>34086690.648000002</v>
      </c>
      <c r="AC38" s="4" t="str" cm="1">
        <f t="array" ref="AC38">_xlfn.IFS(Table13[[#This Row],[Revenue]]&gt;=30000000,"High Value",Table13[[#This Row],[Revenue]]&gt;=10000000,"Moderate Value",TRUE,"Low Value")</f>
        <v>High Value</v>
      </c>
      <c r="AD38" t="str">
        <f>IF(Table13[[#This Row],[Discount 2]]&gt;=5%, "YES", "NO")</f>
        <v>NO</v>
      </c>
      <c r="AE38" t="str" cm="1">
        <f t="array" ref="AE38">_xlfn.IFS(Table13[[#This Row],[Revenue]]&gt;=30000000,"High Spender",Table13[[#This Row],[Revenue]]&gt;=10000000,"Moderate Spender",TRUE,"Low Spender")</f>
        <v>High Spender</v>
      </c>
      <c r="AF38" s="4" t="str" cm="1">
        <f t="array" ref="AF38">_xlfn.IFS(Table13[[#This Row],[Land_Size_SQM]]&gt;=730,"LARGE",Table13[[#This Row],[Land_Size_SQM]]&gt;=465,"MEDIUM",TRUE,"SMALL")</f>
        <v>LARGE</v>
      </c>
    </row>
    <row r="39" spans="1:32" x14ac:dyDescent="0.3">
      <c r="A39" t="s">
        <v>61</v>
      </c>
      <c r="B39" t="s">
        <v>553</v>
      </c>
      <c r="C39" t="s">
        <v>626</v>
      </c>
      <c r="D39">
        <v>37</v>
      </c>
      <c r="E39" t="s">
        <v>630</v>
      </c>
      <c r="F39">
        <v>879</v>
      </c>
      <c r="G39" s="4">
        <v>40112</v>
      </c>
      <c r="H39" s="4">
        <v>35258448</v>
      </c>
      <c r="I39" t="s">
        <v>653</v>
      </c>
      <c r="J39" t="s">
        <v>668</v>
      </c>
      <c r="K39" t="s">
        <v>677</v>
      </c>
      <c r="L39" t="s">
        <v>681</v>
      </c>
      <c r="M39" t="s">
        <v>683</v>
      </c>
      <c r="N39" t="s">
        <v>689</v>
      </c>
      <c r="O39" t="s">
        <v>694</v>
      </c>
      <c r="P39" s="4">
        <v>12906069</v>
      </c>
      <c r="Q39">
        <v>24</v>
      </c>
      <c r="R39" s="7">
        <v>3.44</v>
      </c>
      <c r="S39" s="8">
        <f>Table13[[#This Row],[Discount_%]]/100</f>
        <v>3.44E-2</v>
      </c>
      <c r="T39" s="6" t="s">
        <v>728</v>
      </c>
      <c r="U39" t="s">
        <v>985</v>
      </c>
      <c r="V39">
        <v>2024</v>
      </c>
      <c r="W39" t="s">
        <v>996</v>
      </c>
      <c r="X39" t="s">
        <v>998</v>
      </c>
      <c r="Y39" t="s">
        <v>1000</v>
      </c>
      <c r="Z39">
        <v>5</v>
      </c>
      <c r="AA39">
        <v>49</v>
      </c>
      <c r="AB39" s="4">
        <f>Table13[[#This Row],[Total_Price]]*(1-Table13[[#This Row],[Discount 2]])</f>
        <v>34045557.388800003</v>
      </c>
      <c r="AC39" s="4" t="str" cm="1">
        <f t="array" ref="AC39">_xlfn.IFS(Table13[[#This Row],[Revenue]]&gt;=30000000,"High Value",Table13[[#This Row],[Revenue]]&gt;=10000000,"Moderate Value",TRUE,"Low Value")</f>
        <v>High Value</v>
      </c>
      <c r="AD39" t="str">
        <f>IF(Table13[[#This Row],[Discount 2]]&gt;=5%, "YES", "NO")</f>
        <v>NO</v>
      </c>
      <c r="AE39" t="str" cm="1">
        <f t="array" ref="AE39">_xlfn.IFS(Table13[[#This Row],[Revenue]]&gt;=30000000,"High Spender",Table13[[#This Row],[Revenue]]&gt;=10000000,"Moderate Spender",TRUE,"Low Spender")</f>
        <v>High Spender</v>
      </c>
      <c r="AF39" s="4" t="str" cm="1">
        <f t="array" ref="AF39">_xlfn.IFS(Table13[[#This Row],[Land_Size_SQM]]&gt;=730,"LARGE",Table13[[#This Row],[Land_Size_SQM]]&gt;=465,"MEDIUM",TRUE,"SMALL")</f>
        <v>LARGE</v>
      </c>
    </row>
    <row r="40" spans="1:32" x14ac:dyDescent="0.3">
      <c r="A40" t="s">
        <v>73</v>
      </c>
      <c r="B40" t="s">
        <v>562</v>
      </c>
      <c r="C40" t="s">
        <v>626</v>
      </c>
      <c r="D40">
        <v>34</v>
      </c>
      <c r="E40" t="s">
        <v>630</v>
      </c>
      <c r="F40">
        <v>981</v>
      </c>
      <c r="G40" s="4">
        <v>37614</v>
      </c>
      <c r="H40" s="4">
        <v>36899334</v>
      </c>
      <c r="I40" t="s">
        <v>657</v>
      </c>
      <c r="J40" t="s">
        <v>671</v>
      </c>
      <c r="K40" t="s">
        <v>675</v>
      </c>
      <c r="L40" t="s">
        <v>680</v>
      </c>
      <c r="M40" t="s">
        <v>687</v>
      </c>
      <c r="N40" t="s">
        <v>691</v>
      </c>
      <c r="O40" t="s">
        <v>694</v>
      </c>
      <c r="P40" s="4">
        <v>17706355</v>
      </c>
      <c r="Q40">
        <v>24</v>
      </c>
      <c r="R40" s="7">
        <v>8.6999999999999993</v>
      </c>
      <c r="S40" s="8">
        <f>Table13[[#This Row],[Discount_%]]/100</f>
        <v>8.6999999999999994E-2</v>
      </c>
      <c r="T40" s="6" t="s">
        <v>737</v>
      </c>
      <c r="U40" t="s">
        <v>984</v>
      </c>
      <c r="V40">
        <v>2024</v>
      </c>
      <c r="W40" t="s">
        <v>995</v>
      </c>
      <c r="X40" t="s">
        <v>998</v>
      </c>
      <c r="Y40" t="s">
        <v>1001</v>
      </c>
      <c r="Z40">
        <v>2</v>
      </c>
      <c r="AA40">
        <v>32</v>
      </c>
      <c r="AB40" s="4">
        <f>Table13[[#This Row],[Total_Price]]*(1-Table13[[#This Row],[Discount 2]])</f>
        <v>33689091.942000002</v>
      </c>
      <c r="AC40" s="4" t="str" cm="1">
        <f t="array" ref="AC40">_xlfn.IFS(Table13[[#This Row],[Revenue]]&gt;=30000000,"High Value",Table13[[#This Row],[Revenue]]&gt;=10000000,"Moderate Value",TRUE,"Low Value")</f>
        <v>High Value</v>
      </c>
      <c r="AD40" t="str">
        <f>IF(Table13[[#This Row],[Discount 2]]&gt;=5%, "YES", "NO")</f>
        <v>YES</v>
      </c>
      <c r="AE40" t="str" cm="1">
        <f t="array" ref="AE40">_xlfn.IFS(Table13[[#This Row],[Revenue]]&gt;=30000000,"High Spender",Table13[[#This Row],[Revenue]]&gt;=10000000,"Moderate Spender",TRUE,"Low Spender")</f>
        <v>High Spender</v>
      </c>
      <c r="AF40" s="4" t="str" cm="1">
        <f t="array" ref="AF40">_xlfn.IFS(Table13[[#This Row],[Land_Size_SQM]]&gt;=730,"LARGE",Table13[[#This Row],[Land_Size_SQM]]&gt;=465,"MEDIUM",TRUE,"SMALL")</f>
        <v>LARGE</v>
      </c>
    </row>
    <row r="41" spans="1:32" x14ac:dyDescent="0.3">
      <c r="A41" t="s">
        <v>42</v>
      </c>
      <c r="B41" t="s">
        <v>540</v>
      </c>
      <c r="C41" t="s">
        <v>627</v>
      </c>
      <c r="D41">
        <v>37</v>
      </c>
      <c r="E41" t="s">
        <v>630</v>
      </c>
      <c r="F41">
        <v>883</v>
      </c>
      <c r="G41" s="4">
        <v>38346</v>
      </c>
      <c r="H41" s="4">
        <v>33859518</v>
      </c>
      <c r="I41" t="s">
        <v>644</v>
      </c>
      <c r="J41" t="s">
        <v>668</v>
      </c>
      <c r="K41" t="s">
        <v>664</v>
      </c>
      <c r="L41" t="s">
        <v>682</v>
      </c>
      <c r="M41" t="s">
        <v>683</v>
      </c>
      <c r="N41" t="s">
        <v>690</v>
      </c>
      <c r="O41" t="s">
        <v>694</v>
      </c>
      <c r="P41" s="4">
        <v>16309419</v>
      </c>
      <c r="Q41">
        <v>3</v>
      </c>
      <c r="R41" s="7">
        <v>1.34</v>
      </c>
      <c r="S41" s="8">
        <f>Table13[[#This Row],[Discount_%]]/100</f>
        <v>1.34E-2</v>
      </c>
      <c r="T41" s="6" t="s">
        <v>711</v>
      </c>
      <c r="U41" t="s">
        <v>981</v>
      </c>
      <c r="V41">
        <v>2024</v>
      </c>
      <c r="W41" t="s">
        <v>996</v>
      </c>
      <c r="X41" t="s">
        <v>997</v>
      </c>
      <c r="Y41" t="s">
        <v>1001</v>
      </c>
      <c r="Z41">
        <v>3</v>
      </c>
      <c r="AA41">
        <v>33</v>
      </c>
      <c r="AB41" s="4">
        <f>Table13[[#This Row],[Total_Price]]*(1-Table13[[#This Row],[Discount 2]])</f>
        <v>33405800.458800003</v>
      </c>
      <c r="AC41" s="4" t="str" cm="1">
        <f t="array" ref="AC41">_xlfn.IFS(Table13[[#This Row],[Revenue]]&gt;=30000000,"High Value",Table13[[#This Row],[Revenue]]&gt;=10000000,"Moderate Value",TRUE,"Low Value")</f>
        <v>High Value</v>
      </c>
      <c r="AD41" t="str">
        <f>IF(Table13[[#This Row],[Discount 2]]&gt;=5%, "YES", "NO")</f>
        <v>NO</v>
      </c>
      <c r="AE41" t="str" cm="1">
        <f t="array" ref="AE41">_xlfn.IFS(Table13[[#This Row],[Revenue]]&gt;=30000000,"High Spender",Table13[[#This Row],[Revenue]]&gt;=10000000,"Moderate Spender",TRUE,"Low Spender")</f>
        <v>High Spender</v>
      </c>
      <c r="AF41" s="4" t="str" cm="1">
        <f t="array" ref="AF41">_xlfn.IFS(Table13[[#This Row],[Land_Size_SQM]]&gt;=730,"LARGE",Table13[[#This Row],[Land_Size_SQM]]&gt;=465,"MEDIUM",TRUE,"SMALL")</f>
        <v>LARGE</v>
      </c>
    </row>
    <row r="42" spans="1:32" x14ac:dyDescent="0.3">
      <c r="A42" t="s">
        <v>251</v>
      </c>
      <c r="B42" t="s">
        <v>573</v>
      </c>
      <c r="C42" t="s">
        <v>627</v>
      </c>
      <c r="D42">
        <v>50</v>
      </c>
      <c r="E42" t="s">
        <v>630</v>
      </c>
      <c r="F42">
        <v>975</v>
      </c>
      <c r="G42" s="4">
        <v>35694</v>
      </c>
      <c r="H42" s="4">
        <v>34801650</v>
      </c>
      <c r="I42" t="s">
        <v>656</v>
      </c>
      <c r="J42" t="s">
        <v>669</v>
      </c>
      <c r="K42" t="s">
        <v>638</v>
      </c>
      <c r="L42" t="s">
        <v>680</v>
      </c>
      <c r="M42" t="s">
        <v>683</v>
      </c>
      <c r="N42" t="s">
        <v>691</v>
      </c>
      <c r="O42" t="s">
        <v>693</v>
      </c>
      <c r="P42" s="4">
        <v>34801650</v>
      </c>
      <c r="Q42">
        <v>0</v>
      </c>
      <c r="R42" s="7">
        <v>4.46</v>
      </c>
      <c r="S42" s="8">
        <f>Table13[[#This Row],[Discount_%]]/100</f>
        <v>4.4600000000000001E-2</v>
      </c>
      <c r="T42" s="6" t="s">
        <v>864</v>
      </c>
      <c r="U42" t="s">
        <v>990</v>
      </c>
      <c r="V42">
        <v>2024</v>
      </c>
      <c r="W42" t="s">
        <v>996</v>
      </c>
      <c r="X42" t="s">
        <v>999</v>
      </c>
      <c r="Y42" t="s">
        <v>1002</v>
      </c>
      <c r="Z42">
        <v>3</v>
      </c>
      <c r="AA42">
        <v>15</v>
      </c>
      <c r="AB42" s="4">
        <f>Table13[[#This Row],[Total_Price]]*(1-Table13[[#This Row],[Discount 2]])</f>
        <v>33249496.41</v>
      </c>
      <c r="AC42" s="4" t="str" cm="1">
        <f t="array" ref="AC42">_xlfn.IFS(Table13[[#This Row],[Revenue]]&gt;=30000000,"High Value",Table13[[#This Row],[Revenue]]&gt;=10000000,"Moderate Value",TRUE,"Low Value")</f>
        <v>High Value</v>
      </c>
      <c r="AD42" t="str">
        <f>IF(Table13[[#This Row],[Discount 2]]&gt;=5%, "YES", "NO")</f>
        <v>NO</v>
      </c>
      <c r="AE42" t="str" cm="1">
        <f t="array" ref="AE42">_xlfn.IFS(Table13[[#This Row],[Revenue]]&gt;=30000000,"High Spender",Table13[[#This Row],[Revenue]]&gt;=10000000,"Moderate Spender",TRUE,"Low Spender")</f>
        <v>High Spender</v>
      </c>
      <c r="AF42" s="4" t="str" cm="1">
        <f t="array" ref="AF42">_xlfn.IFS(Table13[[#This Row],[Land_Size_SQM]]&gt;=730,"LARGE",Table13[[#This Row],[Land_Size_SQM]]&gt;=465,"MEDIUM",TRUE,"SMALL")</f>
        <v>LARGE</v>
      </c>
    </row>
    <row r="43" spans="1:32" x14ac:dyDescent="0.3">
      <c r="A43" t="s">
        <v>182</v>
      </c>
      <c r="B43" t="s">
        <v>601</v>
      </c>
      <c r="C43" t="s">
        <v>626</v>
      </c>
      <c r="D43">
        <v>47</v>
      </c>
      <c r="E43" t="s">
        <v>630</v>
      </c>
      <c r="F43">
        <v>729</v>
      </c>
      <c r="G43" s="4">
        <v>49236</v>
      </c>
      <c r="H43" s="4">
        <v>35893044</v>
      </c>
      <c r="I43" t="s">
        <v>645</v>
      </c>
      <c r="J43" t="s">
        <v>670</v>
      </c>
      <c r="K43" t="s">
        <v>675</v>
      </c>
      <c r="L43" t="s">
        <v>682</v>
      </c>
      <c r="M43" t="s">
        <v>685</v>
      </c>
      <c r="N43" t="s">
        <v>690</v>
      </c>
      <c r="O43" t="s">
        <v>694</v>
      </c>
      <c r="P43" s="4">
        <v>11182867</v>
      </c>
      <c r="Q43">
        <v>6</v>
      </c>
      <c r="R43" s="7">
        <v>7.5</v>
      </c>
      <c r="S43" s="8">
        <f>Table13[[#This Row],[Discount_%]]/100</f>
        <v>7.4999999999999997E-2</v>
      </c>
      <c r="T43" s="6" t="s">
        <v>809</v>
      </c>
      <c r="U43" t="s">
        <v>992</v>
      </c>
      <c r="V43">
        <v>2024</v>
      </c>
      <c r="W43" t="s">
        <v>993</v>
      </c>
      <c r="X43" t="s">
        <v>998</v>
      </c>
      <c r="Y43" t="s">
        <v>1002</v>
      </c>
      <c r="Z43">
        <v>5</v>
      </c>
      <c r="AA43">
        <v>24</v>
      </c>
      <c r="AB43" s="4">
        <f>Table13[[#This Row],[Total_Price]]*(1-Table13[[#This Row],[Discount 2]])</f>
        <v>33201065.700000003</v>
      </c>
      <c r="AC43" s="4" t="str" cm="1">
        <f t="array" ref="AC43">_xlfn.IFS(Table13[[#This Row],[Revenue]]&gt;=30000000,"High Value",Table13[[#This Row],[Revenue]]&gt;=10000000,"Moderate Value",TRUE,"Low Value")</f>
        <v>High Value</v>
      </c>
      <c r="AD43" t="str">
        <f>IF(Table13[[#This Row],[Discount 2]]&gt;=5%, "YES", "NO")</f>
        <v>YES</v>
      </c>
      <c r="AE43" t="str" cm="1">
        <f t="array" ref="AE43">_xlfn.IFS(Table13[[#This Row],[Revenue]]&gt;=30000000,"High Spender",Table13[[#This Row],[Revenue]]&gt;=10000000,"Moderate Spender",TRUE,"Low Spender")</f>
        <v>High Spender</v>
      </c>
      <c r="AF43" s="4" t="str" cm="1">
        <f t="array" ref="AF43">_xlfn.IFS(Table13[[#This Row],[Land_Size_SQM]]&gt;=730,"LARGE",Table13[[#This Row],[Land_Size_SQM]]&gt;=465,"MEDIUM",TRUE,"SMALL")</f>
        <v>MEDIUM</v>
      </c>
    </row>
    <row r="44" spans="1:32" x14ac:dyDescent="0.3">
      <c r="A44" t="s">
        <v>405</v>
      </c>
      <c r="B44" t="s">
        <v>546</v>
      </c>
      <c r="C44" t="s">
        <v>627</v>
      </c>
      <c r="D44">
        <v>23</v>
      </c>
      <c r="E44" t="s">
        <v>630</v>
      </c>
      <c r="F44">
        <v>862</v>
      </c>
      <c r="G44" s="4">
        <v>42108</v>
      </c>
      <c r="H44" s="4">
        <v>36297096</v>
      </c>
      <c r="I44" t="s">
        <v>664</v>
      </c>
      <c r="J44" t="s">
        <v>673</v>
      </c>
      <c r="K44" t="s">
        <v>675</v>
      </c>
      <c r="L44" t="s">
        <v>682</v>
      </c>
      <c r="M44" t="s">
        <v>684</v>
      </c>
      <c r="N44" t="s">
        <v>692</v>
      </c>
      <c r="O44" t="s">
        <v>693</v>
      </c>
      <c r="P44" s="4">
        <v>36297096</v>
      </c>
      <c r="Q44">
        <v>0</v>
      </c>
      <c r="R44" s="7">
        <v>9.07</v>
      </c>
      <c r="S44" s="8">
        <f>Table13[[#This Row],[Discount_%]]/100</f>
        <v>9.0700000000000003E-2</v>
      </c>
      <c r="T44" s="6" t="s">
        <v>923</v>
      </c>
      <c r="U44" t="s">
        <v>989</v>
      </c>
      <c r="V44">
        <v>2024</v>
      </c>
      <c r="W44" t="s">
        <v>994</v>
      </c>
      <c r="X44" t="s">
        <v>999</v>
      </c>
      <c r="Y44" t="s">
        <v>1000</v>
      </c>
      <c r="Z44">
        <v>3</v>
      </c>
      <c r="AA44">
        <v>11</v>
      </c>
      <c r="AB44" s="4">
        <f>Table13[[#This Row],[Total_Price]]*(1-Table13[[#This Row],[Discount 2]])</f>
        <v>33004949.3928</v>
      </c>
      <c r="AC44" s="4" t="str" cm="1">
        <f t="array" ref="AC44">_xlfn.IFS(Table13[[#This Row],[Revenue]]&gt;=30000000,"High Value",Table13[[#This Row],[Revenue]]&gt;=10000000,"Moderate Value",TRUE,"Low Value")</f>
        <v>High Value</v>
      </c>
      <c r="AD44" t="str">
        <f>IF(Table13[[#This Row],[Discount 2]]&gt;=5%, "YES", "NO")</f>
        <v>YES</v>
      </c>
      <c r="AE44" t="str" cm="1">
        <f t="array" ref="AE44">_xlfn.IFS(Table13[[#This Row],[Revenue]]&gt;=30000000,"High Spender",Table13[[#This Row],[Revenue]]&gt;=10000000,"Moderate Spender",TRUE,"Low Spender")</f>
        <v>High Spender</v>
      </c>
      <c r="AF44" s="4" t="str" cm="1">
        <f t="array" ref="AF44">_xlfn.IFS(Table13[[#This Row],[Land_Size_SQM]]&gt;=730,"LARGE",Table13[[#This Row],[Land_Size_SQM]]&gt;=465,"MEDIUM",TRUE,"SMALL")</f>
        <v>LARGE</v>
      </c>
    </row>
    <row r="45" spans="1:32" x14ac:dyDescent="0.3">
      <c r="A45" t="s">
        <v>129</v>
      </c>
      <c r="B45" t="s">
        <v>584</v>
      </c>
      <c r="C45" t="s">
        <v>626</v>
      </c>
      <c r="D45">
        <v>65</v>
      </c>
      <c r="E45" t="s">
        <v>628</v>
      </c>
      <c r="F45">
        <v>787</v>
      </c>
      <c r="G45" s="4">
        <v>46343</v>
      </c>
      <c r="H45" s="4">
        <v>36471941</v>
      </c>
      <c r="I45" t="s">
        <v>657</v>
      </c>
      <c r="J45" t="s">
        <v>671</v>
      </c>
      <c r="K45" t="s">
        <v>676</v>
      </c>
      <c r="L45" t="s">
        <v>681</v>
      </c>
      <c r="M45" t="s">
        <v>684</v>
      </c>
      <c r="N45" t="s">
        <v>690</v>
      </c>
      <c r="O45" t="s">
        <v>694</v>
      </c>
      <c r="P45" s="4">
        <v>16248733</v>
      </c>
      <c r="Q45">
        <v>24</v>
      </c>
      <c r="R45" s="7">
        <v>9.5500000000000007</v>
      </c>
      <c r="S45" s="8">
        <f>Table13[[#This Row],[Discount_%]]/100</f>
        <v>9.5500000000000002E-2</v>
      </c>
      <c r="T45" s="6" t="s">
        <v>748</v>
      </c>
      <c r="U45" t="s">
        <v>987</v>
      </c>
      <c r="V45">
        <v>2024</v>
      </c>
      <c r="W45" t="s">
        <v>995</v>
      </c>
      <c r="X45" t="s">
        <v>999</v>
      </c>
      <c r="Y45" t="s">
        <v>1000</v>
      </c>
      <c r="Z45">
        <v>5</v>
      </c>
      <c r="AA45">
        <v>18</v>
      </c>
      <c r="AB45" s="4">
        <f>Table13[[#This Row],[Total_Price]]*(1-Table13[[#This Row],[Discount 2]])</f>
        <v>32988870.634500001</v>
      </c>
      <c r="AC45" s="4" t="str" cm="1">
        <f t="array" ref="AC45">_xlfn.IFS(Table13[[#This Row],[Revenue]]&gt;=30000000,"High Value",Table13[[#This Row],[Revenue]]&gt;=10000000,"Moderate Value",TRUE,"Low Value")</f>
        <v>High Value</v>
      </c>
      <c r="AD45" t="str">
        <f>IF(Table13[[#This Row],[Discount 2]]&gt;=5%, "YES", "NO")</f>
        <v>YES</v>
      </c>
      <c r="AE45" t="str" cm="1">
        <f t="array" ref="AE45">_xlfn.IFS(Table13[[#This Row],[Revenue]]&gt;=30000000,"High Spender",Table13[[#This Row],[Revenue]]&gt;=10000000,"Moderate Spender",TRUE,"Low Spender")</f>
        <v>High Spender</v>
      </c>
      <c r="AF45" s="4" t="str" cm="1">
        <f t="array" ref="AF45">_xlfn.IFS(Table13[[#This Row],[Land_Size_SQM]]&gt;=730,"LARGE",Table13[[#This Row],[Land_Size_SQM]]&gt;=465,"MEDIUM",TRUE,"SMALL")</f>
        <v>LARGE</v>
      </c>
    </row>
    <row r="46" spans="1:32" x14ac:dyDescent="0.3">
      <c r="A46" t="s">
        <v>493</v>
      </c>
      <c r="B46" t="s">
        <v>584</v>
      </c>
      <c r="C46" t="s">
        <v>627</v>
      </c>
      <c r="D46">
        <v>51</v>
      </c>
      <c r="E46" t="s">
        <v>628</v>
      </c>
      <c r="F46">
        <v>851</v>
      </c>
      <c r="G46" s="4">
        <v>39526</v>
      </c>
      <c r="H46" s="4">
        <v>33636626</v>
      </c>
      <c r="I46" t="s">
        <v>631</v>
      </c>
      <c r="J46" t="s">
        <v>668</v>
      </c>
      <c r="K46" t="s">
        <v>676</v>
      </c>
      <c r="L46" t="s">
        <v>680</v>
      </c>
      <c r="M46" t="s">
        <v>685</v>
      </c>
      <c r="N46" t="s">
        <v>691</v>
      </c>
      <c r="O46" t="s">
        <v>694</v>
      </c>
      <c r="P46" s="4">
        <v>9442016</v>
      </c>
      <c r="Q46">
        <v>6</v>
      </c>
      <c r="R46" s="7">
        <v>2.1</v>
      </c>
      <c r="S46" s="8">
        <f>Table13[[#This Row],[Discount_%]]/100</f>
        <v>2.1000000000000001E-2</v>
      </c>
      <c r="T46" s="6" t="s">
        <v>774</v>
      </c>
      <c r="U46" t="s">
        <v>991</v>
      </c>
      <c r="V46">
        <v>2024</v>
      </c>
      <c r="W46" t="s">
        <v>995</v>
      </c>
      <c r="X46" t="s">
        <v>997</v>
      </c>
      <c r="Y46" t="s">
        <v>1002</v>
      </c>
      <c r="Z46">
        <v>4</v>
      </c>
      <c r="AA46">
        <v>11</v>
      </c>
      <c r="AB46" s="4">
        <f>Table13[[#This Row],[Total_Price]]*(1-Table13[[#This Row],[Discount 2]])</f>
        <v>32930256.853999998</v>
      </c>
      <c r="AC46" s="4" t="str" cm="1">
        <f t="array" ref="AC46">_xlfn.IFS(Table13[[#This Row],[Revenue]]&gt;=30000000,"High Value",Table13[[#This Row],[Revenue]]&gt;=10000000,"Moderate Value",TRUE,"Low Value")</f>
        <v>High Value</v>
      </c>
      <c r="AD46" t="str">
        <f>IF(Table13[[#This Row],[Discount 2]]&gt;=5%, "YES", "NO")</f>
        <v>NO</v>
      </c>
      <c r="AE46" t="str" cm="1">
        <f t="array" ref="AE46">_xlfn.IFS(Table13[[#This Row],[Revenue]]&gt;=30000000,"High Spender",Table13[[#This Row],[Revenue]]&gt;=10000000,"Moderate Spender",TRUE,"Low Spender")</f>
        <v>High Spender</v>
      </c>
      <c r="AF46" s="4" t="str" cm="1">
        <f t="array" ref="AF46">_xlfn.IFS(Table13[[#This Row],[Land_Size_SQM]]&gt;=730,"LARGE",Table13[[#This Row],[Land_Size_SQM]]&gt;=465,"MEDIUM",TRUE,"SMALL")</f>
        <v>LARGE</v>
      </c>
    </row>
    <row r="47" spans="1:32" x14ac:dyDescent="0.3">
      <c r="A47" t="s">
        <v>519</v>
      </c>
      <c r="B47" t="s">
        <v>607</v>
      </c>
      <c r="C47" t="s">
        <v>626</v>
      </c>
      <c r="D47">
        <v>64</v>
      </c>
      <c r="E47" t="s">
        <v>629</v>
      </c>
      <c r="F47">
        <v>727</v>
      </c>
      <c r="G47" s="4">
        <v>46900</v>
      </c>
      <c r="H47" s="4">
        <v>34096300</v>
      </c>
      <c r="I47" t="s">
        <v>632</v>
      </c>
      <c r="J47" t="s">
        <v>669</v>
      </c>
      <c r="K47" t="s">
        <v>678</v>
      </c>
      <c r="L47" t="s">
        <v>682</v>
      </c>
      <c r="M47" t="s">
        <v>687</v>
      </c>
      <c r="N47" t="s">
        <v>688</v>
      </c>
      <c r="O47" t="s">
        <v>693</v>
      </c>
      <c r="P47" s="4">
        <v>34096300</v>
      </c>
      <c r="Q47">
        <v>0</v>
      </c>
      <c r="R47" s="7">
        <v>4.05</v>
      </c>
      <c r="S47" s="8">
        <f>Table13[[#This Row],[Discount_%]]/100</f>
        <v>4.0500000000000001E-2</v>
      </c>
      <c r="T47" s="6" t="s">
        <v>746</v>
      </c>
      <c r="U47" t="s">
        <v>983</v>
      </c>
      <c r="V47">
        <v>2024</v>
      </c>
      <c r="W47" t="s">
        <v>993</v>
      </c>
      <c r="X47" t="s">
        <v>997</v>
      </c>
      <c r="Y47" t="s">
        <v>1002</v>
      </c>
      <c r="Z47">
        <v>2</v>
      </c>
      <c r="AA47">
        <v>44</v>
      </c>
      <c r="AB47" s="4">
        <f>Table13[[#This Row],[Total_Price]]*(1-Table13[[#This Row],[Discount 2]])</f>
        <v>32715399.850000001</v>
      </c>
      <c r="AC47" s="4" t="str" cm="1">
        <f t="array" ref="AC47">_xlfn.IFS(Table13[[#This Row],[Revenue]]&gt;=30000000,"High Value",Table13[[#This Row],[Revenue]]&gt;=10000000,"Moderate Value",TRUE,"Low Value")</f>
        <v>High Value</v>
      </c>
      <c r="AD47" t="str">
        <f>IF(Table13[[#This Row],[Discount 2]]&gt;=5%, "YES", "NO")</f>
        <v>NO</v>
      </c>
      <c r="AE47" t="str" cm="1">
        <f t="array" ref="AE47">_xlfn.IFS(Table13[[#This Row],[Revenue]]&gt;=30000000,"High Spender",Table13[[#This Row],[Revenue]]&gt;=10000000,"Moderate Spender",TRUE,"Low Spender")</f>
        <v>High Spender</v>
      </c>
      <c r="AF47" s="4" t="str" cm="1">
        <f t="array" ref="AF47">_xlfn.IFS(Table13[[#This Row],[Land_Size_SQM]]&gt;=730,"LARGE",Table13[[#This Row],[Land_Size_SQM]]&gt;=465,"MEDIUM",TRUE,"SMALL")</f>
        <v>MEDIUM</v>
      </c>
    </row>
    <row r="48" spans="1:32" x14ac:dyDescent="0.3">
      <c r="A48" t="s">
        <v>406</v>
      </c>
      <c r="B48" t="s">
        <v>592</v>
      </c>
      <c r="C48" t="s">
        <v>626</v>
      </c>
      <c r="D48">
        <v>38</v>
      </c>
      <c r="E48" t="s">
        <v>629</v>
      </c>
      <c r="F48">
        <v>935</v>
      </c>
      <c r="G48" s="4">
        <v>36461</v>
      </c>
      <c r="H48" s="4">
        <v>34091035</v>
      </c>
      <c r="I48" t="s">
        <v>638</v>
      </c>
      <c r="J48" t="s">
        <v>672</v>
      </c>
      <c r="K48" t="s">
        <v>664</v>
      </c>
      <c r="L48" t="s">
        <v>681</v>
      </c>
      <c r="M48" t="s">
        <v>684</v>
      </c>
      <c r="N48" t="s">
        <v>688</v>
      </c>
      <c r="O48" t="s">
        <v>694</v>
      </c>
      <c r="P48" s="4">
        <v>15278826</v>
      </c>
      <c r="Q48">
        <v>24</v>
      </c>
      <c r="R48" s="7">
        <v>4.9400000000000004</v>
      </c>
      <c r="S48" s="8">
        <f>Table13[[#This Row],[Discount_%]]/100</f>
        <v>4.9400000000000006E-2</v>
      </c>
      <c r="T48" s="6" t="s">
        <v>850</v>
      </c>
      <c r="U48" t="s">
        <v>990</v>
      </c>
      <c r="V48">
        <v>2024</v>
      </c>
      <c r="W48" t="s">
        <v>995</v>
      </c>
      <c r="X48" t="s">
        <v>999</v>
      </c>
      <c r="Y48" t="s">
        <v>1001</v>
      </c>
      <c r="Z48">
        <v>2</v>
      </c>
      <c r="AA48">
        <v>19</v>
      </c>
      <c r="AB48" s="4">
        <f>Table13[[#This Row],[Total_Price]]*(1-Table13[[#This Row],[Discount 2]])</f>
        <v>32406937.870999999</v>
      </c>
      <c r="AC48" s="4" t="str" cm="1">
        <f t="array" ref="AC48">_xlfn.IFS(Table13[[#This Row],[Revenue]]&gt;=30000000,"High Value",Table13[[#This Row],[Revenue]]&gt;=10000000,"Moderate Value",TRUE,"Low Value")</f>
        <v>High Value</v>
      </c>
      <c r="AD48" t="str">
        <f>IF(Table13[[#This Row],[Discount 2]]&gt;=5%, "YES", "NO")</f>
        <v>NO</v>
      </c>
      <c r="AE48" t="str" cm="1">
        <f t="array" ref="AE48">_xlfn.IFS(Table13[[#This Row],[Revenue]]&gt;=30000000,"High Spender",Table13[[#This Row],[Revenue]]&gt;=10000000,"Moderate Spender",TRUE,"Low Spender")</f>
        <v>High Spender</v>
      </c>
      <c r="AF48" s="4" t="str" cm="1">
        <f t="array" ref="AF48">_xlfn.IFS(Table13[[#This Row],[Land_Size_SQM]]&gt;=730,"LARGE",Table13[[#This Row],[Land_Size_SQM]]&gt;=465,"MEDIUM",TRUE,"SMALL")</f>
        <v>LARGE</v>
      </c>
    </row>
    <row r="49" spans="1:32" x14ac:dyDescent="0.3">
      <c r="A49" t="s">
        <v>388</v>
      </c>
      <c r="B49" t="s">
        <v>623</v>
      </c>
      <c r="C49" t="s">
        <v>626</v>
      </c>
      <c r="D49">
        <v>54</v>
      </c>
      <c r="E49" t="s">
        <v>629</v>
      </c>
      <c r="F49">
        <v>985</v>
      </c>
      <c r="G49" s="4">
        <v>34256</v>
      </c>
      <c r="H49" s="4">
        <v>33742160</v>
      </c>
      <c r="I49" t="s">
        <v>664</v>
      </c>
      <c r="J49" t="s">
        <v>673</v>
      </c>
      <c r="K49" t="s">
        <v>675</v>
      </c>
      <c r="L49" t="s">
        <v>680</v>
      </c>
      <c r="M49" t="s">
        <v>685</v>
      </c>
      <c r="N49" t="s">
        <v>691</v>
      </c>
      <c r="O49" t="s">
        <v>694</v>
      </c>
      <c r="P49" s="4">
        <v>9720066</v>
      </c>
      <c r="Q49">
        <v>6</v>
      </c>
      <c r="R49" s="7">
        <v>4.9800000000000004</v>
      </c>
      <c r="S49" s="8">
        <f>Table13[[#This Row],[Discount_%]]/100</f>
        <v>4.9800000000000004E-2</v>
      </c>
      <c r="T49" s="6" t="s">
        <v>857</v>
      </c>
      <c r="U49" t="s">
        <v>986</v>
      </c>
      <c r="V49">
        <v>2024</v>
      </c>
      <c r="W49" t="s">
        <v>993</v>
      </c>
      <c r="X49" t="s">
        <v>998</v>
      </c>
      <c r="Y49" t="s">
        <v>1002</v>
      </c>
      <c r="Z49">
        <v>3</v>
      </c>
      <c r="AA49">
        <v>25</v>
      </c>
      <c r="AB49" s="4">
        <f>Table13[[#This Row],[Total_Price]]*(1-Table13[[#This Row],[Discount 2]])</f>
        <v>32061800.432</v>
      </c>
      <c r="AC49" s="4" t="str" cm="1">
        <f t="array" ref="AC49">_xlfn.IFS(Table13[[#This Row],[Revenue]]&gt;=30000000,"High Value",Table13[[#This Row],[Revenue]]&gt;=10000000,"Moderate Value",TRUE,"Low Value")</f>
        <v>High Value</v>
      </c>
      <c r="AD49" t="str">
        <f>IF(Table13[[#This Row],[Discount 2]]&gt;=5%, "YES", "NO")</f>
        <v>NO</v>
      </c>
      <c r="AE49" t="str" cm="1">
        <f t="array" ref="AE49">_xlfn.IFS(Table13[[#This Row],[Revenue]]&gt;=30000000,"High Spender",Table13[[#This Row],[Revenue]]&gt;=10000000,"Moderate Spender",TRUE,"Low Spender")</f>
        <v>High Spender</v>
      </c>
      <c r="AF49" s="4" t="str" cm="1">
        <f t="array" ref="AF49">_xlfn.IFS(Table13[[#This Row],[Land_Size_SQM]]&gt;=730,"LARGE",Table13[[#This Row],[Land_Size_SQM]]&gt;=465,"MEDIUM",TRUE,"SMALL")</f>
        <v>LARGE</v>
      </c>
    </row>
    <row r="50" spans="1:32" x14ac:dyDescent="0.3">
      <c r="A50" t="s">
        <v>191</v>
      </c>
      <c r="B50" t="s">
        <v>587</v>
      </c>
      <c r="C50" t="s">
        <v>627</v>
      </c>
      <c r="D50">
        <v>41</v>
      </c>
      <c r="E50" t="s">
        <v>628</v>
      </c>
      <c r="F50">
        <v>796</v>
      </c>
      <c r="G50" s="4">
        <v>40411</v>
      </c>
      <c r="H50" s="4">
        <v>32167156</v>
      </c>
      <c r="I50" t="s">
        <v>645</v>
      </c>
      <c r="J50" t="s">
        <v>670</v>
      </c>
      <c r="K50" t="s">
        <v>676</v>
      </c>
      <c r="L50" t="s">
        <v>680</v>
      </c>
      <c r="M50" t="s">
        <v>684</v>
      </c>
      <c r="N50" t="s">
        <v>689</v>
      </c>
      <c r="O50" t="s">
        <v>694</v>
      </c>
      <c r="P50" s="4">
        <v>6643806</v>
      </c>
      <c r="Q50">
        <v>3</v>
      </c>
      <c r="R50" s="7">
        <v>0.64</v>
      </c>
      <c r="S50" s="8">
        <f>Table13[[#This Row],[Discount_%]]/100</f>
        <v>6.4000000000000003E-3</v>
      </c>
      <c r="T50" s="6" t="s">
        <v>824</v>
      </c>
      <c r="U50" t="s">
        <v>983</v>
      </c>
      <c r="V50">
        <v>2024</v>
      </c>
      <c r="W50" t="s">
        <v>996</v>
      </c>
      <c r="X50" t="s">
        <v>997</v>
      </c>
      <c r="Y50" t="s">
        <v>1002</v>
      </c>
      <c r="Z50">
        <v>4</v>
      </c>
      <c r="AA50">
        <v>32</v>
      </c>
      <c r="AB50" s="4">
        <f>Table13[[#This Row],[Total_Price]]*(1-Table13[[#This Row],[Discount 2]])</f>
        <v>31961286.2016</v>
      </c>
      <c r="AC50" s="4" t="str" cm="1">
        <f t="array" ref="AC50">_xlfn.IFS(Table13[[#This Row],[Revenue]]&gt;=30000000,"High Value",Table13[[#This Row],[Revenue]]&gt;=10000000,"Moderate Value",TRUE,"Low Value")</f>
        <v>High Value</v>
      </c>
      <c r="AD50" t="str">
        <f>IF(Table13[[#This Row],[Discount 2]]&gt;=5%, "YES", "NO")</f>
        <v>NO</v>
      </c>
      <c r="AE50" t="str" cm="1">
        <f t="array" ref="AE50">_xlfn.IFS(Table13[[#This Row],[Revenue]]&gt;=30000000,"High Spender",Table13[[#This Row],[Revenue]]&gt;=10000000,"Moderate Spender",TRUE,"Low Spender")</f>
        <v>High Spender</v>
      </c>
      <c r="AF50" s="4" t="str" cm="1">
        <f t="array" ref="AF50">_xlfn.IFS(Table13[[#This Row],[Land_Size_SQM]]&gt;=730,"LARGE",Table13[[#This Row],[Land_Size_SQM]]&gt;=465,"MEDIUM",TRUE,"SMALL")</f>
        <v>LARGE</v>
      </c>
    </row>
    <row r="51" spans="1:32" x14ac:dyDescent="0.3">
      <c r="A51" t="s">
        <v>127</v>
      </c>
      <c r="B51" t="s">
        <v>583</v>
      </c>
      <c r="C51" t="s">
        <v>626</v>
      </c>
      <c r="D51">
        <v>62</v>
      </c>
      <c r="E51" t="s">
        <v>630</v>
      </c>
      <c r="F51">
        <v>682</v>
      </c>
      <c r="G51" s="4">
        <v>49671</v>
      </c>
      <c r="H51" s="4">
        <v>33875622</v>
      </c>
      <c r="I51" t="s">
        <v>652</v>
      </c>
      <c r="J51" t="s">
        <v>672</v>
      </c>
      <c r="K51" t="s">
        <v>674</v>
      </c>
      <c r="L51" t="s">
        <v>682</v>
      </c>
      <c r="M51" t="s">
        <v>684</v>
      </c>
      <c r="N51" t="s">
        <v>690</v>
      </c>
      <c r="O51" t="s">
        <v>693</v>
      </c>
      <c r="P51" s="4">
        <v>33875622</v>
      </c>
      <c r="Q51">
        <v>0</v>
      </c>
      <c r="R51" s="7">
        <v>7.06</v>
      </c>
      <c r="S51" s="8">
        <f>Table13[[#This Row],[Discount_%]]/100</f>
        <v>7.0599999999999996E-2</v>
      </c>
      <c r="T51" s="6" t="s">
        <v>734</v>
      </c>
      <c r="U51" t="s">
        <v>986</v>
      </c>
      <c r="V51">
        <v>2024</v>
      </c>
      <c r="W51" t="s">
        <v>996</v>
      </c>
      <c r="X51" t="s">
        <v>998</v>
      </c>
      <c r="Y51" t="s">
        <v>1001</v>
      </c>
      <c r="Z51">
        <v>3</v>
      </c>
      <c r="AA51">
        <v>35</v>
      </c>
      <c r="AB51" s="4">
        <f>Table13[[#This Row],[Total_Price]]*(1-Table13[[#This Row],[Discount 2]])</f>
        <v>31484003.086800002</v>
      </c>
      <c r="AC51" s="4" t="str" cm="1">
        <f t="array" ref="AC51">_xlfn.IFS(Table13[[#This Row],[Revenue]]&gt;=30000000,"High Value",Table13[[#This Row],[Revenue]]&gt;=10000000,"Moderate Value",TRUE,"Low Value")</f>
        <v>High Value</v>
      </c>
      <c r="AD51" t="str">
        <f>IF(Table13[[#This Row],[Discount 2]]&gt;=5%, "YES", "NO")</f>
        <v>YES</v>
      </c>
      <c r="AE51" t="str" cm="1">
        <f t="array" ref="AE51">_xlfn.IFS(Table13[[#This Row],[Revenue]]&gt;=30000000,"High Spender",Table13[[#This Row],[Revenue]]&gt;=10000000,"Moderate Spender",TRUE,"Low Spender")</f>
        <v>High Spender</v>
      </c>
      <c r="AF51" s="4" t="str" cm="1">
        <f t="array" ref="AF51">_xlfn.IFS(Table13[[#This Row],[Land_Size_SQM]]&gt;=730,"LARGE",Table13[[#This Row],[Land_Size_SQM]]&gt;=465,"MEDIUM",TRUE,"SMALL")</f>
        <v>MEDIUM</v>
      </c>
    </row>
    <row r="52" spans="1:32" x14ac:dyDescent="0.3">
      <c r="A52" t="s">
        <v>326</v>
      </c>
      <c r="B52" t="s">
        <v>531</v>
      </c>
      <c r="C52" t="s">
        <v>626</v>
      </c>
      <c r="D52">
        <v>39</v>
      </c>
      <c r="E52" t="s">
        <v>629</v>
      </c>
      <c r="F52">
        <v>973</v>
      </c>
      <c r="G52" s="4">
        <v>32519</v>
      </c>
      <c r="H52" s="4">
        <v>31640987</v>
      </c>
      <c r="I52" t="s">
        <v>656</v>
      </c>
      <c r="J52" t="s">
        <v>669</v>
      </c>
      <c r="K52" t="s">
        <v>676</v>
      </c>
      <c r="L52" t="s">
        <v>682</v>
      </c>
      <c r="M52" t="s">
        <v>684</v>
      </c>
      <c r="N52" t="s">
        <v>691</v>
      </c>
      <c r="O52" t="s">
        <v>693</v>
      </c>
      <c r="P52" s="4">
        <v>31640987</v>
      </c>
      <c r="Q52">
        <v>0</v>
      </c>
      <c r="R52" s="7">
        <v>0.93</v>
      </c>
      <c r="S52" s="8">
        <f>Table13[[#This Row],[Discount_%]]/100</f>
        <v>9.300000000000001E-3</v>
      </c>
      <c r="T52" s="6" t="s">
        <v>737</v>
      </c>
      <c r="U52" t="s">
        <v>984</v>
      </c>
      <c r="V52">
        <v>2024</v>
      </c>
      <c r="W52" t="s">
        <v>996</v>
      </c>
      <c r="X52" t="s">
        <v>999</v>
      </c>
      <c r="Y52" t="s">
        <v>1000</v>
      </c>
      <c r="Z52">
        <v>5</v>
      </c>
      <c r="AA52">
        <v>17</v>
      </c>
      <c r="AB52" s="4">
        <f>Table13[[#This Row],[Total_Price]]*(1-Table13[[#This Row],[Discount 2]])</f>
        <v>31346725.820900001</v>
      </c>
      <c r="AC52" s="4" t="str" cm="1">
        <f t="array" ref="AC52">_xlfn.IFS(Table13[[#This Row],[Revenue]]&gt;=30000000,"High Value",Table13[[#This Row],[Revenue]]&gt;=10000000,"Moderate Value",TRUE,"Low Value")</f>
        <v>High Value</v>
      </c>
      <c r="AD52" t="str">
        <f>IF(Table13[[#This Row],[Discount 2]]&gt;=5%, "YES", "NO")</f>
        <v>NO</v>
      </c>
      <c r="AE52" t="str" cm="1">
        <f t="array" ref="AE52">_xlfn.IFS(Table13[[#This Row],[Revenue]]&gt;=30000000,"High Spender",Table13[[#This Row],[Revenue]]&gt;=10000000,"Moderate Spender",TRUE,"Low Spender")</f>
        <v>High Spender</v>
      </c>
      <c r="AF52" s="4" t="str" cm="1">
        <f t="array" ref="AF52">_xlfn.IFS(Table13[[#This Row],[Land_Size_SQM]]&gt;=730,"LARGE",Table13[[#This Row],[Land_Size_SQM]]&gt;=465,"MEDIUM",TRUE,"SMALL")</f>
        <v>LARGE</v>
      </c>
    </row>
    <row r="53" spans="1:32" x14ac:dyDescent="0.3">
      <c r="A53" t="s">
        <v>169</v>
      </c>
      <c r="B53" t="s">
        <v>597</v>
      </c>
      <c r="C53" t="s">
        <v>627</v>
      </c>
      <c r="D53">
        <v>48</v>
      </c>
      <c r="E53" t="s">
        <v>629</v>
      </c>
      <c r="F53">
        <v>960</v>
      </c>
      <c r="G53" s="4">
        <v>34460</v>
      </c>
      <c r="H53" s="4">
        <v>33081600</v>
      </c>
      <c r="I53" t="s">
        <v>632</v>
      </c>
      <c r="J53" t="s">
        <v>669</v>
      </c>
      <c r="K53" t="s">
        <v>674</v>
      </c>
      <c r="L53" t="s">
        <v>680</v>
      </c>
      <c r="M53" t="s">
        <v>684</v>
      </c>
      <c r="N53" t="s">
        <v>689</v>
      </c>
      <c r="O53" t="s">
        <v>693</v>
      </c>
      <c r="P53" s="4">
        <v>33081600</v>
      </c>
      <c r="Q53">
        <v>0</v>
      </c>
      <c r="R53" s="7">
        <v>5.73</v>
      </c>
      <c r="S53" s="8">
        <f>Table13[[#This Row],[Discount_%]]/100</f>
        <v>5.7300000000000004E-2</v>
      </c>
      <c r="T53" s="6" t="s">
        <v>809</v>
      </c>
      <c r="U53" t="s">
        <v>992</v>
      </c>
      <c r="V53">
        <v>2024</v>
      </c>
      <c r="W53" t="s">
        <v>996</v>
      </c>
      <c r="X53" t="s">
        <v>998</v>
      </c>
      <c r="Y53" t="s">
        <v>1000</v>
      </c>
      <c r="Z53">
        <v>4</v>
      </c>
      <c r="AA53">
        <v>17</v>
      </c>
      <c r="AB53" s="4">
        <f>Table13[[#This Row],[Total_Price]]*(1-Table13[[#This Row],[Discount 2]])</f>
        <v>31186024.32</v>
      </c>
      <c r="AC53" s="4" t="str" cm="1">
        <f t="array" ref="AC53">_xlfn.IFS(Table13[[#This Row],[Revenue]]&gt;=30000000,"High Value",Table13[[#This Row],[Revenue]]&gt;=10000000,"Moderate Value",TRUE,"Low Value")</f>
        <v>High Value</v>
      </c>
      <c r="AD53" t="str">
        <f>IF(Table13[[#This Row],[Discount 2]]&gt;=5%, "YES", "NO")</f>
        <v>YES</v>
      </c>
      <c r="AE53" t="str" cm="1">
        <f t="array" ref="AE53">_xlfn.IFS(Table13[[#This Row],[Revenue]]&gt;=30000000,"High Spender",Table13[[#This Row],[Revenue]]&gt;=10000000,"Moderate Spender",TRUE,"Low Spender")</f>
        <v>High Spender</v>
      </c>
      <c r="AF53" s="4" t="str" cm="1">
        <f t="array" ref="AF53">_xlfn.IFS(Table13[[#This Row],[Land_Size_SQM]]&gt;=730,"LARGE",Table13[[#This Row],[Land_Size_SQM]]&gt;=465,"MEDIUM",TRUE,"SMALL")</f>
        <v>LARGE</v>
      </c>
    </row>
    <row r="54" spans="1:32" x14ac:dyDescent="0.3">
      <c r="A54" t="s">
        <v>365</v>
      </c>
      <c r="B54" t="s">
        <v>565</v>
      </c>
      <c r="C54" t="s">
        <v>626</v>
      </c>
      <c r="D54">
        <v>25</v>
      </c>
      <c r="E54" t="s">
        <v>628</v>
      </c>
      <c r="F54">
        <v>681</v>
      </c>
      <c r="G54" s="4">
        <v>48519</v>
      </c>
      <c r="H54" s="4">
        <v>33041439</v>
      </c>
      <c r="I54" t="s">
        <v>665</v>
      </c>
      <c r="J54" t="s">
        <v>672</v>
      </c>
      <c r="K54" t="s">
        <v>676</v>
      </c>
      <c r="L54" t="s">
        <v>681</v>
      </c>
      <c r="M54" t="s">
        <v>683</v>
      </c>
      <c r="N54" t="s">
        <v>690</v>
      </c>
      <c r="O54" t="s">
        <v>694</v>
      </c>
      <c r="P54" s="4">
        <v>12763425</v>
      </c>
      <c r="Q54">
        <v>24</v>
      </c>
      <c r="R54" s="7">
        <v>8</v>
      </c>
      <c r="S54" s="8">
        <f>Table13[[#This Row],[Discount_%]]/100</f>
        <v>0.08</v>
      </c>
      <c r="T54" s="6" t="s">
        <v>936</v>
      </c>
      <c r="U54" t="s">
        <v>984</v>
      </c>
      <c r="V54">
        <v>2024</v>
      </c>
      <c r="W54" t="s">
        <v>993</v>
      </c>
      <c r="X54" t="s">
        <v>999</v>
      </c>
      <c r="Y54" t="s">
        <v>1000</v>
      </c>
      <c r="Z54">
        <v>3</v>
      </c>
      <c r="AA54">
        <v>8</v>
      </c>
      <c r="AB54" s="4">
        <f>Table13[[#This Row],[Total_Price]]*(1-Table13[[#This Row],[Discount 2]])</f>
        <v>30398123.880000003</v>
      </c>
      <c r="AC54" s="4" t="str" cm="1">
        <f t="array" ref="AC54">_xlfn.IFS(Table13[[#This Row],[Revenue]]&gt;=30000000,"High Value",Table13[[#This Row],[Revenue]]&gt;=10000000,"Moderate Value",TRUE,"Low Value")</f>
        <v>High Value</v>
      </c>
      <c r="AD54" t="str">
        <f>IF(Table13[[#This Row],[Discount 2]]&gt;=5%, "YES", "NO")</f>
        <v>YES</v>
      </c>
      <c r="AE54" t="str" cm="1">
        <f t="array" ref="AE54">_xlfn.IFS(Table13[[#This Row],[Revenue]]&gt;=30000000,"High Spender",Table13[[#This Row],[Revenue]]&gt;=10000000,"Moderate Spender",TRUE,"Low Spender")</f>
        <v>High Spender</v>
      </c>
      <c r="AF54" s="4" t="str" cm="1">
        <f t="array" ref="AF54">_xlfn.IFS(Table13[[#This Row],[Land_Size_SQM]]&gt;=730,"LARGE",Table13[[#This Row],[Land_Size_SQM]]&gt;=465,"MEDIUM",TRUE,"SMALL")</f>
        <v>MEDIUM</v>
      </c>
    </row>
    <row r="55" spans="1:32" x14ac:dyDescent="0.3">
      <c r="A55" t="s">
        <v>444</v>
      </c>
      <c r="B55" t="s">
        <v>560</v>
      </c>
      <c r="C55" t="s">
        <v>626</v>
      </c>
      <c r="D55">
        <v>48</v>
      </c>
      <c r="E55" t="s">
        <v>628</v>
      </c>
      <c r="F55">
        <v>767</v>
      </c>
      <c r="G55" s="4">
        <v>40415</v>
      </c>
      <c r="H55" s="4">
        <v>30998305</v>
      </c>
      <c r="I55" t="s">
        <v>649</v>
      </c>
      <c r="J55" t="s">
        <v>669</v>
      </c>
      <c r="K55" t="s">
        <v>677</v>
      </c>
      <c r="L55" t="s">
        <v>682</v>
      </c>
      <c r="M55" t="s">
        <v>686</v>
      </c>
      <c r="N55" t="s">
        <v>688</v>
      </c>
      <c r="O55" t="s">
        <v>693</v>
      </c>
      <c r="P55" s="4">
        <v>30998305</v>
      </c>
      <c r="Q55">
        <v>0</v>
      </c>
      <c r="R55" s="7">
        <v>2.46</v>
      </c>
      <c r="S55" s="8">
        <f>Table13[[#This Row],[Discount_%]]/100</f>
        <v>2.46E-2</v>
      </c>
      <c r="T55" s="6" t="s">
        <v>959</v>
      </c>
      <c r="U55" t="s">
        <v>985</v>
      </c>
      <c r="V55">
        <v>2024</v>
      </c>
      <c r="W55" t="s">
        <v>996</v>
      </c>
      <c r="X55" t="s">
        <v>998</v>
      </c>
      <c r="Y55" t="s">
        <v>1001</v>
      </c>
      <c r="Z55">
        <v>2</v>
      </c>
      <c r="AA55">
        <v>16</v>
      </c>
      <c r="AB55" s="4">
        <f>Table13[[#This Row],[Total_Price]]*(1-Table13[[#This Row],[Discount 2]])</f>
        <v>30235746.697000001</v>
      </c>
      <c r="AC55" s="4" t="str" cm="1">
        <f t="array" ref="AC55">_xlfn.IFS(Table13[[#This Row],[Revenue]]&gt;=30000000,"High Value",Table13[[#This Row],[Revenue]]&gt;=10000000,"Moderate Value",TRUE,"Low Value")</f>
        <v>High Value</v>
      </c>
      <c r="AD55" t="str">
        <f>IF(Table13[[#This Row],[Discount 2]]&gt;=5%, "YES", "NO")</f>
        <v>NO</v>
      </c>
      <c r="AE55" t="str" cm="1">
        <f t="array" ref="AE55">_xlfn.IFS(Table13[[#This Row],[Revenue]]&gt;=30000000,"High Spender",Table13[[#This Row],[Revenue]]&gt;=10000000,"Moderate Spender",TRUE,"Low Spender")</f>
        <v>High Spender</v>
      </c>
      <c r="AF55" s="4" t="str" cm="1">
        <f t="array" ref="AF55">_xlfn.IFS(Table13[[#This Row],[Land_Size_SQM]]&gt;=730,"LARGE",Table13[[#This Row],[Land_Size_SQM]]&gt;=465,"MEDIUM",TRUE,"SMALL")</f>
        <v>LARGE</v>
      </c>
    </row>
    <row r="56" spans="1:32" x14ac:dyDescent="0.3">
      <c r="A56" t="s">
        <v>246</v>
      </c>
      <c r="B56" t="s">
        <v>608</v>
      </c>
      <c r="C56" t="s">
        <v>627</v>
      </c>
      <c r="D56">
        <v>30</v>
      </c>
      <c r="E56" t="s">
        <v>628</v>
      </c>
      <c r="F56">
        <v>786</v>
      </c>
      <c r="G56" s="4">
        <v>41102</v>
      </c>
      <c r="H56" s="4">
        <v>32306172</v>
      </c>
      <c r="I56" t="s">
        <v>664</v>
      </c>
      <c r="J56" t="s">
        <v>673</v>
      </c>
      <c r="K56" t="s">
        <v>664</v>
      </c>
      <c r="L56" t="s">
        <v>680</v>
      </c>
      <c r="M56" t="s">
        <v>686</v>
      </c>
      <c r="N56" t="s">
        <v>690</v>
      </c>
      <c r="O56" t="s">
        <v>694</v>
      </c>
      <c r="P56" s="4">
        <v>9414256</v>
      </c>
      <c r="Q56">
        <v>3</v>
      </c>
      <c r="R56" s="7">
        <v>7.48</v>
      </c>
      <c r="S56" s="8">
        <f>Table13[[#This Row],[Discount_%]]/100</f>
        <v>7.4800000000000005E-2</v>
      </c>
      <c r="T56" s="6" t="s">
        <v>862</v>
      </c>
      <c r="U56" t="s">
        <v>982</v>
      </c>
      <c r="V56">
        <v>2024</v>
      </c>
      <c r="W56" t="s">
        <v>996</v>
      </c>
      <c r="X56" t="s">
        <v>999</v>
      </c>
      <c r="Y56" t="s">
        <v>1000</v>
      </c>
      <c r="Z56">
        <v>5</v>
      </c>
      <c r="AA56">
        <v>4</v>
      </c>
      <c r="AB56" s="4">
        <f>Table13[[#This Row],[Total_Price]]*(1-Table13[[#This Row],[Discount 2]])</f>
        <v>29889670.334400002</v>
      </c>
      <c r="AC56" s="4" t="str" cm="1">
        <f t="array" ref="AC56">_xlfn.IFS(Table13[[#This Row],[Revenue]]&gt;=30000000,"High Value",Table13[[#This Row],[Revenue]]&gt;=10000000,"Moderate Value",TRUE,"Low Value")</f>
        <v>Moderate Value</v>
      </c>
      <c r="AD56" t="str">
        <f>IF(Table13[[#This Row],[Discount 2]]&gt;=5%, "YES", "NO")</f>
        <v>YES</v>
      </c>
      <c r="AE56" t="str" cm="1">
        <f t="array" ref="AE56">_xlfn.IFS(Table13[[#This Row],[Revenue]]&gt;=30000000,"High Spender",Table13[[#This Row],[Revenue]]&gt;=10000000,"Moderate Spender",TRUE,"Low Spender")</f>
        <v>Moderate Spender</v>
      </c>
      <c r="AF56" s="4" t="str" cm="1">
        <f t="array" ref="AF56">_xlfn.IFS(Table13[[#This Row],[Land_Size_SQM]]&gt;=730,"LARGE",Table13[[#This Row],[Land_Size_SQM]]&gt;=465,"MEDIUM",TRUE,"SMALL")</f>
        <v>LARGE</v>
      </c>
    </row>
    <row r="57" spans="1:32" x14ac:dyDescent="0.3">
      <c r="A57" t="s">
        <v>310</v>
      </c>
      <c r="B57" t="s">
        <v>619</v>
      </c>
      <c r="C57" t="s">
        <v>626</v>
      </c>
      <c r="D57">
        <v>46</v>
      </c>
      <c r="E57" t="s">
        <v>630</v>
      </c>
      <c r="F57">
        <v>674</v>
      </c>
      <c r="G57" s="4">
        <v>44342</v>
      </c>
      <c r="H57" s="4">
        <v>29886508</v>
      </c>
      <c r="I57" t="s">
        <v>644</v>
      </c>
      <c r="J57" t="s">
        <v>668</v>
      </c>
      <c r="K57" t="s">
        <v>638</v>
      </c>
      <c r="L57" t="s">
        <v>681</v>
      </c>
      <c r="M57" t="s">
        <v>685</v>
      </c>
      <c r="N57" t="s">
        <v>688</v>
      </c>
      <c r="O57" t="s">
        <v>694</v>
      </c>
      <c r="P57" s="4">
        <v>12456518</v>
      </c>
      <c r="Q57">
        <v>3</v>
      </c>
      <c r="R57" s="7">
        <v>1.1299999999999999</v>
      </c>
      <c r="S57" s="8">
        <f>Table13[[#This Row],[Discount_%]]/100</f>
        <v>1.1299999999999999E-2</v>
      </c>
      <c r="T57" s="6" t="s">
        <v>906</v>
      </c>
      <c r="U57" t="s">
        <v>985</v>
      </c>
      <c r="V57">
        <v>2024</v>
      </c>
      <c r="W57" t="s">
        <v>995</v>
      </c>
      <c r="X57" t="s">
        <v>997</v>
      </c>
      <c r="Y57" t="s">
        <v>1001</v>
      </c>
      <c r="Z57">
        <v>2</v>
      </c>
      <c r="AA57">
        <v>30</v>
      </c>
      <c r="AB57" s="4">
        <f>Table13[[#This Row],[Total_Price]]*(1-Table13[[#This Row],[Discount 2]])</f>
        <v>29548790.459600002</v>
      </c>
      <c r="AC57" s="4" t="str" cm="1">
        <f t="array" ref="AC57">_xlfn.IFS(Table13[[#This Row],[Revenue]]&gt;=30000000,"High Value",Table13[[#This Row],[Revenue]]&gt;=10000000,"Moderate Value",TRUE,"Low Value")</f>
        <v>Moderate Value</v>
      </c>
      <c r="AD57" t="str">
        <f>IF(Table13[[#This Row],[Discount 2]]&gt;=5%, "YES", "NO")</f>
        <v>NO</v>
      </c>
      <c r="AE57" t="str" cm="1">
        <f t="array" ref="AE57">_xlfn.IFS(Table13[[#This Row],[Revenue]]&gt;=30000000,"High Spender",Table13[[#This Row],[Revenue]]&gt;=10000000,"Moderate Spender",TRUE,"Low Spender")</f>
        <v>Moderate Spender</v>
      </c>
      <c r="AF57" s="4" t="str" cm="1">
        <f t="array" ref="AF57">_xlfn.IFS(Table13[[#This Row],[Land_Size_SQM]]&gt;=730,"LARGE",Table13[[#This Row],[Land_Size_SQM]]&gt;=465,"MEDIUM",TRUE,"SMALL")</f>
        <v>MEDIUM</v>
      </c>
    </row>
    <row r="58" spans="1:32" x14ac:dyDescent="0.3">
      <c r="A58" t="s">
        <v>162</v>
      </c>
      <c r="B58" t="s">
        <v>596</v>
      </c>
      <c r="C58" t="s">
        <v>627</v>
      </c>
      <c r="D58">
        <v>42</v>
      </c>
      <c r="E58" t="s">
        <v>628</v>
      </c>
      <c r="F58">
        <v>771</v>
      </c>
      <c r="G58" s="4">
        <v>40044</v>
      </c>
      <c r="H58" s="4">
        <v>30873924</v>
      </c>
      <c r="I58" t="s">
        <v>656</v>
      </c>
      <c r="J58" t="s">
        <v>669</v>
      </c>
      <c r="K58" t="s">
        <v>675</v>
      </c>
      <c r="L58" t="s">
        <v>681</v>
      </c>
      <c r="M58" t="s">
        <v>685</v>
      </c>
      <c r="N58" t="s">
        <v>690</v>
      </c>
      <c r="O58" t="s">
        <v>693</v>
      </c>
      <c r="P58" s="4">
        <v>30873924</v>
      </c>
      <c r="Q58">
        <v>0</v>
      </c>
      <c r="R58" s="7">
        <v>4.46</v>
      </c>
      <c r="S58" s="8">
        <f>Table13[[#This Row],[Discount_%]]/100</f>
        <v>4.4600000000000001E-2</v>
      </c>
      <c r="T58" s="6" t="s">
        <v>804</v>
      </c>
      <c r="U58" t="s">
        <v>991</v>
      </c>
      <c r="V58">
        <v>2024</v>
      </c>
      <c r="W58" t="s">
        <v>995</v>
      </c>
      <c r="X58" t="s">
        <v>999</v>
      </c>
      <c r="Y58" t="s">
        <v>1000</v>
      </c>
      <c r="Z58">
        <v>2</v>
      </c>
      <c r="AA58">
        <v>23</v>
      </c>
      <c r="AB58" s="4">
        <f>Table13[[#This Row],[Total_Price]]*(1-Table13[[#This Row],[Discount 2]])</f>
        <v>29496946.989599999</v>
      </c>
      <c r="AC58" s="4" t="str" cm="1">
        <f t="array" ref="AC58">_xlfn.IFS(Table13[[#This Row],[Revenue]]&gt;=30000000,"High Value",Table13[[#This Row],[Revenue]]&gt;=10000000,"Moderate Value",TRUE,"Low Value")</f>
        <v>Moderate Value</v>
      </c>
      <c r="AD58" t="str">
        <f>IF(Table13[[#This Row],[Discount 2]]&gt;=5%, "YES", "NO")</f>
        <v>NO</v>
      </c>
      <c r="AE58" t="str" cm="1">
        <f t="array" ref="AE58">_xlfn.IFS(Table13[[#This Row],[Revenue]]&gt;=30000000,"High Spender",Table13[[#This Row],[Revenue]]&gt;=10000000,"Moderate Spender",TRUE,"Low Spender")</f>
        <v>Moderate Spender</v>
      </c>
      <c r="AF58" s="4" t="str" cm="1">
        <f t="array" ref="AF58">_xlfn.IFS(Table13[[#This Row],[Land_Size_SQM]]&gt;=730,"LARGE",Table13[[#This Row],[Land_Size_SQM]]&gt;=465,"MEDIUM",TRUE,"SMALL")</f>
        <v>LARGE</v>
      </c>
    </row>
    <row r="59" spans="1:32" x14ac:dyDescent="0.3">
      <c r="A59" t="s">
        <v>346</v>
      </c>
      <c r="B59" t="s">
        <v>570</v>
      </c>
      <c r="C59" t="s">
        <v>627</v>
      </c>
      <c r="D59">
        <v>44</v>
      </c>
      <c r="E59" t="s">
        <v>629</v>
      </c>
      <c r="F59">
        <v>924</v>
      </c>
      <c r="G59" s="4">
        <v>34157</v>
      </c>
      <c r="H59" s="4">
        <v>31561068</v>
      </c>
      <c r="I59" t="s">
        <v>638</v>
      </c>
      <c r="J59" t="s">
        <v>672</v>
      </c>
      <c r="K59" t="s">
        <v>675</v>
      </c>
      <c r="L59" t="s">
        <v>681</v>
      </c>
      <c r="M59" t="s">
        <v>685</v>
      </c>
      <c r="N59" t="s">
        <v>692</v>
      </c>
      <c r="O59" t="s">
        <v>694</v>
      </c>
      <c r="P59" s="4">
        <v>10136589</v>
      </c>
      <c r="Q59">
        <v>24</v>
      </c>
      <c r="R59" s="7">
        <v>7.28</v>
      </c>
      <c r="S59" s="8">
        <f>Table13[[#This Row],[Discount_%]]/100</f>
        <v>7.2800000000000004E-2</v>
      </c>
      <c r="T59" s="6" t="s">
        <v>871</v>
      </c>
      <c r="U59" t="s">
        <v>981</v>
      </c>
      <c r="V59">
        <v>2024</v>
      </c>
      <c r="W59" t="s">
        <v>994</v>
      </c>
      <c r="X59" t="s">
        <v>998</v>
      </c>
      <c r="Y59" t="s">
        <v>1001</v>
      </c>
      <c r="Z59">
        <v>3</v>
      </c>
      <c r="AA59">
        <v>26</v>
      </c>
      <c r="AB59" s="4">
        <f>Table13[[#This Row],[Total_Price]]*(1-Table13[[#This Row],[Discount 2]])</f>
        <v>29263422.249600001</v>
      </c>
      <c r="AC59" s="4" t="str" cm="1">
        <f t="array" ref="AC59">_xlfn.IFS(Table13[[#This Row],[Revenue]]&gt;=30000000,"High Value",Table13[[#This Row],[Revenue]]&gt;=10000000,"Moderate Value",TRUE,"Low Value")</f>
        <v>Moderate Value</v>
      </c>
      <c r="AD59" t="str">
        <f>IF(Table13[[#This Row],[Discount 2]]&gt;=5%, "YES", "NO")</f>
        <v>YES</v>
      </c>
      <c r="AE59" t="str" cm="1">
        <f t="array" ref="AE59">_xlfn.IFS(Table13[[#This Row],[Revenue]]&gt;=30000000,"High Spender",Table13[[#This Row],[Revenue]]&gt;=10000000,"Moderate Spender",TRUE,"Low Spender")</f>
        <v>Moderate Spender</v>
      </c>
      <c r="AF59" s="4" t="str" cm="1">
        <f t="array" ref="AF59">_xlfn.IFS(Table13[[#This Row],[Land_Size_SQM]]&gt;=730,"LARGE",Table13[[#This Row],[Land_Size_SQM]]&gt;=465,"MEDIUM",TRUE,"SMALL")</f>
        <v>LARGE</v>
      </c>
    </row>
    <row r="60" spans="1:32" x14ac:dyDescent="0.3">
      <c r="A60" t="s">
        <v>425</v>
      </c>
      <c r="B60" t="s">
        <v>536</v>
      </c>
      <c r="C60" t="s">
        <v>627</v>
      </c>
      <c r="D60">
        <v>46</v>
      </c>
      <c r="E60" t="s">
        <v>630</v>
      </c>
      <c r="F60">
        <v>883</v>
      </c>
      <c r="G60" s="4">
        <v>33646</v>
      </c>
      <c r="H60" s="4">
        <v>29709418</v>
      </c>
      <c r="I60" t="s">
        <v>636</v>
      </c>
      <c r="J60" t="s">
        <v>671</v>
      </c>
      <c r="K60" t="s">
        <v>676</v>
      </c>
      <c r="L60" t="s">
        <v>681</v>
      </c>
      <c r="M60" t="s">
        <v>683</v>
      </c>
      <c r="N60" t="s">
        <v>688</v>
      </c>
      <c r="O60" t="s">
        <v>693</v>
      </c>
      <c r="P60" s="4">
        <v>29709418</v>
      </c>
      <c r="Q60">
        <v>0</v>
      </c>
      <c r="R60" s="7">
        <v>1.73</v>
      </c>
      <c r="S60" s="8">
        <f>Table13[[#This Row],[Discount_%]]/100</f>
        <v>1.7299999999999999E-2</v>
      </c>
      <c r="T60" s="6" t="s">
        <v>954</v>
      </c>
      <c r="U60" t="s">
        <v>987</v>
      </c>
      <c r="V60">
        <v>2024</v>
      </c>
      <c r="W60" t="s">
        <v>993</v>
      </c>
      <c r="X60" t="s">
        <v>999</v>
      </c>
      <c r="Y60" t="s">
        <v>1002</v>
      </c>
      <c r="Z60">
        <v>3</v>
      </c>
      <c r="AA60">
        <v>23</v>
      </c>
      <c r="AB60" s="4">
        <f>Table13[[#This Row],[Total_Price]]*(1-Table13[[#This Row],[Discount 2]])</f>
        <v>29195445.068599999</v>
      </c>
      <c r="AC60" s="4" t="str" cm="1">
        <f t="array" ref="AC60">_xlfn.IFS(Table13[[#This Row],[Revenue]]&gt;=30000000,"High Value",Table13[[#This Row],[Revenue]]&gt;=10000000,"Moderate Value",TRUE,"Low Value")</f>
        <v>Moderate Value</v>
      </c>
      <c r="AD60" t="str">
        <f>IF(Table13[[#This Row],[Discount 2]]&gt;=5%, "YES", "NO")</f>
        <v>NO</v>
      </c>
      <c r="AE60" t="str" cm="1">
        <f t="array" ref="AE60">_xlfn.IFS(Table13[[#This Row],[Revenue]]&gt;=30000000,"High Spender",Table13[[#This Row],[Revenue]]&gt;=10000000,"Moderate Spender",TRUE,"Low Spender")</f>
        <v>Moderate Spender</v>
      </c>
      <c r="AF60" s="4" t="str" cm="1">
        <f t="array" ref="AF60">_xlfn.IFS(Table13[[#This Row],[Land_Size_SQM]]&gt;=730,"LARGE",Table13[[#This Row],[Land_Size_SQM]]&gt;=465,"MEDIUM",TRUE,"SMALL")</f>
        <v>LARGE</v>
      </c>
    </row>
    <row r="61" spans="1:32" x14ac:dyDescent="0.3">
      <c r="A61" t="s">
        <v>292</v>
      </c>
      <c r="B61" t="s">
        <v>618</v>
      </c>
      <c r="C61" t="s">
        <v>626</v>
      </c>
      <c r="D61">
        <v>40</v>
      </c>
      <c r="E61" t="s">
        <v>629</v>
      </c>
      <c r="F61">
        <v>746</v>
      </c>
      <c r="G61" s="4">
        <v>41316</v>
      </c>
      <c r="H61" s="4">
        <v>30821736</v>
      </c>
      <c r="I61" t="s">
        <v>636</v>
      </c>
      <c r="J61" t="s">
        <v>671</v>
      </c>
      <c r="K61" t="s">
        <v>638</v>
      </c>
      <c r="L61" t="s">
        <v>680</v>
      </c>
      <c r="M61" t="s">
        <v>686</v>
      </c>
      <c r="N61" t="s">
        <v>692</v>
      </c>
      <c r="O61" t="s">
        <v>694</v>
      </c>
      <c r="P61" s="4">
        <v>14509193</v>
      </c>
      <c r="Q61">
        <v>12</v>
      </c>
      <c r="R61" s="7">
        <v>5.5</v>
      </c>
      <c r="S61" s="8">
        <f>Table13[[#This Row],[Discount_%]]/100</f>
        <v>5.5E-2</v>
      </c>
      <c r="T61" s="6" t="s">
        <v>755</v>
      </c>
      <c r="U61" t="s">
        <v>982</v>
      </c>
      <c r="V61">
        <v>2024</v>
      </c>
      <c r="W61" t="s">
        <v>996</v>
      </c>
      <c r="X61" t="s">
        <v>998</v>
      </c>
      <c r="Y61" t="s">
        <v>1001</v>
      </c>
      <c r="Z61">
        <v>3</v>
      </c>
      <c r="AA61">
        <v>24</v>
      </c>
      <c r="AB61" s="4">
        <f>Table13[[#This Row],[Total_Price]]*(1-Table13[[#This Row],[Discount 2]])</f>
        <v>29126540.52</v>
      </c>
      <c r="AC61" s="4" t="str" cm="1">
        <f t="array" ref="AC61">_xlfn.IFS(Table13[[#This Row],[Revenue]]&gt;=30000000,"High Value",Table13[[#This Row],[Revenue]]&gt;=10000000,"Moderate Value",TRUE,"Low Value")</f>
        <v>Moderate Value</v>
      </c>
      <c r="AD61" t="str">
        <f>IF(Table13[[#This Row],[Discount 2]]&gt;=5%, "YES", "NO")</f>
        <v>YES</v>
      </c>
      <c r="AE61" t="str" cm="1">
        <f t="array" ref="AE61">_xlfn.IFS(Table13[[#This Row],[Revenue]]&gt;=30000000,"High Spender",Table13[[#This Row],[Revenue]]&gt;=10000000,"Moderate Spender",TRUE,"Low Spender")</f>
        <v>Moderate Spender</v>
      </c>
      <c r="AF61" s="4" t="str" cm="1">
        <f t="array" ref="AF61">_xlfn.IFS(Table13[[#This Row],[Land_Size_SQM]]&gt;=730,"LARGE",Table13[[#This Row],[Land_Size_SQM]]&gt;=465,"MEDIUM",TRUE,"SMALL")</f>
        <v>LARGE</v>
      </c>
    </row>
    <row r="62" spans="1:32" x14ac:dyDescent="0.3">
      <c r="A62" t="s">
        <v>34</v>
      </c>
      <c r="B62" t="s">
        <v>534</v>
      </c>
      <c r="C62" t="s">
        <v>626</v>
      </c>
      <c r="D62">
        <v>55</v>
      </c>
      <c r="E62" t="s">
        <v>628</v>
      </c>
      <c r="F62">
        <v>949</v>
      </c>
      <c r="G62" s="4">
        <v>33849</v>
      </c>
      <c r="H62" s="4">
        <v>32122701</v>
      </c>
      <c r="I62" t="s">
        <v>638</v>
      </c>
      <c r="J62" t="s">
        <v>672</v>
      </c>
      <c r="K62" t="s">
        <v>676</v>
      </c>
      <c r="L62" t="s">
        <v>681</v>
      </c>
      <c r="M62" t="s">
        <v>686</v>
      </c>
      <c r="N62" t="s">
        <v>692</v>
      </c>
      <c r="O62" t="s">
        <v>693</v>
      </c>
      <c r="P62" s="4">
        <v>32122701</v>
      </c>
      <c r="Q62">
        <v>0</v>
      </c>
      <c r="R62" s="7">
        <v>9.7799999999999994</v>
      </c>
      <c r="S62" s="8">
        <f>Table13[[#This Row],[Discount_%]]/100</f>
        <v>9.7799999999999998E-2</v>
      </c>
      <c r="T62" s="6" t="s">
        <v>703</v>
      </c>
      <c r="U62" t="s">
        <v>986</v>
      </c>
      <c r="V62">
        <v>2024</v>
      </c>
      <c r="W62" t="s">
        <v>995</v>
      </c>
      <c r="X62" t="s">
        <v>999</v>
      </c>
      <c r="Y62" t="s">
        <v>1001</v>
      </c>
      <c r="Z62">
        <v>2</v>
      </c>
      <c r="AA62">
        <v>46</v>
      </c>
      <c r="AB62" s="4">
        <f>Table13[[#This Row],[Total_Price]]*(1-Table13[[#This Row],[Discount 2]])</f>
        <v>28981100.8422</v>
      </c>
      <c r="AC62" s="4" t="str" cm="1">
        <f t="array" ref="AC62">_xlfn.IFS(Table13[[#This Row],[Revenue]]&gt;=30000000,"High Value",Table13[[#This Row],[Revenue]]&gt;=10000000,"Moderate Value",TRUE,"Low Value")</f>
        <v>Moderate Value</v>
      </c>
      <c r="AD62" t="str">
        <f>IF(Table13[[#This Row],[Discount 2]]&gt;=5%, "YES", "NO")</f>
        <v>YES</v>
      </c>
      <c r="AE62" t="str" cm="1">
        <f t="array" ref="AE62">_xlfn.IFS(Table13[[#This Row],[Revenue]]&gt;=30000000,"High Spender",Table13[[#This Row],[Revenue]]&gt;=10000000,"Moderate Spender",TRUE,"Low Spender")</f>
        <v>Moderate Spender</v>
      </c>
      <c r="AF62" s="4" t="str" cm="1">
        <f t="array" ref="AF62">_xlfn.IFS(Table13[[#This Row],[Land_Size_SQM]]&gt;=730,"LARGE",Table13[[#This Row],[Land_Size_SQM]]&gt;=465,"MEDIUM",TRUE,"SMALL")</f>
        <v>LARGE</v>
      </c>
    </row>
    <row r="63" spans="1:32" x14ac:dyDescent="0.3">
      <c r="A63" t="s">
        <v>160</v>
      </c>
      <c r="B63" t="s">
        <v>527</v>
      </c>
      <c r="C63" t="s">
        <v>626</v>
      </c>
      <c r="D63">
        <v>44</v>
      </c>
      <c r="E63" t="s">
        <v>628</v>
      </c>
      <c r="F63">
        <v>889</v>
      </c>
      <c r="G63" s="4">
        <v>34722</v>
      </c>
      <c r="H63" s="4">
        <v>30867858</v>
      </c>
      <c r="I63" t="s">
        <v>631</v>
      </c>
      <c r="J63" t="s">
        <v>668</v>
      </c>
      <c r="K63" t="s">
        <v>640</v>
      </c>
      <c r="L63" t="s">
        <v>681</v>
      </c>
      <c r="M63" t="s">
        <v>686</v>
      </c>
      <c r="N63" t="s">
        <v>691</v>
      </c>
      <c r="O63" t="s">
        <v>693</v>
      </c>
      <c r="P63" s="4">
        <v>30867858</v>
      </c>
      <c r="Q63">
        <v>0</v>
      </c>
      <c r="R63" s="7">
        <v>6.33</v>
      </c>
      <c r="S63" s="8">
        <f>Table13[[#This Row],[Discount_%]]/100</f>
        <v>6.3299999999999995E-2</v>
      </c>
      <c r="T63" s="6" t="s">
        <v>727</v>
      </c>
      <c r="U63" t="s">
        <v>992</v>
      </c>
      <c r="V63">
        <v>2024</v>
      </c>
      <c r="W63" t="s">
        <v>995</v>
      </c>
      <c r="X63" t="s">
        <v>997</v>
      </c>
      <c r="Y63" t="s">
        <v>1001</v>
      </c>
      <c r="Z63">
        <v>4</v>
      </c>
      <c r="AA63">
        <v>35</v>
      </c>
      <c r="AB63" s="4">
        <f>Table13[[#This Row],[Total_Price]]*(1-Table13[[#This Row],[Discount 2]])</f>
        <v>28913922.588599999</v>
      </c>
      <c r="AC63" s="4" t="str" cm="1">
        <f t="array" ref="AC63">_xlfn.IFS(Table13[[#This Row],[Revenue]]&gt;=30000000,"High Value",Table13[[#This Row],[Revenue]]&gt;=10000000,"Moderate Value",TRUE,"Low Value")</f>
        <v>Moderate Value</v>
      </c>
      <c r="AD63" t="str">
        <f>IF(Table13[[#This Row],[Discount 2]]&gt;=5%, "YES", "NO")</f>
        <v>YES</v>
      </c>
      <c r="AE63" t="str" cm="1">
        <f t="array" ref="AE63">_xlfn.IFS(Table13[[#This Row],[Revenue]]&gt;=30000000,"High Spender",Table13[[#This Row],[Revenue]]&gt;=10000000,"Moderate Spender",TRUE,"Low Spender")</f>
        <v>Moderate Spender</v>
      </c>
      <c r="AF63" s="4" t="str" cm="1">
        <f t="array" ref="AF63">_xlfn.IFS(Table13[[#This Row],[Land_Size_SQM]]&gt;=730,"LARGE",Table13[[#This Row],[Land_Size_SQM]]&gt;=465,"MEDIUM",TRUE,"SMALL")</f>
        <v>LARGE</v>
      </c>
    </row>
    <row r="64" spans="1:32" x14ac:dyDescent="0.3">
      <c r="A64" t="s">
        <v>462</v>
      </c>
      <c r="B64" t="s">
        <v>592</v>
      </c>
      <c r="C64" t="s">
        <v>626</v>
      </c>
      <c r="D64">
        <v>64</v>
      </c>
      <c r="E64" t="s">
        <v>630</v>
      </c>
      <c r="F64">
        <v>739</v>
      </c>
      <c r="G64" s="4">
        <v>42842</v>
      </c>
      <c r="H64" s="4">
        <v>31660238</v>
      </c>
      <c r="I64" t="s">
        <v>657</v>
      </c>
      <c r="J64" t="s">
        <v>671</v>
      </c>
      <c r="K64" t="s">
        <v>638</v>
      </c>
      <c r="L64" t="s">
        <v>681</v>
      </c>
      <c r="M64" t="s">
        <v>686</v>
      </c>
      <c r="N64" t="s">
        <v>691</v>
      </c>
      <c r="O64" t="s">
        <v>694</v>
      </c>
      <c r="P64" s="4">
        <v>7457506</v>
      </c>
      <c r="Q64">
        <v>3</v>
      </c>
      <c r="R64" s="7">
        <v>8.83</v>
      </c>
      <c r="S64" s="8">
        <f>Table13[[#This Row],[Discount_%]]/100</f>
        <v>8.8300000000000003E-2</v>
      </c>
      <c r="T64" s="6" t="s">
        <v>712</v>
      </c>
      <c r="U64" t="s">
        <v>987</v>
      </c>
      <c r="V64">
        <v>2024</v>
      </c>
      <c r="W64" t="s">
        <v>996</v>
      </c>
      <c r="X64" t="s">
        <v>999</v>
      </c>
      <c r="Y64" t="s">
        <v>1001</v>
      </c>
      <c r="Z64">
        <v>5</v>
      </c>
      <c r="AA64">
        <v>13</v>
      </c>
      <c r="AB64" s="4">
        <f>Table13[[#This Row],[Total_Price]]*(1-Table13[[#This Row],[Discount 2]])</f>
        <v>28864638.9846</v>
      </c>
      <c r="AC64" s="4" t="str" cm="1">
        <f t="array" ref="AC64">_xlfn.IFS(Table13[[#This Row],[Revenue]]&gt;=30000000,"High Value",Table13[[#This Row],[Revenue]]&gt;=10000000,"Moderate Value",TRUE,"Low Value")</f>
        <v>Moderate Value</v>
      </c>
      <c r="AD64" t="str">
        <f>IF(Table13[[#This Row],[Discount 2]]&gt;=5%, "YES", "NO")</f>
        <v>YES</v>
      </c>
      <c r="AE64" t="str" cm="1">
        <f t="array" ref="AE64">_xlfn.IFS(Table13[[#This Row],[Revenue]]&gt;=30000000,"High Spender",Table13[[#This Row],[Revenue]]&gt;=10000000,"Moderate Spender",TRUE,"Low Spender")</f>
        <v>Moderate Spender</v>
      </c>
      <c r="AF64" s="4" t="str" cm="1">
        <f t="array" ref="AF64">_xlfn.IFS(Table13[[#This Row],[Land_Size_SQM]]&gt;=730,"LARGE",Table13[[#This Row],[Land_Size_SQM]]&gt;=465,"MEDIUM",TRUE,"SMALL")</f>
        <v>LARGE</v>
      </c>
    </row>
    <row r="65" spans="1:32" x14ac:dyDescent="0.3">
      <c r="A65" t="s">
        <v>49</v>
      </c>
      <c r="B65" t="s">
        <v>544</v>
      </c>
      <c r="C65" t="s">
        <v>626</v>
      </c>
      <c r="D65">
        <v>25</v>
      </c>
      <c r="E65" t="s">
        <v>628</v>
      </c>
      <c r="F65">
        <v>652</v>
      </c>
      <c r="G65" s="4">
        <v>46277</v>
      </c>
      <c r="H65" s="4">
        <v>30172604</v>
      </c>
      <c r="I65" t="s">
        <v>639</v>
      </c>
      <c r="J65" t="s">
        <v>671</v>
      </c>
      <c r="K65" t="s">
        <v>678</v>
      </c>
      <c r="L65" t="s">
        <v>682</v>
      </c>
      <c r="M65" t="s">
        <v>687</v>
      </c>
      <c r="N65" t="s">
        <v>688</v>
      </c>
      <c r="O65" t="s">
        <v>693</v>
      </c>
      <c r="P65" s="4">
        <v>30172604</v>
      </c>
      <c r="Q65">
        <v>0</v>
      </c>
      <c r="R65" s="7">
        <v>5.1100000000000003</v>
      </c>
      <c r="S65" s="8">
        <f>Table13[[#This Row],[Discount_%]]/100</f>
        <v>5.1100000000000007E-2</v>
      </c>
      <c r="T65" s="6" t="s">
        <v>717</v>
      </c>
      <c r="U65" t="s">
        <v>987</v>
      </c>
      <c r="V65">
        <v>2024</v>
      </c>
      <c r="W65" t="s">
        <v>996</v>
      </c>
      <c r="X65" t="s">
        <v>999</v>
      </c>
      <c r="Y65" t="s">
        <v>1000</v>
      </c>
      <c r="Z65">
        <v>1</v>
      </c>
      <c r="AA65">
        <v>16</v>
      </c>
      <c r="AB65" s="4">
        <f>Table13[[#This Row],[Total_Price]]*(1-Table13[[#This Row],[Discount 2]])</f>
        <v>28630783.935599998</v>
      </c>
      <c r="AC65" s="4" t="str" cm="1">
        <f t="array" ref="AC65">_xlfn.IFS(Table13[[#This Row],[Revenue]]&gt;=30000000,"High Value",Table13[[#This Row],[Revenue]]&gt;=10000000,"Moderate Value",TRUE,"Low Value")</f>
        <v>Moderate Value</v>
      </c>
      <c r="AD65" t="str">
        <f>IF(Table13[[#This Row],[Discount 2]]&gt;=5%, "YES", "NO")</f>
        <v>YES</v>
      </c>
      <c r="AE65" t="str" cm="1">
        <f t="array" ref="AE65">_xlfn.IFS(Table13[[#This Row],[Revenue]]&gt;=30000000,"High Spender",Table13[[#This Row],[Revenue]]&gt;=10000000,"Moderate Spender",TRUE,"Low Spender")</f>
        <v>Moderate Spender</v>
      </c>
      <c r="AF65" s="4" t="str" cm="1">
        <f t="array" ref="AF65">_xlfn.IFS(Table13[[#This Row],[Land_Size_SQM]]&gt;=730,"LARGE",Table13[[#This Row],[Land_Size_SQM]]&gt;=465,"MEDIUM",TRUE,"SMALL")</f>
        <v>MEDIUM</v>
      </c>
    </row>
    <row r="66" spans="1:32" x14ac:dyDescent="0.3">
      <c r="A66" t="s">
        <v>442</v>
      </c>
      <c r="B66" t="s">
        <v>624</v>
      </c>
      <c r="C66" t="s">
        <v>627</v>
      </c>
      <c r="D66">
        <v>39</v>
      </c>
      <c r="E66" t="s">
        <v>630</v>
      </c>
      <c r="F66">
        <v>617</v>
      </c>
      <c r="G66" s="4">
        <v>46473</v>
      </c>
      <c r="H66" s="4">
        <v>28673841</v>
      </c>
      <c r="I66" t="s">
        <v>641</v>
      </c>
      <c r="J66" t="s">
        <v>673</v>
      </c>
      <c r="K66" t="s">
        <v>677</v>
      </c>
      <c r="L66" t="s">
        <v>680</v>
      </c>
      <c r="M66" t="s">
        <v>687</v>
      </c>
      <c r="N66" t="s">
        <v>688</v>
      </c>
      <c r="O66" t="s">
        <v>693</v>
      </c>
      <c r="P66" s="4">
        <v>28673841</v>
      </c>
      <c r="Q66">
        <v>0</v>
      </c>
      <c r="R66" s="7">
        <v>0.59</v>
      </c>
      <c r="S66" s="8">
        <f>Table13[[#This Row],[Discount_%]]/100</f>
        <v>5.8999999999999999E-3</v>
      </c>
      <c r="T66" s="6" t="s">
        <v>755</v>
      </c>
      <c r="U66" t="s">
        <v>982</v>
      </c>
      <c r="V66">
        <v>2024</v>
      </c>
      <c r="W66" t="s">
        <v>995</v>
      </c>
      <c r="X66" t="s">
        <v>998</v>
      </c>
      <c r="Y66" t="s">
        <v>1002</v>
      </c>
      <c r="Z66">
        <v>4</v>
      </c>
      <c r="AA66">
        <v>8</v>
      </c>
      <c r="AB66" s="4">
        <f>Table13[[#This Row],[Total_Price]]*(1-Table13[[#This Row],[Discount 2]])</f>
        <v>28504665.338100001</v>
      </c>
      <c r="AC66" s="4" t="str" cm="1">
        <f t="array" ref="AC66">_xlfn.IFS(Table13[[#This Row],[Revenue]]&gt;=30000000,"High Value",Table13[[#This Row],[Revenue]]&gt;=10000000,"Moderate Value",TRUE,"Low Value")</f>
        <v>Moderate Value</v>
      </c>
      <c r="AD66" t="str">
        <f>IF(Table13[[#This Row],[Discount 2]]&gt;=5%, "YES", "NO")</f>
        <v>NO</v>
      </c>
      <c r="AE66" t="str" cm="1">
        <f t="array" ref="AE66">_xlfn.IFS(Table13[[#This Row],[Revenue]]&gt;=30000000,"High Spender",Table13[[#This Row],[Revenue]]&gt;=10000000,"Moderate Spender",TRUE,"Low Spender")</f>
        <v>Moderate Spender</v>
      </c>
      <c r="AF66" s="4" t="str" cm="1">
        <f t="array" ref="AF66">_xlfn.IFS(Table13[[#This Row],[Land_Size_SQM]]&gt;=730,"LARGE",Table13[[#This Row],[Land_Size_SQM]]&gt;=465,"MEDIUM",TRUE,"SMALL")</f>
        <v>MEDIUM</v>
      </c>
    </row>
    <row r="67" spans="1:32" x14ac:dyDescent="0.3">
      <c r="A67" t="s">
        <v>87</v>
      </c>
      <c r="B67" t="s">
        <v>569</v>
      </c>
      <c r="C67" t="s">
        <v>626</v>
      </c>
      <c r="D67">
        <v>58</v>
      </c>
      <c r="E67" t="s">
        <v>628</v>
      </c>
      <c r="F67">
        <v>636</v>
      </c>
      <c r="G67" s="4">
        <v>46964</v>
      </c>
      <c r="H67" s="4">
        <v>29869104</v>
      </c>
      <c r="I67" t="s">
        <v>658</v>
      </c>
      <c r="J67" t="s">
        <v>670</v>
      </c>
      <c r="K67" t="s">
        <v>640</v>
      </c>
      <c r="L67" t="s">
        <v>680</v>
      </c>
      <c r="M67" t="s">
        <v>683</v>
      </c>
      <c r="N67" t="s">
        <v>690</v>
      </c>
      <c r="O67" t="s">
        <v>693</v>
      </c>
      <c r="P67" s="4">
        <v>29869104</v>
      </c>
      <c r="Q67">
        <v>0</v>
      </c>
      <c r="R67" s="7">
        <v>4.9000000000000004</v>
      </c>
      <c r="S67" s="8">
        <f>Table13[[#This Row],[Discount_%]]/100</f>
        <v>4.9000000000000002E-2</v>
      </c>
      <c r="T67" s="6" t="s">
        <v>750</v>
      </c>
      <c r="U67" t="s">
        <v>989</v>
      </c>
      <c r="V67">
        <v>2024</v>
      </c>
      <c r="W67" t="s">
        <v>994</v>
      </c>
      <c r="X67" t="s">
        <v>998</v>
      </c>
      <c r="Y67" t="s">
        <v>1001</v>
      </c>
      <c r="Z67">
        <v>5</v>
      </c>
      <c r="AA67">
        <v>19</v>
      </c>
      <c r="AB67" s="4">
        <f>Table13[[#This Row],[Total_Price]]*(1-Table13[[#This Row],[Discount 2]])</f>
        <v>28405517.903999999</v>
      </c>
      <c r="AC67" s="4" t="str" cm="1">
        <f t="array" ref="AC67">_xlfn.IFS(Table13[[#This Row],[Revenue]]&gt;=30000000,"High Value",Table13[[#This Row],[Revenue]]&gt;=10000000,"Moderate Value",TRUE,"Low Value")</f>
        <v>Moderate Value</v>
      </c>
      <c r="AD67" t="str">
        <f>IF(Table13[[#This Row],[Discount 2]]&gt;=5%, "YES", "NO")</f>
        <v>NO</v>
      </c>
      <c r="AE67" t="str" cm="1">
        <f t="array" ref="AE67">_xlfn.IFS(Table13[[#This Row],[Revenue]]&gt;=30000000,"High Spender",Table13[[#This Row],[Revenue]]&gt;=10000000,"Moderate Spender",TRUE,"Low Spender")</f>
        <v>Moderate Spender</v>
      </c>
      <c r="AF67" s="4" t="str" cm="1">
        <f t="array" ref="AF67">_xlfn.IFS(Table13[[#This Row],[Land_Size_SQM]]&gt;=730,"LARGE",Table13[[#This Row],[Land_Size_SQM]]&gt;=465,"MEDIUM",TRUE,"SMALL")</f>
        <v>MEDIUM</v>
      </c>
    </row>
    <row r="68" spans="1:32" x14ac:dyDescent="0.3">
      <c r="A68" t="s">
        <v>259</v>
      </c>
      <c r="B68" t="s">
        <v>535</v>
      </c>
      <c r="C68" t="s">
        <v>627</v>
      </c>
      <c r="D68">
        <v>53</v>
      </c>
      <c r="E68" t="s">
        <v>628</v>
      </c>
      <c r="F68">
        <v>812</v>
      </c>
      <c r="G68" s="4">
        <v>37633</v>
      </c>
      <c r="H68" s="4">
        <v>30557996</v>
      </c>
      <c r="I68" t="s">
        <v>649</v>
      </c>
      <c r="J68" t="s">
        <v>669</v>
      </c>
      <c r="K68" t="s">
        <v>677</v>
      </c>
      <c r="L68" t="s">
        <v>681</v>
      </c>
      <c r="M68" t="s">
        <v>683</v>
      </c>
      <c r="N68" t="s">
        <v>690</v>
      </c>
      <c r="O68" t="s">
        <v>694</v>
      </c>
      <c r="P68" s="4">
        <v>7844430</v>
      </c>
      <c r="Q68">
        <v>12</v>
      </c>
      <c r="R68" s="7">
        <v>7.09</v>
      </c>
      <c r="S68" s="8">
        <f>Table13[[#This Row],[Discount_%]]/100</f>
        <v>7.0900000000000005E-2</v>
      </c>
      <c r="T68" s="6" t="s">
        <v>869</v>
      </c>
      <c r="U68" t="s">
        <v>988</v>
      </c>
      <c r="V68">
        <v>2024</v>
      </c>
      <c r="W68" t="s">
        <v>995</v>
      </c>
      <c r="X68" t="s">
        <v>998</v>
      </c>
      <c r="Y68" t="s">
        <v>1000</v>
      </c>
      <c r="Z68">
        <v>2</v>
      </c>
      <c r="AA68">
        <v>28</v>
      </c>
      <c r="AB68" s="4">
        <f>Table13[[#This Row],[Total_Price]]*(1-Table13[[#This Row],[Discount 2]])</f>
        <v>28391434.0836</v>
      </c>
      <c r="AC68" s="4" t="str" cm="1">
        <f t="array" ref="AC68">_xlfn.IFS(Table13[[#This Row],[Revenue]]&gt;=30000000,"High Value",Table13[[#This Row],[Revenue]]&gt;=10000000,"Moderate Value",TRUE,"Low Value")</f>
        <v>Moderate Value</v>
      </c>
      <c r="AD68" t="str">
        <f>IF(Table13[[#This Row],[Discount 2]]&gt;=5%, "YES", "NO")</f>
        <v>YES</v>
      </c>
      <c r="AE68" t="str" cm="1">
        <f t="array" ref="AE68">_xlfn.IFS(Table13[[#This Row],[Revenue]]&gt;=30000000,"High Spender",Table13[[#This Row],[Revenue]]&gt;=10000000,"Moderate Spender",TRUE,"Low Spender")</f>
        <v>Moderate Spender</v>
      </c>
      <c r="AF68" s="4" t="str" cm="1">
        <f t="array" ref="AF68">_xlfn.IFS(Table13[[#This Row],[Land_Size_SQM]]&gt;=730,"LARGE",Table13[[#This Row],[Land_Size_SQM]]&gt;=465,"MEDIUM",TRUE,"SMALL")</f>
        <v>LARGE</v>
      </c>
    </row>
    <row r="69" spans="1:32" x14ac:dyDescent="0.3">
      <c r="A69" t="s">
        <v>131</v>
      </c>
      <c r="B69" t="s">
        <v>585</v>
      </c>
      <c r="C69" t="s">
        <v>627</v>
      </c>
      <c r="D69">
        <v>25</v>
      </c>
      <c r="E69" t="s">
        <v>629</v>
      </c>
      <c r="F69">
        <v>688</v>
      </c>
      <c r="G69" s="4">
        <v>44633</v>
      </c>
      <c r="H69" s="4">
        <v>30707504</v>
      </c>
      <c r="I69" t="s">
        <v>632</v>
      </c>
      <c r="J69" t="s">
        <v>669</v>
      </c>
      <c r="K69" t="s">
        <v>678</v>
      </c>
      <c r="L69" t="s">
        <v>682</v>
      </c>
      <c r="M69" t="s">
        <v>683</v>
      </c>
      <c r="N69" t="s">
        <v>692</v>
      </c>
      <c r="O69" t="s">
        <v>693</v>
      </c>
      <c r="P69" s="4">
        <v>30707504</v>
      </c>
      <c r="Q69">
        <v>0</v>
      </c>
      <c r="R69" s="7">
        <v>7.56</v>
      </c>
      <c r="S69" s="8">
        <f>Table13[[#This Row],[Discount_%]]/100</f>
        <v>7.5600000000000001E-2</v>
      </c>
      <c r="T69" s="6" t="s">
        <v>783</v>
      </c>
      <c r="U69" t="s">
        <v>992</v>
      </c>
      <c r="V69">
        <v>2024</v>
      </c>
      <c r="W69" t="s">
        <v>993</v>
      </c>
      <c r="X69" t="s">
        <v>999</v>
      </c>
      <c r="Y69" t="s">
        <v>1002</v>
      </c>
      <c r="Z69">
        <v>2</v>
      </c>
      <c r="AA69">
        <v>3</v>
      </c>
      <c r="AB69" s="4">
        <f>Table13[[#This Row],[Total_Price]]*(1-Table13[[#This Row],[Discount 2]])</f>
        <v>28386016.6976</v>
      </c>
      <c r="AC69" s="4" t="str" cm="1">
        <f t="array" ref="AC69">_xlfn.IFS(Table13[[#This Row],[Revenue]]&gt;=30000000,"High Value",Table13[[#This Row],[Revenue]]&gt;=10000000,"Moderate Value",TRUE,"Low Value")</f>
        <v>Moderate Value</v>
      </c>
      <c r="AD69" t="str">
        <f>IF(Table13[[#This Row],[Discount 2]]&gt;=5%, "YES", "NO")</f>
        <v>YES</v>
      </c>
      <c r="AE69" t="str" cm="1">
        <f t="array" ref="AE69">_xlfn.IFS(Table13[[#This Row],[Revenue]]&gt;=30000000,"High Spender",Table13[[#This Row],[Revenue]]&gt;=10000000,"Moderate Spender",TRUE,"Low Spender")</f>
        <v>Moderate Spender</v>
      </c>
      <c r="AF69" s="4" t="str" cm="1">
        <f t="array" ref="AF69">_xlfn.IFS(Table13[[#This Row],[Land_Size_SQM]]&gt;=730,"LARGE",Table13[[#This Row],[Land_Size_SQM]]&gt;=465,"MEDIUM",TRUE,"SMALL")</f>
        <v>MEDIUM</v>
      </c>
    </row>
    <row r="70" spans="1:32" x14ac:dyDescent="0.3">
      <c r="A70" t="s">
        <v>41</v>
      </c>
      <c r="B70" t="s">
        <v>539</v>
      </c>
      <c r="C70" t="s">
        <v>627</v>
      </c>
      <c r="D70">
        <v>42</v>
      </c>
      <c r="E70" t="s">
        <v>628</v>
      </c>
      <c r="F70">
        <v>669</v>
      </c>
      <c r="G70" s="4">
        <v>42708</v>
      </c>
      <c r="H70" s="4">
        <v>28571652</v>
      </c>
      <c r="I70" t="s">
        <v>643</v>
      </c>
      <c r="J70" t="s">
        <v>671</v>
      </c>
      <c r="K70" t="s">
        <v>664</v>
      </c>
      <c r="L70" t="s">
        <v>680</v>
      </c>
      <c r="M70" t="s">
        <v>687</v>
      </c>
      <c r="N70" t="s">
        <v>690</v>
      </c>
      <c r="O70" t="s">
        <v>693</v>
      </c>
      <c r="P70" s="4">
        <v>28571652</v>
      </c>
      <c r="Q70">
        <v>0</v>
      </c>
      <c r="R70" s="7">
        <v>0.73</v>
      </c>
      <c r="S70" s="8">
        <f>Table13[[#This Row],[Discount_%]]/100</f>
        <v>7.3000000000000001E-3</v>
      </c>
      <c r="T70" s="6" t="s">
        <v>710</v>
      </c>
      <c r="U70" t="s">
        <v>990</v>
      </c>
      <c r="V70">
        <v>2024</v>
      </c>
      <c r="W70" t="s">
        <v>996</v>
      </c>
      <c r="X70" t="s">
        <v>998</v>
      </c>
      <c r="Y70" t="s">
        <v>1001</v>
      </c>
      <c r="Z70">
        <v>3</v>
      </c>
      <c r="AA70">
        <v>40</v>
      </c>
      <c r="AB70" s="4">
        <f>Table13[[#This Row],[Total_Price]]*(1-Table13[[#This Row],[Discount 2]])</f>
        <v>28363078.940400001</v>
      </c>
      <c r="AC70" s="4" t="str" cm="1">
        <f t="array" ref="AC70">_xlfn.IFS(Table13[[#This Row],[Revenue]]&gt;=30000000,"High Value",Table13[[#This Row],[Revenue]]&gt;=10000000,"Moderate Value",TRUE,"Low Value")</f>
        <v>Moderate Value</v>
      </c>
      <c r="AD70" t="str">
        <f>IF(Table13[[#This Row],[Discount 2]]&gt;=5%, "YES", "NO")</f>
        <v>NO</v>
      </c>
      <c r="AE70" t="str" cm="1">
        <f t="array" ref="AE70">_xlfn.IFS(Table13[[#This Row],[Revenue]]&gt;=30000000,"High Spender",Table13[[#This Row],[Revenue]]&gt;=10000000,"Moderate Spender",TRUE,"Low Spender")</f>
        <v>Moderate Spender</v>
      </c>
      <c r="AF70" s="4" t="str" cm="1">
        <f t="array" ref="AF70">_xlfn.IFS(Table13[[#This Row],[Land_Size_SQM]]&gt;=730,"LARGE",Table13[[#This Row],[Land_Size_SQM]]&gt;=465,"MEDIUM",TRUE,"SMALL")</f>
        <v>MEDIUM</v>
      </c>
    </row>
    <row r="71" spans="1:32" x14ac:dyDescent="0.3">
      <c r="A71" t="s">
        <v>36</v>
      </c>
      <c r="B71" t="s">
        <v>536</v>
      </c>
      <c r="C71" t="s">
        <v>627</v>
      </c>
      <c r="D71">
        <v>50</v>
      </c>
      <c r="E71" t="s">
        <v>630</v>
      </c>
      <c r="F71">
        <v>885</v>
      </c>
      <c r="G71" s="4">
        <v>33812</v>
      </c>
      <c r="H71" s="4">
        <v>29923620</v>
      </c>
      <c r="I71" t="s">
        <v>640</v>
      </c>
      <c r="J71" t="s">
        <v>672</v>
      </c>
      <c r="K71" t="s">
        <v>677</v>
      </c>
      <c r="L71" t="s">
        <v>680</v>
      </c>
      <c r="M71" t="s">
        <v>685</v>
      </c>
      <c r="N71" t="s">
        <v>689</v>
      </c>
      <c r="O71" t="s">
        <v>693</v>
      </c>
      <c r="P71" s="4">
        <v>29923620</v>
      </c>
      <c r="Q71">
        <v>0</v>
      </c>
      <c r="R71" s="7">
        <v>5.39</v>
      </c>
      <c r="S71" s="8">
        <f>Table13[[#This Row],[Discount_%]]/100</f>
        <v>5.3899999999999997E-2</v>
      </c>
      <c r="T71" s="6" t="s">
        <v>705</v>
      </c>
      <c r="U71" t="s">
        <v>985</v>
      </c>
      <c r="V71">
        <v>2024</v>
      </c>
      <c r="W71" t="s">
        <v>995</v>
      </c>
      <c r="X71" t="s">
        <v>998</v>
      </c>
      <c r="Y71" t="s">
        <v>1002</v>
      </c>
      <c r="Z71">
        <v>4</v>
      </c>
      <c r="AA71">
        <v>30</v>
      </c>
      <c r="AB71" s="4">
        <f>Table13[[#This Row],[Total_Price]]*(1-Table13[[#This Row],[Discount 2]])</f>
        <v>28310736.882000003</v>
      </c>
      <c r="AC71" s="4" t="str" cm="1">
        <f t="array" ref="AC71">_xlfn.IFS(Table13[[#This Row],[Revenue]]&gt;=30000000,"High Value",Table13[[#This Row],[Revenue]]&gt;=10000000,"Moderate Value",TRUE,"Low Value")</f>
        <v>Moderate Value</v>
      </c>
      <c r="AD71" t="str">
        <f>IF(Table13[[#This Row],[Discount 2]]&gt;=5%, "YES", "NO")</f>
        <v>YES</v>
      </c>
      <c r="AE71" t="str" cm="1">
        <f t="array" ref="AE71">_xlfn.IFS(Table13[[#This Row],[Revenue]]&gt;=30000000,"High Spender",Table13[[#This Row],[Revenue]]&gt;=10000000,"Moderate Spender",TRUE,"Low Spender")</f>
        <v>Moderate Spender</v>
      </c>
      <c r="AF71" s="4" t="str" cm="1">
        <f t="array" ref="AF71">_xlfn.IFS(Table13[[#This Row],[Land_Size_SQM]]&gt;=730,"LARGE",Table13[[#This Row],[Land_Size_SQM]]&gt;=465,"MEDIUM",TRUE,"SMALL")</f>
        <v>LARGE</v>
      </c>
    </row>
    <row r="72" spans="1:32" x14ac:dyDescent="0.3">
      <c r="A72" t="s">
        <v>119</v>
      </c>
      <c r="B72" t="s">
        <v>557</v>
      </c>
      <c r="C72" t="s">
        <v>626</v>
      </c>
      <c r="D72">
        <v>24</v>
      </c>
      <c r="E72" t="s">
        <v>629</v>
      </c>
      <c r="F72">
        <v>709</v>
      </c>
      <c r="G72" s="4">
        <v>43101</v>
      </c>
      <c r="H72" s="4">
        <v>30558609</v>
      </c>
      <c r="I72" t="s">
        <v>655</v>
      </c>
      <c r="J72" t="s">
        <v>672</v>
      </c>
      <c r="K72" t="s">
        <v>664</v>
      </c>
      <c r="L72" t="s">
        <v>680</v>
      </c>
      <c r="M72" t="s">
        <v>683</v>
      </c>
      <c r="N72" t="s">
        <v>691</v>
      </c>
      <c r="O72" t="s">
        <v>694</v>
      </c>
      <c r="P72" s="4">
        <v>10539158</v>
      </c>
      <c r="Q72">
        <v>12</v>
      </c>
      <c r="R72" s="7">
        <v>8.0500000000000007</v>
      </c>
      <c r="S72" s="8">
        <f>Table13[[#This Row],[Discount_%]]/100</f>
        <v>8.0500000000000002E-2</v>
      </c>
      <c r="T72" s="6" t="s">
        <v>762</v>
      </c>
      <c r="U72" t="s">
        <v>984</v>
      </c>
      <c r="V72">
        <v>2024</v>
      </c>
      <c r="W72" t="s">
        <v>995</v>
      </c>
      <c r="X72" t="s">
        <v>998</v>
      </c>
      <c r="Y72" t="s">
        <v>1002</v>
      </c>
      <c r="Z72">
        <v>2</v>
      </c>
      <c r="AA72">
        <v>22</v>
      </c>
      <c r="AB72" s="4">
        <f>Table13[[#This Row],[Total_Price]]*(1-Table13[[#This Row],[Discount 2]])</f>
        <v>28098640.975499999</v>
      </c>
      <c r="AC72" s="4" t="str" cm="1">
        <f t="array" ref="AC72">_xlfn.IFS(Table13[[#This Row],[Revenue]]&gt;=30000000,"High Value",Table13[[#This Row],[Revenue]]&gt;=10000000,"Moderate Value",TRUE,"Low Value")</f>
        <v>Moderate Value</v>
      </c>
      <c r="AD72" t="str">
        <f>IF(Table13[[#This Row],[Discount 2]]&gt;=5%, "YES", "NO")</f>
        <v>YES</v>
      </c>
      <c r="AE72" t="str" cm="1">
        <f t="array" ref="AE72">_xlfn.IFS(Table13[[#This Row],[Revenue]]&gt;=30000000,"High Spender",Table13[[#This Row],[Revenue]]&gt;=10000000,"Moderate Spender",TRUE,"Low Spender")</f>
        <v>Moderate Spender</v>
      </c>
      <c r="AF72" s="4" t="str" cm="1">
        <f t="array" ref="AF72">_xlfn.IFS(Table13[[#This Row],[Land_Size_SQM]]&gt;=730,"LARGE",Table13[[#This Row],[Land_Size_SQM]]&gt;=465,"MEDIUM",TRUE,"SMALL")</f>
        <v>MEDIUM</v>
      </c>
    </row>
    <row r="73" spans="1:32" x14ac:dyDescent="0.3">
      <c r="A73" t="s">
        <v>390</v>
      </c>
      <c r="B73" t="s">
        <v>582</v>
      </c>
      <c r="C73" t="s">
        <v>627</v>
      </c>
      <c r="D73">
        <v>28</v>
      </c>
      <c r="E73" t="s">
        <v>630</v>
      </c>
      <c r="F73">
        <v>706</v>
      </c>
      <c r="G73" s="4">
        <v>40734</v>
      </c>
      <c r="H73" s="4">
        <v>28758204</v>
      </c>
      <c r="I73" t="s">
        <v>661</v>
      </c>
      <c r="J73" t="s">
        <v>673</v>
      </c>
      <c r="K73" t="s">
        <v>677</v>
      </c>
      <c r="L73" t="s">
        <v>681</v>
      </c>
      <c r="M73" t="s">
        <v>686</v>
      </c>
      <c r="N73" t="s">
        <v>689</v>
      </c>
      <c r="O73" t="s">
        <v>694</v>
      </c>
      <c r="P73" s="4">
        <v>12364338</v>
      </c>
      <c r="Q73">
        <v>12</v>
      </c>
      <c r="R73" s="7">
        <v>2.84</v>
      </c>
      <c r="S73" s="8">
        <f>Table13[[#This Row],[Discount_%]]/100</f>
        <v>2.8399999999999998E-2</v>
      </c>
      <c r="T73" s="6" t="s">
        <v>944</v>
      </c>
      <c r="U73" t="s">
        <v>981</v>
      </c>
      <c r="V73">
        <v>2024</v>
      </c>
      <c r="W73" t="s">
        <v>994</v>
      </c>
      <c r="X73" t="s">
        <v>998</v>
      </c>
      <c r="Y73" t="s">
        <v>1000</v>
      </c>
      <c r="Z73">
        <v>4</v>
      </c>
      <c r="AA73">
        <v>23</v>
      </c>
      <c r="AB73" s="4">
        <f>Table13[[#This Row],[Total_Price]]*(1-Table13[[#This Row],[Discount 2]])</f>
        <v>27941471.0064</v>
      </c>
      <c r="AC73" s="4" t="str" cm="1">
        <f t="array" ref="AC73">_xlfn.IFS(Table13[[#This Row],[Revenue]]&gt;=30000000,"High Value",Table13[[#This Row],[Revenue]]&gt;=10000000,"Moderate Value",TRUE,"Low Value")</f>
        <v>Moderate Value</v>
      </c>
      <c r="AD73" t="str">
        <f>IF(Table13[[#This Row],[Discount 2]]&gt;=5%, "YES", "NO")</f>
        <v>NO</v>
      </c>
      <c r="AE73" t="str" cm="1">
        <f t="array" ref="AE73">_xlfn.IFS(Table13[[#This Row],[Revenue]]&gt;=30000000,"High Spender",Table13[[#This Row],[Revenue]]&gt;=10000000,"Moderate Spender",TRUE,"Low Spender")</f>
        <v>Moderate Spender</v>
      </c>
      <c r="AF73" s="4" t="str" cm="1">
        <f t="array" ref="AF73">_xlfn.IFS(Table13[[#This Row],[Land_Size_SQM]]&gt;=730,"LARGE",Table13[[#This Row],[Land_Size_SQM]]&gt;=465,"MEDIUM",TRUE,"SMALL")</f>
        <v>MEDIUM</v>
      </c>
    </row>
    <row r="74" spans="1:32" x14ac:dyDescent="0.3">
      <c r="A74" t="s">
        <v>320</v>
      </c>
      <c r="B74" t="s">
        <v>553</v>
      </c>
      <c r="C74" t="s">
        <v>627</v>
      </c>
      <c r="D74">
        <v>29</v>
      </c>
      <c r="E74" t="s">
        <v>630</v>
      </c>
      <c r="F74">
        <v>768</v>
      </c>
      <c r="G74" s="4">
        <v>37119</v>
      </c>
      <c r="H74" s="4">
        <v>28507392</v>
      </c>
      <c r="I74" t="s">
        <v>667</v>
      </c>
      <c r="J74" t="s">
        <v>671</v>
      </c>
      <c r="K74" t="s">
        <v>651</v>
      </c>
      <c r="L74" t="s">
        <v>680</v>
      </c>
      <c r="M74" t="s">
        <v>687</v>
      </c>
      <c r="N74" t="s">
        <v>691</v>
      </c>
      <c r="O74" t="s">
        <v>693</v>
      </c>
      <c r="P74" s="4">
        <v>28507392</v>
      </c>
      <c r="Q74">
        <v>0</v>
      </c>
      <c r="R74" s="7">
        <v>2.08</v>
      </c>
      <c r="S74" s="8">
        <f>Table13[[#This Row],[Discount_%]]/100</f>
        <v>2.0799999999999999E-2</v>
      </c>
      <c r="T74" s="6" t="s">
        <v>762</v>
      </c>
      <c r="U74" t="s">
        <v>984</v>
      </c>
      <c r="V74">
        <v>2024</v>
      </c>
      <c r="W74" t="s">
        <v>996</v>
      </c>
      <c r="X74" t="s">
        <v>997</v>
      </c>
      <c r="Y74" t="s">
        <v>1001</v>
      </c>
      <c r="Z74">
        <v>4</v>
      </c>
      <c r="AA74">
        <v>12</v>
      </c>
      <c r="AB74" s="4">
        <f>Table13[[#This Row],[Total_Price]]*(1-Table13[[#This Row],[Discount 2]])</f>
        <v>27914438.246399999</v>
      </c>
      <c r="AC74" s="4" t="str" cm="1">
        <f t="array" ref="AC74">_xlfn.IFS(Table13[[#This Row],[Revenue]]&gt;=30000000,"High Value",Table13[[#This Row],[Revenue]]&gt;=10000000,"Moderate Value",TRUE,"Low Value")</f>
        <v>Moderate Value</v>
      </c>
      <c r="AD74" t="str">
        <f>IF(Table13[[#This Row],[Discount 2]]&gt;=5%, "YES", "NO")</f>
        <v>NO</v>
      </c>
      <c r="AE74" t="str" cm="1">
        <f t="array" ref="AE74">_xlfn.IFS(Table13[[#This Row],[Revenue]]&gt;=30000000,"High Spender",Table13[[#This Row],[Revenue]]&gt;=10000000,"Moderate Spender",TRUE,"Low Spender")</f>
        <v>Moderate Spender</v>
      </c>
      <c r="AF74" s="4" t="str" cm="1">
        <f t="array" ref="AF74">_xlfn.IFS(Table13[[#This Row],[Land_Size_SQM]]&gt;=730,"LARGE",Table13[[#This Row],[Land_Size_SQM]]&gt;=465,"MEDIUM",TRUE,"SMALL")</f>
        <v>LARGE</v>
      </c>
    </row>
    <row r="75" spans="1:32" x14ac:dyDescent="0.3">
      <c r="A75" t="s">
        <v>492</v>
      </c>
      <c r="B75" t="s">
        <v>564</v>
      </c>
      <c r="C75" t="s">
        <v>626</v>
      </c>
      <c r="D75">
        <v>36</v>
      </c>
      <c r="E75" t="s">
        <v>629</v>
      </c>
      <c r="F75">
        <v>607</v>
      </c>
      <c r="G75" s="4">
        <v>48272</v>
      </c>
      <c r="H75" s="4">
        <v>29301104</v>
      </c>
      <c r="I75" t="s">
        <v>664</v>
      </c>
      <c r="J75" t="s">
        <v>673</v>
      </c>
      <c r="K75" t="s">
        <v>640</v>
      </c>
      <c r="L75" t="s">
        <v>681</v>
      </c>
      <c r="M75" t="s">
        <v>686</v>
      </c>
      <c r="N75" t="s">
        <v>692</v>
      </c>
      <c r="O75" t="s">
        <v>693</v>
      </c>
      <c r="P75" s="4">
        <v>29301104</v>
      </c>
      <c r="Q75">
        <v>0</v>
      </c>
      <c r="R75" s="7">
        <v>5.19</v>
      </c>
      <c r="S75" s="8">
        <f>Table13[[#This Row],[Discount_%]]/100</f>
        <v>5.1900000000000002E-2</v>
      </c>
      <c r="T75" s="6" t="s">
        <v>967</v>
      </c>
      <c r="U75" t="s">
        <v>990</v>
      </c>
      <c r="V75">
        <v>2024</v>
      </c>
      <c r="W75" t="s">
        <v>995</v>
      </c>
      <c r="X75" t="s">
        <v>997</v>
      </c>
      <c r="Y75" t="s">
        <v>1002</v>
      </c>
      <c r="Z75">
        <v>4</v>
      </c>
      <c r="AA75">
        <v>49</v>
      </c>
      <c r="AB75" s="4">
        <f>Table13[[#This Row],[Total_Price]]*(1-Table13[[#This Row],[Discount 2]])</f>
        <v>27780376.702399999</v>
      </c>
      <c r="AC75" s="4" t="str" cm="1">
        <f t="array" ref="AC75">_xlfn.IFS(Table13[[#This Row],[Revenue]]&gt;=30000000,"High Value",Table13[[#This Row],[Revenue]]&gt;=10000000,"Moderate Value",TRUE,"Low Value")</f>
        <v>Moderate Value</v>
      </c>
      <c r="AD75" t="str">
        <f>IF(Table13[[#This Row],[Discount 2]]&gt;=5%, "YES", "NO")</f>
        <v>YES</v>
      </c>
      <c r="AE75" t="str" cm="1">
        <f t="array" ref="AE75">_xlfn.IFS(Table13[[#This Row],[Revenue]]&gt;=30000000,"High Spender",Table13[[#This Row],[Revenue]]&gt;=10000000,"Moderate Spender",TRUE,"Low Spender")</f>
        <v>Moderate Spender</v>
      </c>
      <c r="AF75" s="4" t="str" cm="1">
        <f t="array" ref="AF75">_xlfn.IFS(Table13[[#This Row],[Land_Size_SQM]]&gt;=730,"LARGE",Table13[[#This Row],[Land_Size_SQM]]&gt;=465,"MEDIUM",TRUE,"SMALL")</f>
        <v>MEDIUM</v>
      </c>
    </row>
    <row r="76" spans="1:32" x14ac:dyDescent="0.3">
      <c r="A76" t="s">
        <v>45</v>
      </c>
      <c r="B76" t="s">
        <v>541</v>
      </c>
      <c r="C76" t="s">
        <v>627</v>
      </c>
      <c r="D76">
        <v>50</v>
      </c>
      <c r="E76" t="s">
        <v>628</v>
      </c>
      <c r="F76">
        <v>621</v>
      </c>
      <c r="G76" s="4">
        <v>45903</v>
      </c>
      <c r="H76" s="4">
        <v>28505763</v>
      </c>
      <c r="I76" t="s">
        <v>641</v>
      </c>
      <c r="J76" t="s">
        <v>673</v>
      </c>
      <c r="K76" t="s">
        <v>651</v>
      </c>
      <c r="L76" t="s">
        <v>680</v>
      </c>
      <c r="M76" t="s">
        <v>684</v>
      </c>
      <c r="N76" t="s">
        <v>690</v>
      </c>
      <c r="O76" t="s">
        <v>693</v>
      </c>
      <c r="P76" s="4">
        <v>28505763</v>
      </c>
      <c r="Q76">
        <v>0</v>
      </c>
      <c r="R76" s="7">
        <v>2.67</v>
      </c>
      <c r="S76" s="8">
        <f>Table13[[#This Row],[Discount_%]]/100</f>
        <v>2.6699999999999998E-2</v>
      </c>
      <c r="T76" s="6" t="s">
        <v>714</v>
      </c>
      <c r="U76" t="s">
        <v>984</v>
      </c>
      <c r="V76">
        <v>2024</v>
      </c>
      <c r="W76" t="s">
        <v>994</v>
      </c>
      <c r="X76" t="s">
        <v>999</v>
      </c>
      <c r="Y76" t="s">
        <v>1000</v>
      </c>
      <c r="Z76">
        <v>1</v>
      </c>
      <c r="AA76">
        <v>43</v>
      </c>
      <c r="AB76" s="4">
        <f>Table13[[#This Row],[Total_Price]]*(1-Table13[[#This Row],[Discount 2]])</f>
        <v>27744659.127900001</v>
      </c>
      <c r="AC76" s="4" t="str" cm="1">
        <f t="array" ref="AC76">_xlfn.IFS(Table13[[#This Row],[Revenue]]&gt;=30000000,"High Value",Table13[[#This Row],[Revenue]]&gt;=10000000,"Moderate Value",TRUE,"Low Value")</f>
        <v>Moderate Value</v>
      </c>
      <c r="AD76" t="str">
        <f>IF(Table13[[#This Row],[Discount 2]]&gt;=5%, "YES", "NO")</f>
        <v>NO</v>
      </c>
      <c r="AE76" t="str" cm="1">
        <f t="array" ref="AE76">_xlfn.IFS(Table13[[#This Row],[Revenue]]&gt;=30000000,"High Spender",Table13[[#This Row],[Revenue]]&gt;=10000000,"Moderate Spender",TRUE,"Low Spender")</f>
        <v>Moderate Spender</v>
      </c>
      <c r="AF76" s="4" t="str" cm="1">
        <f t="array" ref="AF76">_xlfn.IFS(Table13[[#This Row],[Land_Size_SQM]]&gt;=730,"LARGE",Table13[[#This Row],[Land_Size_SQM]]&gt;=465,"MEDIUM",TRUE,"SMALL")</f>
        <v>MEDIUM</v>
      </c>
    </row>
    <row r="77" spans="1:32" x14ac:dyDescent="0.3">
      <c r="A77" t="s">
        <v>428</v>
      </c>
      <c r="B77" t="s">
        <v>565</v>
      </c>
      <c r="C77" t="s">
        <v>626</v>
      </c>
      <c r="D77">
        <v>46</v>
      </c>
      <c r="E77" t="s">
        <v>628</v>
      </c>
      <c r="F77">
        <v>925</v>
      </c>
      <c r="G77" s="4">
        <v>30935</v>
      </c>
      <c r="H77" s="4">
        <v>28614875</v>
      </c>
      <c r="I77" t="s">
        <v>648</v>
      </c>
      <c r="J77" t="s">
        <v>671</v>
      </c>
      <c r="K77" t="s">
        <v>677</v>
      </c>
      <c r="L77" t="s">
        <v>680</v>
      </c>
      <c r="M77" t="s">
        <v>684</v>
      </c>
      <c r="N77" t="s">
        <v>690</v>
      </c>
      <c r="O77" t="s">
        <v>694</v>
      </c>
      <c r="P77" s="4">
        <v>7047521</v>
      </c>
      <c r="Q77">
        <v>3</v>
      </c>
      <c r="R77" s="7">
        <v>3.64</v>
      </c>
      <c r="S77" s="8">
        <f>Table13[[#This Row],[Discount_%]]/100</f>
        <v>3.6400000000000002E-2</v>
      </c>
      <c r="T77" s="6" t="s">
        <v>956</v>
      </c>
      <c r="U77" t="s">
        <v>987</v>
      </c>
      <c r="V77">
        <v>2024</v>
      </c>
      <c r="W77" t="s">
        <v>994</v>
      </c>
      <c r="X77" t="s">
        <v>997</v>
      </c>
      <c r="Y77" t="s">
        <v>1000</v>
      </c>
      <c r="Z77">
        <v>1</v>
      </c>
      <c r="AA77">
        <v>18</v>
      </c>
      <c r="AB77" s="4">
        <f>Table13[[#This Row],[Total_Price]]*(1-Table13[[#This Row],[Discount 2]])</f>
        <v>27573293.550000001</v>
      </c>
      <c r="AC77" s="4" t="str" cm="1">
        <f t="array" ref="AC77">_xlfn.IFS(Table13[[#This Row],[Revenue]]&gt;=30000000,"High Value",Table13[[#This Row],[Revenue]]&gt;=10000000,"Moderate Value",TRUE,"Low Value")</f>
        <v>Moderate Value</v>
      </c>
      <c r="AD77" t="str">
        <f>IF(Table13[[#This Row],[Discount 2]]&gt;=5%, "YES", "NO")</f>
        <v>NO</v>
      </c>
      <c r="AE77" t="str" cm="1">
        <f t="array" ref="AE77">_xlfn.IFS(Table13[[#This Row],[Revenue]]&gt;=30000000,"High Spender",Table13[[#This Row],[Revenue]]&gt;=10000000,"Moderate Spender",TRUE,"Low Spender")</f>
        <v>Moderate Spender</v>
      </c>
      <c r="AF77" s="4" t="str" cm="1">
        <f t="array" ref="AF77">_xlfn.IFS(Table13[[#This Row],[Land_Size_SQM]]&gt;=730,"LARGE",Table13[[#This Row],[Land_Size_SQM]]&gt;=465,"MEDIUM",TRUE,"SMALL")</f>
        <v>LARGE</v>
      </c>
    </row>
    <row r="78" spans="1:32" x14ac:dyDescent="0.3">
      <c r="A78" t="s">
        <v>266</v>
      </c>
      <c r="B78" t="s">
        <v>541</v>
      </c>
      <c r="C78" t="s">
        <v>627</v>
      </c>
      <c r="D78">
        <v>63</v>
      </c>
      <c r="E78" t="s">
        <v>629</v>
      </c>
      <c r="F78">
        <v>897</v>
      </c>
      <c r="G78" s="4">
        <v>32193</v>
      </c>
      <c r="H78" s="4">
        <v>28877121</v>
      </c>
      <c r="I78" t="s">
        <v>651</v>
      </c>
      <c r="J78" t="s">
        <v>669</v>
      </c>
      <c r="K78" t="s">
        <v>678</v>
      </c>
      <c r="L78" t="s">
        <v>680</v>
      </c>
      <c r="M78" t="s">
        <v>687</v>
      </c>
      <c r="N78" t="s">
        <v>691</v>
      </c>
      <c r="O78" t="s">
        <v>693</v>
      </c>
      <c r="P78" s="4">
        <v>28877121</v>
      </c>
      <c r="Q78">
        <v>0</v>
      </c>
      <c r="R78" s="7">
        <v>4.82</v>
      </c>
      <c r="S78" s="8">
        <f>Table13[[#This Row],[Discount_%]]/100</f>
        <v>4.82E-2</v>
      </c>
      <c r="T78" s="6" t="s">
        <v>873</v>
      </c>
      <c r="U78" t="s">
        <v>992</v>
      </c>
      <c r="V78">
        <v>2024</v>
      </c>
      <c r="W78" t="s">
        <v>994</v>
      </c>
      <c r="X78" t="s">
        <v>997</v>
      </c>
      <c r="Y78" t="s">
        <v>1001</v>
      </c>
      <c r="Z78">
        <v>1</v>
      </c>
      <c r="AA78">
        <v>45</v>
      </c>
      <c r="AB78" s="4">
        <f>Table13[[#This Row],[Total_Price]]*(1-Table13[[#This Row],[Discount 2]])</f>
        <v>27485243.7678</v>
      </c>
      <c r="AC78" s="4" t="str" cm="1">
        <f t="array" ref="AC78">_xlfn.IFS(Table13[[#This Row],[Revenue]]&gt;=30000000,"High Value",Table13[[#This Row],[Revenue]]&gt;=10000000,"Moderate Value",TRUE,"Low Value")</f>
        <v>Moderate Value</v>
      </c>
      <c r="AD78" t="str">
        <f>IF(Table13[[#This Row],[Discount 2]]&gt;=5%, "YES", "NO")</f>
        <v>NO</v>
      </c>
      <c r="AE78" t="str" cm="1">
        <f t="array" ref="AE78">_xlfn.IFS(Table13[[#This Row],[Revenue]]&gt;=30000000,"High Spender",Table13[[#This Row],[Revenue]]&gt;=10000000,"Moderate Spender",TRUE,"Low Spender")</f>
        <v>Moderate Spender</v>
      </c>
      <c r="AF78" s="4" t="str" cm="1">
        <f t="array" ref="AF78">_xlfn.IFS(Table13[[#This Row],[Land_Size_SQM]]&gt;=730,"LARGE",Table13[[#This Row],[Land_Size_SQM]]&gt;=465,"MEDIUM",TRUE,"SMALL")</f>
        <v>LARGE</v>
      </c>
    </row>
    <row r="79" spans="1:32" x14ac:dyDescent="0.3">
      <c r="A79" t="s">
        <v>255</v>
      </c>
      <c r="B79" t="s">
        <v>606</v>
      </c>
      <c r="C79" t="s">
        <v>626</v>
      </c>
      <c r="D79">
        <v>31</v>
      </c>
      <c r="E79" t="s">
        <v>629</v>
      </c>
      <c r="F79">
        <v>844</v>
      </c>
      <c r="G79" s="4">
        <v>35596</v>
      </c>
      <c r="H79" s="4">
        <v>30043024</v>
      </c>
      <c r="I79" t="s">
        <v>640</v>
      </c>
      <c r="J79" t="s">
        <v>672</v>
      </c>
      <c r="K79" t="s">
        <v>638</v>
      </c>
      <c r="L79" t="s">
        <v>681</v>
      </c>
      <c r="M79" t="s">
        <v>686</v>
      </c>
      <c r="N79" t="s">
        <v>692</v>
      </c>
      <c r="O79" t="s">
        <v>693</v>
      </c>
      <c r="P79" s="4">
        <v>30043024</v>
      </c>
      <c r="Q79">
        <v>0</v>
      </c>
      <c r="R79" s="7">
        <v>8.91</v>
      </c>
      <c r="S79" s="8">
        <f>Table13[[#This Row],[Discount_%]]/100</f>
        <v>8.9099999999999999E-2</v>
      </c>
      <c r="T79" s="6" t="s">
        <v>866</v>
      </c>
      <c r="U79" t="s">
        <v>987</v>
      </c>
      <c r="V79">
        <v>2024</v>
      </c>
      <c r="W79" t="s">
        <v>993</v>
      </c>
      <c r="X79" t="s">
        <v>997</v>
      </c>
      <c r="Y79" t="s">
        <v>1001</v>
      </c>
      <c r="Z79">
        <v>3</v>
      </c>
      <c r="AA79">
        <v>6</v>
      </c>
      <c r="AB79" s="4">
        <f>Table13[[#This Row],[Total_Price]]*(1-Table13[[#This Row],[Discount 2]])</f>
        <v>27366190.5616</v>
      </c>
      <c r="AC79" s="4" t="str" cm="1">
        <f t="array" ref="AC79">_xlfn.IFS(Table13[[#This Row],[Revenue]]&gt;=30000000,"High Value",Table13[[#This Row],[Revenue]]&gt;=10000000,"Moderate Value",TRUE,"Low Value")</f>
        <v>Moderate Value</v>
      </c>
      <c r="AD79" t="str">
        <f>IF(Table13[[#This Row],[Discount 2]]&gt;=5%, "YES", "NO")</f>
        <v>YES</v>
      </c>
      <c r="AE79" t="str" cm="1">
        <f t="array" ref="AE79">_xlfn.IFS(Table13[[#This Row],[Revenue]]&gt;=30000000,"High Spender",Table13[[#This Row],[Revenue]]&gt;=10000000,"Moderate Spender",TRUE,"Low Spender")</f>
        <v>Moderate Spender</v>
      </c>
      <c r="AF79" s="4" t="str" cm="1">
        <f t="array" ref="AF79">_xlfn.IFS(Table13[[#This Row],[Land_Size_SQM]]&gt;=730,"LARGE",Table13[[#This Row],[Land_Size_SQM]]&gt;=465,"MEDIUM",TRUE,"SMALL")</f>
        <v>LARGE</v>
      </c>
    </row>
    <row r="80" spans="1:32" x14ac:dyDescent="0.3">
      <c r="A80" t="s">
        <v>79</v>
      </c>
      <c r="B80" t="s">
        <v>562</v>
      </c>
      <c r="C80" t="s">
        <v>626</v>
      </c>
      <c r="D80">
        <v>63</v>
      </c>
      <c r="E80" t="s">
        <v>629</v>
      </c>
      <c r="F80">
        <v>820</v>
      </c>
      <c r="G80" s="4">
        <v>34553</v>
      </c>
      <c r="H80" s="4">
        <v>28333460</v>
      </c>
      <c r="I80" t="s">
        <v>652</v>
      </c>
      <c r="J80" t="s">
        <v>672</v>
      </c>
      <c r="K80" t="s">
        <v>664</v>
      </c>
      <c r="L80" t="s">
        <v>682</v>
      </c>
      <c r="M80" t="s">
        <v>683</v>
      </c>
      <c r="N80" t="s">
        <v>689</v>
      </c>
      <c r="O80" t="s">
        <v>694</v>
      </c>
      <c r="P80" s="4">
        <v>10826768</v>
      </c>
      <c r="Q80">
        <v>6</v>
      </c>
      <c r="R80" s="7">
        <v>3.52</v>
      </c>
      <c r="S80" s="8">
        <f>Table13[[#This Row],[Discount_%]]/100</f>
        <v>3.5200000000000002E-2</v>
      </c>
      <c r="T80" s="6" t="s">
        <v>743</v>
      </c>
      <c r="U80" t="s">
        <v>983</v>
      </c>
      <c r="V80">
        <v>2024</v>
      </c>
      <c r="W80" t="s">
        <v>993</v>
      </c>
      <c r="X80" t="s">
        <v>998</v>
      </c>
      <c r="Y80" t="s">
        <v>1002</v>
      </c>
      <c r="Z80">
        <v>1</v>
      </c>
      <c r="AA80">
        <v>38</v>
      </c>
      <c r="AB80" s="4">
        <f>Table13[[#This Row],[Total_Price]]*(1-Table13[[#This Row],[Discount 2]])</f>
        <v>27336122.208000001</v>
      </c>
      <c r="AC80" s="4" t="str" cm="1">
        <f t="array" ref="AC80">_xlfn.IFS(Table13[[#This Row],[Revenue]]&gt;=30000000,"High Value",Table13[[#This Row],[Revenue]]&gt;=10000000,"Moderate Value",TRUE,"Low Value")</f>
        <v>Moderate Value</v>
      </c>
      <c r="AD80" t="str">
        <f>IF(Table13[[#This Row],[Discount 2]]&gt;=5%, "YES", "NO")</f>
        <v>NO</v>
      </c>
      <c r="AE80" t="str" cm="1">
        <f t="array" ref="AE80">_xlfn.IFS(Table13[[#This Row],[Revenue]]&gt;=30000000,"High Spender",Table13[[#This Row],[Revenue]]&gt;=10000000,"Moderate Spender",TRUE,"Low Spender")</f>
        <v>Moderate Spender</v>
      </c>
      <c r="AF80" s="4" t="str" cm="1">
        <f t="array" ref="AF80">_xlfn.IFS(Table13[[#This Row],[Land_Size_SQM]]&gt;=730,"LARGE",Table13[[#This Row],[Land_Size_SQM]]&gt;=465,"MEDIUM",TRUE,"SMALL")</f>
        <v>LARGE</v>
      </c>
    </row>
    <row r="81" spans="1:32" x14ac:dyDescent="0.3">
      <c r="A81" t="s">
        <v>232</v>
      </c>
      <c r="B81" t="s">
        <v>611</v>
      </c>
      <c r="C81" t="s">
        <v>626</v>
      </c>
      <c r="D81">
        <v>59</v>
      </c>
      <c r="E81" t="s">
        <v>628</v>
      </c>
      <c r="F81">
        <v>760</v>
      </c>
      <c r="G81" s="4">
        <v>36208</v>
      </c>
      <c r="H81" s="4">
        <v>27518080</v>
      </c>
      <c r="I81" t="s">
        <v>636</v>
      </c>
      <c r="J81" t="s">
        <v>671</v>
      </c>
      <c r="K81" t="s">
        <v>677</v>
      </c>
      <c r="L81" t="s">
        <v>680</v>
      </c>
      <c r="M81" t="s">
        <v>685</v>
      </c>
      <c r="N81" t="s">
        <v>691</v>
      </c>
      <c r="O81" t="s">
        <v>694</v>
      </c>
      <c r="P81" s="4">
        <v>5881534</v>
      </c>
      <c r="Q81">
        <v>3</v>
      </c>
      <c r="R81" s="7">
        <v>1.64</v>
      </c>
      <c r="S81" s="8">
        <f>Table13[[#This Row],[Discount_%]]/100</f>
        <v>1.6399999999999998E-2</v>
      </c>
      <c r="T81" s="6" t="s">
        <v>851</v>
      </c>
      <c r="U81" t="s">
        <v>987</v>
      </c>
      <c r="V81">
        <v>2024</v>
      </c>
      <c r="W81" t="s">
        <v>996</v>
      </c>
      <c r="X81" t="s">
        <v>998</v>
      </c>
      <c r="Y81" t="s">
        <v>1000</v>
      </c>
      <c r="Z81">
        <v>3</v>
      </c>
      <c r="AA81">
        <v>7</v>
      </c>
      <c r="AB81" s="4">
        <f>Table13[[#This Row],[Total_Price]]*(1-Table13[[#This Row],[Discount 2]])</f>
        <v>27066783.488000002</v>
      </c>
      <c r="AC81" s="4" t="str" cm="1">
        <f t="array" ref="AC81">_xlfn.IFS(Table13[[#This Row],[Revenue]]&gt;=30000000,"High Value",Table13[[#This Row],[Revenue]]&gt;=10000000,"Moderate Value",TRUE,"Low Value")</f>
        <v>Moderate Value</v>
      </c>
      <c r="AD81" t="str">
        <f>IF(Table13[[#This Row],[Discount 2]]&gt;=5%, "YES", "NO")</f>
        <v>NO</v>
      </c>
      <c r="AE81" t="str" cm="1">
        <f t="array" ref="AE81">_xlfn.IFS(Table13[[#This Row],[Revenue]]&gt;=30000000,"High Spender",Table13[[#This Row],[Revenue]]&gt;=10000000,"Moderate Spender",TRUE,"Low Spender")</f>
        <v>Moderate Spender</v>
      </c>
      <c r="AF81" s="4" t="str" cm="1">
        <f t="array" ref="AF81">_xlfn.IFS(Table13[[#This Row],[Land_Size_SQM]]&gt;=730,"LARGE",Table13[[#This Row],[Land_Size_SQM]]&gt;=465,"MEDIUM",TRUE,"SMALL")</f>
        <v>LARGE</v>
      </c>
    </row>
    <row r="82" spans="1:32" x14ac:dyDescent="0.3">
      <c r="A82" t="s">
        <v>392</v>
      </c>
      <c r="B82" t="s">
        <v>618</v>
      </c>
      <c r="C82" t="s">
        <v>626</v>
      </c>
      <c r="D82">
        <v>40</v>
      </c>
      <c r="E82" t="s">
        <v>629</v>
      </c>
      <c r="F82">
        <v>781</v>
      </c>
      <c r="G82" s="4">
        <v>35735</v>
      </c>
      <c r="H82" s="4">
        <v>27909035</v>
      </c>
      <c r="I82" t="s">
        <v>634</v>
      </c>
      <c r="J82" t="s">
        <v>670</v>
      </c>
      <c r="K82" t="s">
        <v>640</v>
      </c>
      <c r="L82" t="s">
        <v>680</v>
      </c>
      <c r="M82" t="s">
        <v>684</v>
      </c>
      <c r="N82" t="s">
        <v>689</v>
      </c>
      <c r="O82" t="s">
        <v>694</v>
      </c>
      <c r="P82" s="4">
        <v>5752629</v>
      </c>
      <c r="Q82">
        <v>12</v>
      </c>
      <c r="R82" s="7">
        <v>4.7</v>
      </c>
      <c r="S82" s="8">
        <f>Table13[[#This Row],[Discount_%]]/100</f>
        <v>4.7E-2</v>
      </c>
      <c r="T82" s="6" t="s">
        <v>945</v>
      </c>
      <c r="U82" t="s">
        <v>988</v>
      </c>
      <c r="V82">
        <v>2024</v>
      </c>
      <c r="W82" t="s">
        <v>996</v>
      </c>
      <c r="X82" t="s">
        <v>998</v>
      </c>
      <c r="Y82" t="s">
        <v>1002</v>
      </c>
      <c r="Z82">
        <v>5</v>
      </c>
      <c r="AA82">
        <v>49</v>
      </c>
      <c r="AB82" s="4">
        <f>Table13[[#This Row],[Total_Price]]*(1-Table13[[#This Row],[Discount 2]])</f>
        <v>26597310.355</v>
      </c>
      <c r="AC82" s="4" t="str" cm="1">
        <f t="array" ref="AC82">_xlfn.IFS(Table13[[#This Row],[Revenue]]&gt;=30000000,"High Value",Table13[[#This Row],[Revenue]]&gt;=10000000,"Moderate Value",TRUE,"Low Value")</f>
        <v>Moderate Value</v>
      </c>
      <c r="AD82" t="str">
        <f>IF(Table13[[#This Row],[Discount 2]]&gt;=5%, "YES", "NO")</f>
        <v>NO</v>
      </c>
      <c r="AE82" t="str" cm="1">
        <f t="array" ref="AE82">_xlfn.IFS(Table13[[#This Row],[Revenue]]&gt;=30000000,"High Spender",Table13[[#This Row],[Revenue]]&gt;=10000000,"Moderate Spender",TRUE,"Low Spender")</f>
        <v>Moderate Spender</v>
      </c>
      <c r="AF82" s="4" t="str" cm="1">
        <f t="array" ref="AF82">_xlfn.IFS(Table13[[#This Row],[Land_Size_SQM]]&gt;=730,"LARGE",Table13[[#This Row],[Land_Size_SQM]]&gt;=465,"MEDIUM",TRUE,"SMALL")</f>
        <v>LARGE</v>
      </c>
    </row>
    <row r="83" spans="1:32" x14ac:dyDescent="0.3">
      <c r="A83" t="s">
        <v>122</v>
      </c>
      <c r="B83" t="s">
        <v>560</v>
      </c>
      <c r="C83" t="s">
        <v>626</v>
      </c>
      <c r="D83">
        <v>45</v>
      </c>
      <c r="E83" t="s">
        <v>630</v>
      </c>
      <c r="F83">
        <v>706</v>
      </c>
      <c r="G83" s="4">
        <v>41158</v>
      </c>
      <c r="H83" s="4">
        <v>29057548</v>
      </c>
      <c r="I83" t="s">
        <v>664</v>
      </c>
      <c r="J83" t="s">
        <v>673</v>
      </c>
      <c r="K83" t="s">
        <v>677</v>
      </c>
      <c r="L83" t="s">
        <v>680</v>
      </c>
      <c r="M83" t="s">
        <v>684</v>
      </c>
      <c r="N83" t="s">
        <v>689</v>
      </c>
      <c r="O83" t="s">
        <v>694</v>
      </c>
      <c r="P83" s="4">
        <v>10489985</v>
      </c>
      <c r="Q83">
        <v>12</v>
      </c>
      <c r="R83" s="7">
        <v>8.4700000000000006</v>
      </c>
      <c r="S83" s="8">
        <f>Table13[[#This Row],[Discount_%]]/100</f>
        <v>8.4700000000000011E-2</v>
      </c>
      <c r="T83" s="6" t="s">
        <v>757</v>
      </c>
      <c r="U83" t="s">
        <v>989</v>
      </c>
      <c r="V83">
        <v>2024</v>
      </c>
      <c r="W83" t="s">
        <v>996</v>
      </c>
      <c r="X83" t="s">
        <v>998</v>
      </c>
      <c r="Y83" t="s">
        <v>1001</v>
      </c>
      <c r="Z83">
        <v>3</v>
      </c>
      <c r="AA83">
        <v>5</v>
      </c>
      <c r="AB83" s="4">
        <f>Table13[[#This Row],[Total_Price]]*(1-Table13[[#This Row],[Discount 2]])</f>
        <v>26596373.6844</v>
      </c>
      <c r="AC83" s="4" t="str" cm="1">
        <f t="array" ref="AC83">_xlfn.IFS(Table13[[#This Row],[Revenue]]&gt;=30000000,"High Value",Table13[[#This Row],[Revenue]]&gt;=10000000,"Moderate Value",TRUE,"Low Value")</f>
        <v>Moderate Value</v>
      </c>
      <c r="AD83" t="str">
        <f>IF(Table13[[#This Row],[Discount 2]]&gt;=5%, "YES", "NO")</f>
        <v>YES</v>
      </c>
      <c r="AE83" t="str" cm="1">
        <f t="array" ref="AE83">_xlfn.IFS(Table13[[#This Row],[Revenue]]&gt;=30000000,"High Spender",Table13[[#This Row],[Revenue]]&gt;=10000000,"Moderate Spender",TRUE,"Low Spender")</f>
        <v>Moderate Spender</v>
      </c>
      <c r="AF83" s="4" t="str" cm="1">
        <f t="array" ref="AF83">_xlfn.IFS(Table13[[#This Row],[Land_Size_SQM]]&gt;=730,"LARGE",Table13[[#This Row],[Land_Size_SQM]]&gt;=465,"MEDIUM",TRUE,"SMALL")</f>
        <v>MEDIUM</v>
      </c>
    </row>
    <row r="84" spans="1:32" x14ac:dyDescent="0.3">
      <c r="A84" t="s">
        <v>335</v>
      </c>
      <c r="B84" t="s">
        <v>551</v>
      </c>
      <c r="C84" t="s">
        <v>627</v>
      </c>
      <c r="D84">
        <v>53</v>
      </c>
      <c r="E84" t="s">
        <v>629</v>
      </c>
      <c r="F84">
        <v>794</v>
      </c>
      <c r="G84" s="4">
        <v>33557</v>
      </c>
      <c r="H84" s="4">
        <v>26644258</v>
      </c>
      <c r="I84" t="s">
        <v>635</v>
      </c>
      <c r="J84" t="s">
        <v>668</v>
      </c>
      <c r="K84" t="s">
        <v>676</v>
      </c>
      <c r="L84" t="s">
        <v>680</v>
      </c>
      <c r="M84" t="s">
        <v>683</v>
      </c>
      <c r="N84" t="s">
        <v>691</v>
      </c>
      <c r="O84" t="s">
        <v>693</v>
      </c>
      <c r="P84" s="4">
        <v>26644258</v>
      </c>
      <c r="Q84">
        <v>0</v>
      </c>
      <c r="R84" s="7">
        <v>1.42</v>
      </c>
      <c r="S84" s="8">
        <f>Table13[[#This Row],[Discount_%]]/100</f>
        <v>1.4199999999999999E-2</v>
      </c>
      <c r="T84" s="6" t="s">
        <v>920</v>
      </c>
      <c r="U84" t="s">
        <v>986</v>
      </c>
      <c r="V84">
        <v>2024</v>
      </c>
      <c r="W84" t="s">
        <v>993</v>
      </c>
      <c r="X84" t="s">
        <v>997</v>
      </c>
      <c r="Y84" t="s">
        <v>1001</v>
      </c>
      <c r="Z84">
        <v>5</v>
      </c>
      <c r="AA84">
        <v>38</v>
      </c>
      <c r="AB84" s="4">
        <f>Table13[[#This Row],[Total_Price]]*(1-Table13[[#This Row],[Discount 2]])</f>
        <v>26265909.536400001</v>
      </c>
      <c r="AC84" s="4" t="str" cm="1">
        <f t="array" ref="AC84">_xlfn.IFS(Table13[[#This Row],[Revenue]]&gt;=30000000,"High Value",Table13[[#This Row],[Revenue]]&gt;=10000000,"Moderate Value",TRUE,"Low Value")</f>
        <v>Moderate Value</v>
      </c>
      <c r="AD84" t="str">
        <f>IF(Table13[[#This Row],[Discount 2]]&gt;=5%, "YES", "NO")</f>
        <v>NO</v>
      </c>
      <c r="AE84" t="str" cm="1">
        <f t="array" ref="AE84">_xlfn.IFS(Table13[[#This Row],[Revenue]]&gt;=30000000,"High Spender",Table13[[#This Row],[Revenue]]&gt;=10000000,"Moderate Spender",TRUE,"Low Spender")</f>
        <v>Moderate Spender</v>
      </c>
      <c r="AF84" s="4" t="str" cm="1">
        <f t="array" ref="AF84">_xlfn.IFS(Table13[[#This Row],[Land_Size_SQM]]&gt;=730,"LARGE",Table13[[#This Row],[Land_Size_SQM]]&gt;=465,"MEDIUM",TRUE,"SMALL")</f>
        <v>LARGE</v>
      </c>
    </row>
    <row r="85" spans="1:32" x14ac:dyDescent="0.3">
      <c r="A85" t="s">
        <v>337</v>
      </c>
      <c r="B85" t="s">
        <v>566</v>
      </c>
      <c r="C85" t="s">
        <v>627</v>
      </c>
      <c r="D85">
        <v>38</v>
      </c>
      <c r="E85" t="s">
        <v>630</v>
      </c>
      <c r="F85">
        <v>844</v>
      </c>
      <c r="G85" s="4">
        <v>33009</v>
      </c>
      <c r="H85" s="4">
        <v>27859596</v>
      </c>
      <c r="I85" t="s">
        <v>637</v>
      </c>
      <c r="J85" t="s">
        <v>672</v>
      </c>
      <c r="K85" t="s">
        <v>664</v>
      </c>
      <c r="L85" t="s">
        <v>680</v>
      </c>
      <c r="M85" t="s">
        <v>683</v>
      </c>
      <c r="N85" t="s">
        <v>692</v>
      </c>
      <c r="O85" t="s">
        <v>693</v>
      </c>
      <c r="P85" s="4">
        <v>27859596</v>
      </c>
      <c r="Q85">
        <v>0</v>
      </c>
      <c r="R85" s="7">
        <v>5.73</v>
      </c>
      <c r="S85" s="8">
        <f>Table13[[#This Row],[Discount_%]]/100</f>
        <v>5.7300000000000004E-2</v>
      </c>
      <c r="T85" s="6" t="s">
        <v>921</v>
      </c>
      <c r="U85" t="s">
        <v>984</v>
      </c>
      <c r="V85">
        <v>2024</v>
      </c>
      <c r="W85" t="s">
        <v>993</v>
      </c>
      <c r="X85" t="s">
        <v>998</v>
      </c>
      <c r="Y85" t="s">
        <v>1002</v>
      </c>
      <c r="Z85">
        <v>2</v>
      </c>
      <c r="AA85">
        <v>40</v>
      </c>
      <c r="AB85" s="4">
        <f>Table13[[#This Row],[Total_Price]]*(1-Table13[[#This Row],[Discount 2]])</f>
        <v>26263241.1492</v>
      </c>
      <c r="AC85" s="4" t="str" cm="1">
        <f t="array" ref="AC85">_xlfn.IFS(Table13[[#This Row],[Revenue]]&gt;=30000000,"High Value",Table13[[#This Row],[Revenue]]&gt;=10000000,"Moderate Value",TRUE,"Low Value")</f>
        <v>Moderate Value</v>
      </c>
      <c r="AD85" t="str">
        <f>IF(Table13[[#This Row],[Discount 2]]&gt;=5%, "YES", "NO")</f>
        <v>YES</v>
      </c>
      <c r="AE85" t="str" cm="1">
        <f t="array" ref="AE85">_xlfn.IFS(Table13[[#This Row],[Revenue]]&gt;=30000000,"High Spender",Table13[[#This Row],[Revenue]]&gt;=10000000,"Moderate Spender",TRUE,"Low Spender")</f>
        <v>Moderate Spender</v>
      </c>
      <c r="AF85" s="4" t="str" cm="1">
        <f t="array" ref="AF85">_xlfn.IFS(Table13[[#This Row],[Land_Size_SQM]]&gt;=730,"LARGE",Table13[[#This Row],[Land_Size_SQM]]&gt;=465,"MEDIUM",TRUE,"SMALL")</f>
        <v>LARGE</v>
      </c>
    </row>
    <row r="86" spans="1:32" x14ac:dyDescent="0.3">
      <c r="A86" t="s">
        <v>373</v>
      </c>
      <c r="B86" t="s">
        <v>564</v>
      </c>
      <c r="C86" t="s">
        <v>627</v>
      </c>
      <c r="D86">
        <v>29</v>
      </c>
      <c r="E86" t="s">
        <v>628</v>
      </c>
      <c r="F86">
        <v>959</v>
      </c>
      <c r="G86" s="4">
        <v>29237</v>
      </c>
      <c r="H86" s="4">
        <v>28038283</v>
      </c>
      <c r="I86" t="s">
        <v>641</v>
      </c>
      <c r="J86" t="s">
        <v>673</v>
      </c>
      <c r="K86" t="s">
        <v>678</v>
      </c>
      <c r="L86" t="s">
        <v>681</v>
      </c>
      <c r="M86" t="s">
        <v>684</v>
      </c>
      <c r="N86" t="s">
        <v>692</v>
      </c>
      <c r="O86" t="s">
        <v>694</v>
      </c>
      <c r="P86" s="4">
        <v>6985377</v>
      </c>
      <c r="Q86">
        <v>12</v>
      </c>
      <c r="R86" s="7">
        <v>7.28</v>
      </c>
      <c r="S86" s="8">
        <f>Table13[[#This Row],[Discount_%]]/100</f>
        <v>7.2800000000000004E-2</v>
      </c>
      <c r="T86" s="6" t="s">
        <v>940</v>
      </c>
      <c r="U86" t="s">
        <v>989</v>
      </c>
      <c r="V86">
        <v>2024</v>
      </c>
      <c r="W86" t="s">
        <v>994</v>
      </c>
      <c r="X86" t="s">
        <v>999</v>
      </c>
      <c r="Y86" t="s">
        <v>1001</v>
      </c>
      <c r="Z86">
        <v>4</v>
      </c>
      <c r="AA86">
        <v>6</v>
      </c>
      <c r="AB86" s="4">
        <f>Table13[[#This Row],[Total_Price]]*(1-Table13[[#This Row],[Discount 2]])</f>
        <v>25997095.9976</v>
      </c>
      <c r="AC86" s="4" t="str" cm="1">
        <f t="array" ref="AC86">_xlfn.IFS(Table13[[#This Row],[Revenue]]&gt;=30000000,"High Value",Table13[[#This Row],[Revenue]]&gt;=10000000,"Moderate Value",TRUE,"Low Value")</f>
        <v>Moderate Value</v>
      </c>
      <c r="AD86" t="str">
        <f>IF(Table13[[#This Row],[Discount 2]]&gt;=5%, "YES", "NO")</f>
        <v>YES</v>
      </c>
      <c r="AE86" t="str" cm="1">
        <f t="array" ref="AE86">_xlfn.IFS(Table13[[#This Row],[Revenue]]&gt;=30000000,"High Spender",Table13[[#This Row],[Revenue]]&gt;=10000000,"Moderate Spender",TRUE,"Low Spender")</f>
        <v>Moderate Spender</v>
      </c>
      <c r="AF86" s="4" t="str" cm="1">
        <f t="array" ref="AF86">_xlfn.IFS(Table13[[#This Row],[Land_Size_SQM]]&gt;=730,"LARGE",Table13[[#This Row],[Land_Size_SQM]]&gt;=465,"MEDIUM",TRUE,"SMALL")</f>
        <v>LARGE</v>
      </c>
    </row>
    <row r="87" spans="1:32" x14ac:dyDescent="0.3">
      <c r="A87" t="s">
        <v>432</v>
      </c>
      <c r="B87" t="s">
        <v>581</v>
      </c>
      <c r="C87" t="s">
        <v>627</v>
      </c>
      <c r="D87">
        <v>21</v>
      </c>
      <c r="E87" t="s">
        <v>629</v>
      </c>
      <c r="F87">
        <v>732</v>
      </c>
      <c r="G87" s="4">
        <v>37441</v>
      </c>
      <c r="H87" s="4">
        <v>27406812</v>
      </c>
      <c r="I87" t="s">
        <v>634</v>
      </c>
      <c r="J87" t="s">
        <v>670</v>
      </c>
      <c r="K87" t="s">
        <v>638</v>
      </c>
      <c r="L87" t="s">
        <v>682</v>
      </c>
      <c r="M87" t="s">
        <v>687</v>
      </c>
      <c r="N87" t="s">
        <v>688</v>
      </c>
      <c r="O87" t="s">
        <v>694</v>
      </c>
      <c r="P87" s="4">
        <v>6244529</v>
      </c>
      <c r="Q87">
        <v>6</v>
      </c>
      <c r="R87" s="7">
        <v>5.52</v>
      </c>
      <c r="S87" s="8">
        <f>Table13[[#This Row],[Discount_%]]/100</f>
        <v>5.5199999999999999E-2</v>
      </c>
      <c r="T87" s="6" t="s">
        <v>820</v>
      </c>
      <c r="U87" t="s">
        <v>986</v>
      </c>
      <c r="V87">
        <v>2024</v>
      </c>
      <c r="W87" t="s">
        <v>994</v>
      </c>
      <c r="X87" t="s">
        <v>997</v>
      </c>
      <c r="Y87" t="s">
        <v>1002</v>
      </c>
      <c r="Z87">
        <v>5</v>
      </c>
      <c r="AA87">
        <v>8</v>
      </c>
      <c r="AB87" s="4">
        <f>Table13[[#This Row],[Total_Price]]*(1-Table13[[#This Row],[Discount 2]])</f>
        <v>25893955.977600001</v>
      </c>
      <c r="AC87" s="4" t="str" cm="1">
        <f t="array" ref="AC87">_xlfn.IFS(Table13[[#This Row],[Revenue]]&gt;=30000000,"High Value",Table13[[#This Row],[Revenue]]&gt;=10000000,"Moderate Value",TRUE,"Low Value")</f>
        <v>Moderate Value</v>
      </c>
      <c r="AD87" t="str">
        <f>IF(Table13[[#This Row],[Discount 2]]&gt;=5%, "YES", "NO")</f>
        <v>YES</v>
      </c>
      <c r="AE87" t="str" cm="1">
        <f t="array" ref="AE87">_xlfn.IFS(Table13[[#This Row],[Revenue]]&gt;=30000000,"High Spender",Table13[[#This Row],[Revenue]]&gt;=10000000,"Moderate Spender",TRUE,"Low Spender")</f>
        <v>Moderate Spender</v>
      </c>
      <c r="AF87" s="4" t="str" cm="1">
        <f t="array" ref="AF87">_xlfn.IFS(Table13[[#This Row],[Land_Size_SQM]]&gt;=730,"LARGE",Table13[[#This Row],[Land_Size_SQM]]&gt;=465,"MEDIUM",TRUE,"SMALL")</f>
        <v>LARGE</v>
      </c>
    </row>
    <row r="88" spans="1:32" x14ac:dyDescent="0.3">
      <c r="A88" t="s">
        <v>283</v>
      </c>
      <c r="B88" t="s">
        <v>526</v>
      </c>
      <c r="C88" t="s">
        <v>626</v>
      </c>
      <c r="D88">
        <v>50</v>
      </c>
      <c r="E88" t="s">
        <v>629</v>
      </c>
      <c r="F88">
        <v>598</v>
      </c>
      <c r="G88" s="4">
        <v>46659</v>
      </c>
      <c r="H88" s="4">
        <v>27902082</v>
      </c>
      <c r="I88" t="s">
        <v>653</v>
      </c>
      <c r="J88" t="s">
        <v>668</v>
      </c>
      <c r="K88" t="s">
        <v>678</v>
      </c>
      <c r="L88" t="s">
        <v>681</v>
      </c>
      <c r="M88" t="s">
        <v>683</v>
      </c>
      <c r="N88" t="s">
        <v>690</v>
      </c>
      <c r="O88" t="s">
        <v>694</v>
      </c>
      <c r="P88" s="4">
        <v>6908093</v>
      </c>
      <c r="Q88">
        <v>12</v>
      </c>
      <c r="R88" s="7">
        <v>7.28</v>
      </c>
      <c r="S88" s="8">
        <f>Table13[[#This Row],[Discount_%]]/100</f>
        <v>7.2800000000000004E-2</v>
      </c>
      <c r="T88" s="6" t="s">
        <v>728</v>
      </c>
      <c r="U88" t="s">
        <v>985</v>
      </c>
      <c r="V88">
        <v>2024</v>
      </c>
      <c r="W88" t="s">
        <v>993</v>
      </c>
      <c r="X88" t="s">
        <v>997</v>
      </c>
      <c r="Y88" t="s">
        <v>1000</v>
      </c>
      <c r="Z88">
        <v>1</v>
      </c>
      <c r="AA88">
        <v>16</v>
      </c>
      <c r="AB88" s="4">
        <f>Table13[[#This Row],[Total_Price]]*(1-Table13[[#This Row],[Discount 2]])</f>
        <v>25870810.430399999</v>
      </c>
      <c r="AC88" s="4" t="str" cm="1">
        <f t="array" ref="AC88">_xlfn.IFS(Table13[[#This Row],[Revenue]]&gt;=30000000,"High Value",Table13[[#This Row],[Revenue]]&gt;=10000000,"Moderate Value",TRUE,"Low Value")</f>
        <v>Moderate Value</v>
      </c>
      <c r="AD88" t="str">
        <f>IF(Table13[[#This Row],[Discount 2]]&gt;=5%, "YES", "NO")</f>
        <v>YES</v>
      </c>
      <c r="AE88" t="str" cm="1">
        <f t="array" ref="AE88">_xlfn.IFS(Table13[[#This Row],[Revenue]]&gt;=30000000,"High Spender",Table13[[#This Row],[Revenue]]&gt;=10000000,"Moderate Spender",TRUE,"Low Spender")</f>
        <v>Moderate Spender</v>
      </c>
      <c r="AF88" s="4" t="str" cm="1">
        <f t="array" ref="AF88">_xlfn.IFS(Table13[[#This Row],[Land_Size_SQM]]&gt;=730,"LARGE",Table13[[#This Row],[Land_Size_SQM]]&gt;=465,"MEDIUM",TRUE,"SMALL")</f>
        <v>MEDIUM</v>
      </c>
    </row>
    <row r="89" spans="1:32" x14ac:dyDescent="0.3">
      <c r="A89" t="s">
        <v>177</v>
      </c>
      <c r="B89" t="s">
        <v>577</v>
      </c>
      <c r="C89" t="s">
        <v>626</v>
      </c>
      <c r="D89">
        <v>33</v>
      </c>
      <c r="E89" t="s">
        <v>628</v>
      </c>
      <c r="F89">
        <v>559</v>
      </c>
      <c r="G89" s="4">
        <v>49345</v>
      </c>
      <c r="H89" s="4">
        <v>27583855</v>
      </c>
      <c r="I89" t="s">
        <v>653</v>
      </c>
      <c r="J89" t="s">
        <v>668</v>
      </c>
      <c r="K89" t="s">
        <v>678</v>
      </c>
      <c r="L89" t="s">
        <v>680</v>
      </c>
      <c r="M89" t="s">
        <v>683</v>
      </c>
      <c r="N89" t="s">
        <v>689</v>
      </c>
      <c r="O89" t="s">
        <v>693</v>
      </c>
      <c r="P89" s="4">
        <v>27583855</v>
      </c>
      <c r="Q89">
        <v>0</v>
      </c>
      <c r="R89" s="7">
        <v>6.28</v>
      </c>
      <c r="S89" s="8">
        <f>Table13[[#This Row],[Discount_%]]/100</f>
        <v>6.2800000000000009E-2</v>
      </c>
      <c r="T89" s="6" t="s">
        <v>814</v>
      </c>
      <c r="U89" t="s">
        <v>987</v>
      </c>
      <c r="V89">
        <v>2024</v>
      </c>
      <c r="W89" t="s">
        <v>995</v>
      </c>
      <c r="X89" t="s">
        <v>998</v>
      </c>
      <c r="Y89" t="s">
        <v>1002</v>
      </c>
      <c r="Z89">
        <v>3</v>
      </c>
      <c r="AA89">
        <v>9</v>
      </c>
      <c r="AB89" s="4">
        <f>Table13[[#This Row],[Total_Price]]*(1-Table13[[#This Row],[Discount 2]])</f>
        <v>25851588.905999999</v>
      </c>
      <c r="AC89" s="4" t="str" cm="1">
        <f t="array" ref="AC89">_xlfn.IFS(Table13[[#This Row],[Revenue]]&gt;=30000000,"High Value",Table13[[#This Row],[Revenue]]&gt;=10000000,"Moderate Value",TRUE,"Low Value")</f>
        <v>Moderate Value</v>
      </c>
      <c r="AD89" t="str">
        <f>IF(Table13[[#This Row],[Discount 2]]&gt;=5%, "YES", "NO")</f>
        <v>YES</v>
      </c>
      <c r="AE89" t="str" cm="1">
        <f t="array" ref="AE89">_xlfn.IFS(Table13[[#This Row],[Revenue]]&gt;=30000000,"High Spender",Table13[[#This Row],[Revenue]]&gt;=10000000,"Moderate Spender",TRUE,"Low Spender")</f>
        <v>Moderate Spender</v>
      </c>
      <c r="AF89" s="4" t="str" cm="1">
        <f t="array" ref="AF89">_xlfn.IFS(Table13[[#This Row],[Land_Size_SQM]]&gt;=730,"LARGE",Table13[[#This Row],[Land_Size_SQM]]&gt;=465,"MEDIUM",TRUE,"SMALL")</f>
        <v>MEDIUM</v>
      </c>
    </row>
    <row r="90" spans="1:32" x14ac:dyDescent="0.3">
      <c r="A90" t="s">
        <v>227</v>
      </c>
      <c r="B90" t="s">
        <v>547</v>
      </c>
      <c r="C90" t="s">
        <v>627</v>
      </c>
      <c r="D90">
        <v>50</v>
      </c>
      <c r="E90" t="s">
        <v>630</v>
      </c>
      <c r="F90">
        <v>894</v>
      </c>
      <c r="G90" s="4">
        <v>30715</v>
      </c>
      <c r="H90" s="4">
        <v>27459210</v>
      </c>
      <c r="I90" t="s">
        <v>658</v>
      </c>
      <c r="J90" t="s">
        <v>670</v>
      </c>
      <c r="K90" t="s">
        <v>674</v>
      </c>
      <c r="L90" t="s">
        <v>680</v>
      </c>
      <c r="M90" t="s">
        <v>684</v>
      </c>
      <c r="N90" t="s">
        <v>691</v>
      </c>
      <c r="O90" t="s">
        <v>693</v>
      </c>
      <c r="P90" s="4">
        <v>27459210</v>
      </c>
      <c r="Q90">
        <v>0</v>
      </c>
      <c r="R90" s="7">
        <v>6.11</v>
      </c>
      <c r="S90" s="8">
        <f>Table13[[#This Row],[Discount_%]]/100</f>
        <v>6.1100000000000002E-2</v>
      </c>
      <c r="T90" s="6" t="s">
        <v>848</v>
      </c>
      <c r="U90" t="s">
        <v>991</v>
      </c>
      <c r="V90">
        <v>2024</v>
      </c>
      <c r="W90" t="s">
        <v>993</v>
      </c>
      <c r="X90" t="s">
        <v>999</v>
      </c>
      <c r="Y90" t="s">
        <v>1002</v>
      </c>
      <c r="Z90">
        <v>3</v>
      </c>
      <c r="AA90">
        <v>1</v>
      </c>
      <c r="AB90" s="4">
        <f>Table13[[#This Row],[Total_Price]]*(1-Table13[[#This Row],[Discount 2]])</f>
        <v>25781452.268999998</v>
      </c>
      <c r="AC90" s="4" t="str" cm="1">
        <f t="array" ref="AC90">_xlfn.IFS(Table13[[#This Row],[Revenue]]&gt;=30000000,"High Value",Table13[[#This Row],[Revenue]]&gt;=10000000,"Moderate Value",TRUE,"Low Value")</f>
        <v>Moderate Value</v>
      </c>
      <c r="AD90" t="str">
        <f>IF(Table13[[#This Row],[Discount 2]]&gt;=5%, "YES", "NO")</f>
        <v>YES</v>
      </c>
      <c r="AE90" t="str" cm="1">
        <f t="array" ref="AE90">_xlfn.IFS(Table13[[#This Row],[Revenue]]&gt;=30000000,"High Spender",Table13[[#This Row],[Revenue]]&gt;=10000000,"Moderate Spender",TRUE,"Low Spender")</f>
        <v>Moderate Spender</v>
      </c>
      <c r="AF90" s="4" t="str" cm="1">
        <f t="array" ref="AF90">_xlfn.IFS(Table13[[#This Row],[Land_Size_SQM]]&gt;=730,"LARGE",Table13[[#This Row],[Land_Size_SQM]]&gt;=465,"MEDIUM",TRUE,"SMALL")</f>
        <v>LARGE</v>
      </c>
    </row>
    <row r="91" spans="1:32" x14ac:dyDescent="0.3">
      <c r="A91" t="s">
        <v>175</v>
      </c>
      <c r="B91" t="s">
        <v>574</v>
      </c>
      <c r="C91" t="s">
        <v>626</v>
      </c>
      <c r="D91">
        <v>24</v>
      </c>
      <c r="E91" t="s">
        <v>628</v>
      </c>
      <c r="F91">
        <v>605</v>
      </c>
      <c r="G91" s="4">
        <v>42999</v>
      </c>
      <c r="H91" s="4">
        <v>26014395</v>
      </c>
      <c r="I91" t="s">
        <v>653</v>
      </c>
      <c r="J91" t="s">
        <v>668</v>
      </c>
      <c r="K91" t="s">
        <v>664</v>
      </c>
      <c r="L91" t="s">
        <v>682</v>
      </c>
      <c r="M91" t="s">
        <v>683</v>
      </c>
      <c r="N91" t="s">
        <v>692</v>
      </c>
      <c r="O91" t="s">
        <v>694</v>
      </c>
      <c r="P91" s="4">
        <v>8552734</v>
      </c>
      <c r="Q91">
        <v>6</v>
      </c>
      <c r="R91" s="7">
        <v>0.91</v>
      </c>
      <c r="S91" s="8">
        <f>Table13[[#This Row],[Discount_%]]/100</f>
        <v>9.1000000000000004E-3</v>
      </c>
      <c r="T91" s="6" t="s">
        <v>813</v>
      </c>
      <c r="U91" t="s">
        <v>981</v>
      </c>
      <c r="V91">
        <v>2024</v>
      </c>
      <c r="W91" t="s">
        <v>995</v>
      </c>
      <c r="X91" t="s">
        <v>999</v>
      </c>
      <c r="Y91" t="s">
        <v>1000</v>
      </c>
      <c r="Z91">
        <v>3</v>
      </c>
      <c r="AA91">
        <v>8</v>
      </c>
      <c r="AB91" s="4">
        <f>Table13[[#This Row],[Total_Price]]*(1-Table13[[#This Row],[Discount 2]])</f>
        <v>25777664.0055</v>
      </c>
      <c r="AC91" s="4" t="str" cm="1">
        <f t="array" ref="AC91">_xlfn.IFS(Table13[[#This Row],[Revenue]]&gt;=30000000,"High Value",Table13[[#This Row],[Revenue]]&gt;=10000000,"Moderate Value",TRUE,"Low Value")</f>
        <v>Moderate Value</v>
      </c>
      <c r="AD91" t="str">
        <f>IF(Table13[[#This Row],[Discount 2]]&gt;=5%, "YES", "NO")</f>
        <v>NO</v>
      </c>
      <c r="AE91" t="str" cm="1">
        <f t="array" ref="AE91">_xlfn.IFS(Table13[[#This Row],[Revenue]]&gt;=30000000,"High Spender",Table13[[#This Row],[Revenue]]&gt;=10000000,"Moderate Spender",TRUE,"Low Spender")</f>
        <v>Moderate Spender</v>
      </c>
      <c r="AF91" s="4" t="str" cm="1">
        <f t="array" ref="AF91">_xlfn.IFS(Table13[[#This Row],[Land_Size_SQM]]&gt;=730,"LARGE",Table13[[#This Row],[Land_Size_SQM]]&gt;=465,"MEDIUM",TRUE,"SMALL")</f>
        <v>MEDIUM</v>
      </c>
    </row>
    <row r="92" spans="1:32" x14ac:dyDescent="0.3">
      <c r="A92" t="s">
        <v>83</v>
      </c>
      <c r="B92" t="s">
        <v>557</v>
      </c>
      <c r="C92" t="s">
        <v>627</v>
      </c>
      <c r="D92">
        <v>64</v>
      </c>
      <c r="E92" t="s">
        <v>630</v>
      </c>
      <c r="F92">
        <v>624</v>
      </c>
      <c r="G92" s="4">
        <v>44920</v>
      </c>
      <c r="H92" s="4">
        <v>28030080</v>
      </c>
      <c r="I92" t="s">
        <v>655</v>
      </c>
      <c r="J92" t="s">
        <v>672</v>
      </c>
      <c r="K92" t="s">
        <v>638</v>
      </c>
      <c r="L92" t="s">
        <v>680</v>
      </c>
      <c r="M92" t="s">
        <v>684</v>
      </c>
      <c r="N92" t="s">
        <v>691</v>
      </c>
      <c r="O92" t="s">
        <v>693</v>
      </c>
      <c r="P92" s="4">
        <v>28030080</v>
      </c>
      <c r="Q92">
        <v>0</v>
      </c>
      <c r="R92" s="7">
        <v>8.34</v>
      </c>
      <c r="S92" s="8">
        <f>Table13[[#This Row],[Discount_%]]/100</f>
        <v>8.3400000000000002E-2</v>
      </c>
      <c r="T92" s="6" t="s">
        <v>746</v>
      </c>
      <c r="U92" t="s">
        <v>983</v>
      </c>
      <c r="V92">
        <v>2024</v>
      </c>
      <c r="W92" t="s">
        <v>996</v>
      </c>
      <c r="X92" t="s">
        <v>998</v>
      </c>
      <c r="Y92" t="s">
        <v>1000</v>
      </c>
      <c r="Z92">
        <v>3</v>
      </c>
      <c r="AA92">
        <v>35</v>
      </c>
      <c r="AB92" s="4">
        <f>Table13[[#This Row],[Total_Price]]*(1-Table13[[#This Row],[Discount 2]])</f>
        <v>25692371.327999998</v>
      </c>
      <c r="AC92" s="4" t="str" cm="1">
        <f t="array" ref="AC92">_xlfn.IFS(Table13[[#This Row],[Revenue]]&gt;=30000000,"High Value",Table13[[#This Row],[Revenue]]&gt;=10000000,"Moderate Value",TRUE,"Low Value")</f>
        <v>Moderate Value</v>
      </c>
      <c r="AD92" t="str">
        <f>IF(Table13[[#This Row],[Discount 2]]&gt;=5%, "YES", "NO")</f>
        <v>YES</v>
      </c>
      <c r="AE92" t="str" cm="1">
        <f t="array" ref="AE92">_xlfn.IFS(Table13[[#This Row],[Revenue]]&gt;=30000000,"High Spender",Table13[[#This Row],[Revenue]]&gt;=10000000,"Moderate Spender",TRUE,"Low Spender")</f>
        <v>Moderate Spender</v>
      </c>
      <c r="AF92" s="4" t="str" cm="1">
        <f t="array" ref="AF92">_xlfn.IFS(Table13[[#This Row],[Land_Size_SQM]]&gt;=730,"LARGE",Table13[[#This Row],[Land_Size_SQM]]&gt;=465,"MEDIUM",TRUE,"SMALL")</f>
        <v>MEDIUM</v>
      </c>
    </row>
    <row r="93" spans="1:32" x14ac:dyDescent="0.3">
      <c r="A93" t="s">
        <v>290</v>
      </c>
      <c r="B93" t="s">
        <v>563</v>
      </c>
      <c r="C93" t="s">
        <v>627</v>
      </c>
      <c r="D93">
        <v>39</v>
      </c>
      <c r="E93" t="s">
        <v>628</v>
      </c>
      <c r="F93">
        <v>577</v>
      </c>
      <c r="G93" s="4">
        <v>48427</v>
      </c>
      <c r="H93" s="4">
        <v>27942379</v>
      </c>
      <c r="I93" t="s">
        <v>655</v>
      </c>
      <c r="J93" t="s">
        <v>672</v>
      </c>
      <c r="K93" t="s">
        <v>640</v>
      </c>
      <c r="L93" t="s">
        <v>680</v>
      </c>
      <c r="M93" t="s">
        <v>686</v>
      </c>
      <c r="N93" t="s">
        <v>689</v>
      </c>
      <c r="O93" t="s">
        <v>693</v>
      </c>
      <c r="P93" s="4">
        <v>27942379</v>
      </c>
      <c r="Q93">
        <v>0</v>
      </c>
      <c r="R93" s="7">
        <v>8.24</v>
      </c>
      <c r="S93" s="8">
        <f>Table13[[#This Row],[Discount_%]]/100</f>
        <v>8.2400000000000001E-2</v>
      </c>
      <c r="T93" s="6" t="s">
        <v>889</v>
      </c>
      <c r="U93" t="s">
        <v>992</v>
      </c>
      <c r="V93">
        <v>2024</v>
      </c>
      <c r="W93" t="s">
        <v>993</v>
      </c>
      <c r="X93" t="s">
        <v>997</v>
      </c>
      <c r="Y93" t="s">
        <v>1000</v>
      </c>
      <c r="Z93">
        <v>5</v>
      </c>
      <c r="AA93">
        <v>25</v>
      </c>
      <c r="AB93" s="4">
        <f>Table13[[#This Row],[Total_Price]]*(1-Table13[[#This Row],[Discount 2]])</f>
        <v>25639926.970399998</v>
      </c>
      <c r="AC93" s="4" t="str" cm="1">
        <f t="array" ref="AC93">_xlfn.IFS(Table13[[#This Row],[Revenue]]&gt;=30000000,"High Value",Table13[[#This Row],[Revenue]]&gt;=10000000,"Moderate Value",TRUE,"Low Value")</f>
        <v>Moderate Value</v>
      </c>
      <c r="AD93" t="str">
        <f>IF(Table13[[#This Row],[Discount 2]]&gt;=5%, "YES", "NO")</f>
        <v>YES</v>
      </c>
      <c r="AE93" t="str" cm="1">
        <f t="array" ref="AE93">_xlfn.IFS(Table13[[#This Row],[Revenue]]&gt;=30000000,"High Spender",Table13[[#This Row],[Revenue]]&gt;=10000000,"Moderate Spender",TRUE,"Low Spender")</f>
        <v>Moderate Spender</v>
      </c>
      <c r="AF93" s="4" t="str" cm="1">
        <f t="array" ref="AF93">_xlfn.IFS(Table13[[#This Row],[Land_Size_SQM]]&gt;=730,"LARGE",Table13[[#This Row],[Land_Size_SQM]]&gt;=465,"MEDIUM",TRUE,"SMALL")</f>
        <v>MEDIUM</v>
      </c>
    </row>
    <row r="94" spans="1:32" x14ac:dyDescent="0.3">
      <c r="A94" t="s">
        <v>234</v>
      </c>
      <c r="B94" t="s">
        <v>551</v>
      </c>
      <c r="C94" t="s">
        <v>627</v>
      </c>
      <c r="D94">
        <v>28</v>
      </c>
      <c r="E94" t="s">
        <v>630</v>
      </c>
      <c r="F94">
        <v>628</v>
      </c>
      <c r="G94" s="4">
        <v>41911</v>
      </c>
      <c r="H94" s="4">
        <v>26320108</v>
      </c>
      <c r="I94" t="s">
        <v>667</v>
      </c>
      <c r="J94" t="s">
        <v>671</v>
      </c>
      <c r="K94" t="s">
        <v>640</v>
      </c>
      <c r="L94" t="s">
        <v>682</v>
      </c>
      <c r="M94" t="s">
        <v>686</v>
      </c>
      <c r="N94" t="s">
        <v>690</v>
      </c>
      <c r="O94" t="s">
        <v>693</v>
      </c>
      <c r="P94" s="4">
        <v>26320108</v>
      </c>
      <c r="Q94">
        <v>0</v>
      </c>
      <c r="R94" s="7">
        <v>2.74</v>
      </c>
      <c r="S94" s="8">
        <f>Table13[[#This Row],[Discount_%]]/100</f>
        <v>2.7400000000000001E-2</v>
      </c>
      <c r="T94" s="6" t="s">
        <v>853</v>
      </c>
      <c r="U94" t="s">
        <v>982</v>
      </c>
      <c r="V94">
        <v>2024</v>
      </c>
      <c r="W94" t="s">
        <v>994</v>
      </c>
      <c r="X94" t="s">
        <v>997</v>
      </c>
      <c r="Y94" t="s">
        <v>1001</v>
      </c>
      <c r="Z94">
        <v>5</v>
      </c>
      <c r="AA94">
        <v>41</v>
      </c>
      <c r="AB94" s="4">
        <f>Table13[[#This Row],[Total_Price]]*(1-Table13[[#This Row],[Discount 2]])</f>
        <v>25598937.040800001</v>
      </c>
      <c r="AC94" s="4" t="str" cm="1">
        <f t="array" ref="AC94">_xlfn.IFS(Table13[[#This Row],[Revenue]]&gt;=30000000,"High Value",Table13[[#This Row],[Revenue]]&gt;=10000000,"Moderate Value",TRUE,"Low Value")</f>
        <v>Moderate Value</v>
      </c>
      <c r="AD94" t="str">
        <f>IF(Table13[[#This Row],[Discount 2]]&gt;=5%, "YES", "NO")</f>
        <v>NO</v>
      </c>
      <c r="AE94" t="str" cm="1">
        <f t="array" ref="AE94">_xlfn.IFS(Table13[[#This Row],[Revenue]]&gt;=30000000,"High Spender",Table13[[#This Row],[Revenue]]&gt;=10000000,"Moderate Spender",TRUE,"Low Spender")</f>
        <v>Moderate Spender</v>
      </c>
      <c r="AF94" s="4" t="str" cm="1">
        <f t="array" ref="AF94">_xlfn.IFS(Table13[[#This Row],[Land_Size_SQM]]&gt;=730,"LARGE",Table13[[#This Row],[Land_Size_SQM]]&gt;=465,"MEDIUM",TRUE,"SMALL")</f>
        <v>MEDIUM</v>
      </c>
    </row>
    <row r="95" spans="1:32" x14ac:dyDescent="0.3">
      <c r="A95" t="s">
        <v>128</v>
      </c>
      <c r="B95" t="s">
        <v>539</v>
      </c>
      <c r="C95" t="s">
        <v>627</v>
      </c>
      <c r="D95">
        <v>39</v>
      </c>
      <c r="E95" t="s">
        <v>630</v>
      </c>
      <c r="F95">
        <v>824</v>
      </c>
      <c r="G95" s="4">
        <v>33731</v>
      </c>
      <c r="H95" s="4">
        <v>27794344</v>
      </c>
      <c r="I95" t="s">
        <v>636</v>
      </c>
      <c r="J95" t="s">
        <v>671</v>
      </c>
      <c r="K95" t="s">
        <v>677</v>
      </c>
      <c r="L95" t="s">
        <v>682</v>
      </c>
      <c r="M95" t="s">
        <v>683</v>
      </c>
      <c r="N95" t="s">
        <v>691</v>
      </c>
      <c r="O95" t="s">
        <v>693</v>
      </c>
      <c r="P95" s="4">
        <v>27794344</v>
      </c>
      <c r="Q95">
        <v>0</v>
      </c>
      <c r="R95" s="7">
        <v>9.57</v>
      </c>
      <c r="S95" s="8">
        <f>Table13[[#This Row],[Discount_%]]/100</f>
        <v>9.5700000000000007E-2</v>
      </c>
      <c r="T95" s="6" t="s">
        <v>781</v>
      </c>
      <c r="U95" t="s">
        <v>992</v>
      </c>
      <c r="V95">
        <v>2024</v>
      </c>
      <c r="W95" t="s">
        <v>994</v>
      </c>
      <c r="X95" t="s">
        <v>998</v>
      </c>
      <c r="Y95" t="s">
        <v>1002</v>
      </c>
      <c r="Z95">
        <v>5</v>
      </c>
      <c r="AA95">
        <v>47</v>
      </c>
      <c r="AB95" s="4">
        <f>Table13[[#This Row],[Total_Price]]*(1-Table13[[#This Row],[Discount 2]])</f>
        <v>25134425.279199999</v>
      </c>
      <c r="AC95" s="4" t="str" cm="1">
        <f t="array" ref="AC95">_xlfn.IFS(Table13[[#This Row],[Revenue]]&gt;=30000000,"High Value",Table13[[#This Row],[Revenue]]&gt;=10000000,"Moderate Value",TRUE,"Low Value")</f>
        <v>Moderate Value</v>
      </c>
      <c r="AD95" t="str">
        <f>IF(Table13[[#This Row],[Discount 2]]&gt;=5%, "YES", "NO")</f>
        <v>YES</v>
      </c>
      <c r="AE95" t="str" cm="1">
        <f t="array" ref="AE95">_xlfn.IFS(Table13[[#This Row],[Revenue]]&gt;=30000000,"High Spender",Table13[[#This Row],[Revenue]]&gt;=10000000,"Moderate Spender",TRUE,"Low Spender")</f>
        <v>Moderate Spender</v>
      </c>
      <c r="AF95" s="4" t="str" cm="1">
        <f t="array" ref="AF95">_xlfn.IFS(Table13[[#This Row],[Land_Size_SQM]]&gt;=730,"LARGE",Table13[[#This Row],[Land_Size_SQM]]&gt;=465,"MEDIUM",TRUE,"SMALL")</f>
        <v>LARGE</v>
      </c>
    </row>
    <row r="96" spans="1:32" x14ac:dyDescent="0.3">
      <c r="A96" t="s">
        <v>308</v>
      </c>
      <c r="B96" t="s">
        <v>538</v>
      </c>
      <c r="C96" t="s">
        <v>626</v>
      </c>
      <c r="D96">
        <v>40</v>
      </c>
      <c r="E96" t="s">
        <v>630</v>
      </c>
      <c r="F96">
        <v>649</v>
      </c>
      <c r="G96" s="4">
        <v>42439</v>
      </c>
      <c r="H96" s="4">
        <v>27542911</v>
      </c>
      <c r="I96" t="s">
        <v>649</v>
      </c>
      <c r="J96" t="s">
        <v>669</v>
      </c>
      <c r="K96" t="s">
        <v>638</v>
      </c>
      <c r="L96" t="s">
        <v>682</v>
      </c>
      <c r="M96" t="s">
        <v>686</v>
      </c>
      <c r="N96" t="s">
        <v>692</v>
      </c>
      <c r="O96" t="s">
        <v>694</v>
      </c>
      <c r="P96" s="4">
        <v>12670633</v>
      </c>
      <c r="Q96">
        <v>12</v>
      </c>
      <c r="R96" s="7">
        <v>8.8800000000000008</v>
      </c>
      <c r="S96" s="8">
        <f>Table13[[#This Row],[Discount_%]]/100</f>
        <v>8.8800000000000004E-2</v>
      </c>
      <c r="T96" s="6" t="s">
        <v>904</v>
      </c>
      <c r="U96" t="s">
        <v>989</v>
      </c>
      <c r="V96">
        <v>2024</v>
      </c>
      <c r="W96" t="s">
        <v>993</v>
      </c>
      <c r="X96" t="s">
        <v>997</v>
      </c>
      <c r="Y96" t="s">
        <v>1000</v>
      </c>
      <c r="Z96">
        <v>4</v>
      </c>
      <c r="AA96">
        <v>30</v>
      </c>
      <c r="AB96" s="4">
        <f>Table13[[#This Row],[Total_Price]]*(1-Table13[[#This Row],[Discount 2]])</f>
        <v>25097100.503200002</v>
      </c>
      <c r="AC96" s="4" t="str" cm="1">
        <f t="array" ref="AC96">_xlfn.IFS(Table13[[#This Row],[Revenue]]&gt;=30000000,"High Value",Table13[[#This Row],[Revenue]]&gt;=10000000,"Moderate Value",TRUE,"Low Value")</f>
        <v>Moderate Value</v>
      </c>
      <c r="AD96" t="str">
        <f>IF(Table13[[#This Row],[Discount 2]]&gt;=5%, "YES", "NO")</f>
        <v>YES</v>
      </c>
      <c r="AE96" t="str" cm="1">
        <f t="array" ref="AE96">_xlfn.IFS(Table13[[#This Row],[Revenue]]&gt;=30000000,"High Spender",Table13[[#This Row],[Revenue]]&gt;=10000000,"Moderate Spender",TRUE,"Low Spender")</f>
        <v>Moderate Spender</v>
      </c>
      <c r="AF96" s="4" t="str" cm="1">
        <f t="array" ref="AF96">_xlfn.IFS(Table13[[#This Row],[Land_Size_SQM]]&gt;=730,"LARGE",Table13[[#This Row],[Land_Size_SQM]]&gt;=465,"MEDIUM",TRUE,"SMALL")</f>
        <v>MEDIUM</v>
      </c>
    </row>
    <row r="97" spans="1:32" x14ac:dyDescent="0.3">
      <c r="A97" t="s">
        <v>417</v>
      </c>
      <c r="B97" t="s">
        <v>589</v>
      </c>
      <c r="C97" t="s">
        <v>626</v>
      </c>
      <c r="D97">
        <v>29</v>
      </c>
      <c r="E97" t="s">
        <v>628</v>
      </c>
      <c r="F97">
        <v>707</v>
      </c>
      <c r="G97" s="4">
        <v>36555</v>
      </c>
      <c r="H97" s="4">
        <v>25844385</v>
      </c>
      <c r="I97" t="s">
        <v>659</v>
      </c>
      <c r="J97" t="s">
        <v>668</v>
      </c>
      <c r="K97" t="s">
        <v>638</v>
      </c>
      <c r="L97" t="s">
        <v>682</v>
      </c>
      <c r="M97" t="s">
        <v>687</v>
      </c>
      <c r="N97" t="s">
        <v>688</v>
      </c>
      <c r="O97" t="s">
        <v>693</v>
      </c>
      <c r="P97" s="4">
        <v>25844385</v>
      </c>
      <c r="Q97">
        <v>0</v>
      </c>
      <c r="R97" s="7">
        <v>2.91</v>
      </c>
      <c r="S97" s="8">
        <f>Table13[[#This Row],[Discount_%]]/100</f>
        <v>2.9100000000000001E-2</v>
      </c>
      <c r="T97" s="6" t="s">
        <v>951</v>
      </c>
      <c r="U97" t="s">
        <v>989</v>
      </c>
      <c r="V97">
        <v>2024</v>
      </c>
      <c r="W97" t="s">
        <v>995</v>
      </c>
      <c r="X97" t="s">
        <v>998</v>
      </c>
      <c r="Y97" t="s">
        <v>1001</v>
      </c>
      <c r="Z97">
        <v>1</v>
      </c>
      <c r="AA97">
        <v>36</v>
      </c>
      <c r="AB97" s="4">
        <f>Table13[[#This Row],[Total_Price]]*(1-Table13[[#This Row],[Discount 2]])</f>
        <v>25092313.396499999</v>
      </c>
      <c r="AC97" s="4" t="str" cm="1">
        <f t="array" ref="AC97">_xlfn.IFS(Table13[[#This Row],[Revenue]]&gt;=30000000,"High Value",Table13[[#This Row],[Revenue]]&gt;=10000000,"Moderate Value",TRUE,"Low Value")</f>
        <v>Moderate Value</v>
      </c>
      <c r="AD97" t="str">
        <f>IF(Table13[[#This Row],[Discount 2]]&gt;=5%, "YES", "NO")</f>
        <v>NO</v>
      </c>
      <c r="AE97" t="str" cm="1">
        <f t="array" ref="AE97">_xlfn.IFS(Table13[[#This Row],[Revenue]]&gt;=30000000,"High Spender",Table13[[#This Row],[Revenue]]&gt;=10000000,"Moderate Spender",TRUE,"Low Spender")</f>
        <v>Moderate Spender</v>
      </c>
      <c r="AF97" s="4" t="str" cm="1">
        <f t="array" ref="AF97">_xlfn.IFS(Table13[[#This Row],[Land_Size_SQM]]&gt;=730,"LARGE",Table13[[#This Row],[Land_Size_SQM]]&gt;=465,"MEDIUM",TRUE,"SMALL")</f>
        <v>MEDIUM</v>
      </c>
    </row>
    <row r="98" spans="1:32" x14ac:dyDescent="0.3">
      <c r="A98" t="s">
        <v>339</v>
      </c>
      <c r="B98" t="s">
        <v>590</v>
      </c>
      <c r="C98" t="s">
        <v>626</v>
      </c>
      <c r="D98">
        <v>23</v>
      </c>
      <c r="E98" t="s">
        <v>629</v>
      </c>
      <c r="F98">
        <v>988</v>
      </c>
      <c r="G98" s="4">
        <v>27111</v>
      </c>
      <c r="H98" s="4">
        <v>26785668</v>
      </c>
      <c r="I98" t="s">
        <v>632</v>
      </c>
      <c r="J98" t="s">
        <v>669</v>
      </c>
      <c r="K98" t="s">
        <v>640</v>
      </c>
      <c r="L98" t="s">
        <v>681</v>
      </c>
      <c r="M98" t="s">
        <v>685</v>
      </c>
      <c r="N98" t="s">
        <v>689</v>
      </c>
      <c r="O98" t="s">
        <v>693</v>
      </c>
      <c r="P98" s="4">
        <v>26785668</v>
      </c>
      <c r="Q98">
        <v>0</v>
      </c>
      <c r="R98" s="7">
        <v>6.61</v>
      </c>
      <c r="S98" s="8">
        <f>Table13[[#This Row],[Discount_%]]/100</f>
        <v>6.6100000000000006E-2</v>
      </c>
      <c r="T98" s="6" t="s">
        <v>922</v>
      </c>
      <c r="U98" t="s">
        <v>983</v>
      </c>
      <c r="V98">
        <v>2024</v>
      </c>
      <c r="W98" t="s">
        <v>996</v>
      </c>
      <c r="X98" t="s">
        <v>998</v>
      </c>
      <c r="Y98" t="s">
        <v>1002</v>
      </c>
      <c r="Z98">
        <v>4</v>
      </c>
      <c r="AA98">
        <v>20</v>
      </c>
      <c r="AB98" s="4">
        <f>Table13[[#This Row],[Total_Price]]*(1-Table13[[#This Row],[Discount 2]])</f>
        <v>25015135.345199998</v>
      </c>
      <c r="AC98" s="4" t="str" cm="1">
        <f t="array" ref="AC98">_xlfn.IFS(Table13[[#This Row],[Revenue]]&gt;=30000000,"High Value",Table13[[#This Row],[Revenue]]&gt;=10000000,"Moderate Value",TRUE,"Low Value")</f>
        <v>Moderate Value</v>
      </c>
      <c r="AD98" t="str">
        <f>IF(Table13[[#This Row],[Discount 2]]&gt;=5%, "YES", "NO")</f>
        <v>YES</v>
      </c>
      <c r="AE98" t="str" cm="1">
        <f t="array" ref="AE98">_xlfn.IFS(Table13[[#This Row],[Revenue]]&gt;=30000000,"High Spender",Table13[[#This Row],[Revenue]]&gt;=10000000,"Moderate Spender",TRUE,"Low Spender")</f>
        <v>Moderate Spender</v>
      </c>
      <c r="AF98" s="4" t="str" cm="1">
        <f t="array" ref="AF98">_xlfn.IFS(Table13[[#This Row],[Land_Size_SQM]]&gt;=730,"LARGE",Table13[[#This Row],[Land_Size_SQM]]&gt;=465,"MEDIUM",TRUE,"SMALL")</f>
        <v>LARGE</v>
      </c>
    </row>
    <row r="99" spans="1:32" x14ac:dyDescent="0.3">
      <c r="A99" t="s">
        <v>138</v>
      </c>
      <c r="B99" t="s">
        <v>589</v>
      </c>
      <c r="C99" t="s">
        <v>627</v>
      </c>
      <c r="D99">
        <v>38</v>
      </c>
      <c r="E99" t="s">
        <v>630</v>
      </c>
      <c r="F99">
        <v>552</v>
      </c>
      <c r="G99" s="4">
        <v>47900</v>
      </c>
      <c r="H99" s="4">
        <v>26440800</v>
      </c>
      <c r="I99" t="s">
        <v>664</v>
      </c>
      <c r="J99" t="s">
        <v>673</v>
      </c>
      <c r="K99" t="s">
        <v>640</v>
      </c>
      <c r="L99" t="s">
        <v>680</v>
      </c>
      <c r="M99" t="s">
        <v>683</v>
      </c>
      <c r="N99" t="s">
        <v>691</v>
      </c>
      <c r="O99" t="s">
        <v>693</v>
      </c>
      <c r="P99" s="4">
        <v>26440800</v>
      </c>
      <c r="Q99">
        <v>0</v>
      </c>
      <c r="R99" s="7">
        <v>5.41</v>
      </c>
      <c r="S99" s="8">
        <f>Table13[[#This Row],[Discount_%]]/100</f>
        <v>5.4100000000000002E-2</v>
      </c>
      <c r="T99" s="6" t="s">
        <v>789</v>
      </c>
      <c r="U99" t="s">
        <v>988</v>
      </c>
      <c r="V99">
        <v>2024</v>
      </c>
      <c r="W99" t="s">
        <v>994</v>
      </c>
      <c r="X99" t="s">
        <v>998</v>
      </c>
      <c r="Y99" t="s">
        <v>1002</v>
      </c>
      <c r="Z99">
        <v>4</v>
      </c>
      <c r="AA99">
        <v>25</v>
      </c>
      <c r="AB99" s="4">
        <f>Table13[[#This Row],[Total_Price]]*(1-Table13[[#This Row],[Discount 2]])</f>
        <v>25010352.719999999</v>
      </c>
      <c r="AC99" s="4" t="str" cm="1">
        <f t="array" ref="AC99">_xlfn.IFS(Table13[[#This Row],[Revenue]]&gt;=30000000,"High Value",Table13[[#This Row],[Revenue]]&gt;=10000000,"Moderate Value",TRUE,"Low Value")</f>
        <v>Moderate Value</v>
      </c>
      <c r="AD99" t="str">
        <f>IF(Table13[[#This Row],[Discount 2]]&gt;=5%, "YES", "NO")</f>
        <v>YES</v>
      </c>
      <c r="AE99" t="str" cm="1">
        <f t="array" ref="AE99">_xlfn.IFS(Table13[[#This Row],[Revenue]]&gt;=30000000,"High Spender",Table13[[#This Row],[Revenue]]&gt;=10000000,"Moderate Spender",TRUE,"Low Spender")</f>
        <v>Moderate Spender</v>
      </c>
      <c r="AF99" s="4" t="str" cm="1">
        <f t="array" ref="AF99">_xlfn.IFS(Table13[[#This Row],[Land_Size_SQM]]&gt;=730,"LARGE",Table13[[#This Row],[Land_Size_SQM]]&gt;=465,"MEDIUM",TRUE,"SMALL")</f>
        <v>MEDIUM</v>
      </c>
    </row>
    <row r="100" spans="1:32" x14ac:dyDescent="0.3">
      <c r="A100" t="s">
        <v>475</v>
      </c>
      <c r="B100" t="s">
        <v>538</v>
      </c>
      <c r="C100" t="s">
        <v>627</v>
      </c>
      <c r="D100">
        <v>30</v>
      </c>
      <c r="E100" t="s">
        <v>630</v>
      </c>
      <c r="F100">
        <v>593</v>
      </c>
      <c r="G100" s="4">
        <v>45193</v>
      </c>
      <c r="H100" s="4">
        <v>26799449</v>
      </c>
      <c r="I100" t="s">
        <v>633</v>
      </c>
      <c r="J100" t="s">
        <v>668</v>
      </c>
      <c r="K100" t="s">
        <v>678</v>
      </c>
      <c r="L100" t="s">
        <v>682</v>
      </c>
      <c r="M100" t="s">
        <v>686</v>
      </c>
      <c r="N100" t="s">
        <v>690</v>
      </c>
      <c r="O100" t="s">
        <v>693</v>
      </c>
      <c r="P100" s="4">
        <v>26799449</v>
      </c>
      <c r="Q100">
        <v>0</v>
      </c>
      <c r="R100" s="7">
        <v>6.99</v>
      </c>
      <c r="S100" s="8">
        <f>Table13[[#This Row],[Discount_%]]/100</f>
        <v>6.9900000000000004E-2</v>
      </c>
      <c r="T100" s="6" t="s">
        <v>813</v>
      </c>
      <c r="U100" t="s">
        <v>981</v>
      </c>
      <c r="V100">
        <v>2024</v>
      </c>
      <c r="W100" t="s">
        <v>993</v>
      </c>
      <c r="X100" t="s">
        <v>997</v>
      </c>
      <c r="Y100" t="s">
        <v>1001</v>
      </c>
      <c r="Z100">
        <v>2</v>
      </c>
      <c r="AA100">
        <v>32</v>
      </c>
      <c r="AB100" s="4">
        <f>Table13[[#This Row],[Total_Price]]*(1-Table13[[#This Row],[Discount 2]])</f>
        <v>24926167.514900003</v>
      </c>
      <c r="AC100" s="4" t="str" cm="1">
        <f t="array" ref="AC100">_xlfn.IFS(Table13[[#This Row],[Revenue]]&gt;=30000000,"High Value",Table13[[#This Row],[Revenue]]&gt;=10000000,"Moderate Value",TRUE,"Low Value")</f>
        <v>Moderate Value</v>
      </c>
      <c r="AD100" t="str">
        <f>IF(Table13[[#This Row],[Discount 2]]&gt;=5%, "YES", "NO")</f>
        <v>YES</v>
      </c>
      <c r="AE100" t="str" cm="1">
        <f t="array" ref="AE100">_xlfn.IFS(Table13[[#This Row],[Revenue]]&gt;=30000000,"High Spender",Table13[[#This Row],[Revenue]]&gt;=10000000,"Moderate Spender",TRUE,"Low Spender")</f>
        <v>Moderate Spender</v>
      </c>
      <c r="AF100" s="4" t="str" cm="1">
        <f t="array" ref="AF100">_xlfn.IFS(Table13[[#This Row],[Land_Size_SQM]]&gt;=730,"LARGE",Table13[[#This Row],[Land_Size_SQM]]&gt;=465,"MEDIUM",TRUE,"SMALL")</f>
        <v>MEDIUM</v>
      </c>
    </row>
    <row r="101" spans="1:32" x14ac:dyDescent="0.3">
      <c r="A101" t="s">
        <v>114</v>
      </c>
      <c r="B101" t="s">
        <v>562</v>
      </c>
      <c r="C101" t="s">
        <v>626</v>
      </c>
      <c r="D101">
        <v>64</v>
      </c>
      <c r="E101" t="s">
        <v>630</v>
      </c>
      <c r="F101">
        <v>711</v>
      </c>
      <c r="G101" s="4">
        <v>35930</v>
      </c>
      <c r="H101" s="4">
        <v>25546230</v>
      </c>
      <c r="I101" t="s">
        <v>664</v>
      </c>
      <c r="J101" t="s">
        <v>673</v>
      </c>
      <c r="K101" t="s">
        <v>638</v>
      </c>
      <c r="L101" t="s">
        <v>680</v>
      </c>
      <c r="M101" t="s">
        <v>685</v>
      </c>
      <c r="N101" t="s">
        <v>688</v>
      </c>
      <c r="O101" t="s">
        <v>694</v>
      </c>
      <c r="P101" s="4">
        <v>7115468</v>
      </c>
      <c r="Q101">
        <v>3</v>
      </c>
      <c r="R101" s="7">
        <v>2.6</v>
      </c>
      <c r="S101" s="8">
        <f>Table13[[#This Row],[Discount_%]]/100</f>
        <v>2.6000000000000002E-2</v>
      </c>
      <c r="T101" s="6" t="s">
        <v>772</v>
      </c>
      <c r="U101" t="s">
        <v>989</v>
      </c>
      <c r="V101">
        <v>2024</v>
      </c>
      <c r="W101" t="s">
        <v>993</v>
      </c>
      <c r="X101" t="s">
        <v>998</v>
      </c>
      <c r="Y101" t="s">
        <v>1000</v>
      </c>
      <c r="Z101">
        <v>4</v>
      </c>
      <c r="AA101">
        <v>6</v>
      </c>
      <c r="AB101" s="4">
        <f>Table13[[#This Row],[Total_Price]]*(1-Table13[[#This Row],[Discount 2]])</f>
        <v>24882028.02</v>
      </c>
      <c r="AC101" s="4" t="str" cm="1">
        <f t="array" ref="AC101">_xlfn.IFS(Table13[[#This Row],[Revenue]]&gt;=30000000,"High Value",Table13[[#This Row],[Revenue]]&gt;=10000000,"Moderate Value",TRUE,"Low Value")</f>
        <v>Moderate Value</v>
      </c>
      <c r="AD101" t="str">
        <f>IF(Table13[[#This Row],[Discount 2]]&gt;=5%, "YES", "NO")</f>
        <v>NO</v>
      </c>
      <c r="AE101" t="str" cm="1">
        <f t="array" ref="AE101">_xlfn.IFS(Table13[[#This Row],[Revenue]]&gt;=30000000,"High Spender",Table13[[#This Row],[Revenue]]&gt;=10000000,"Moderate Spender",TRUE,"Low Spender")</f>
        <v>Moderate Spender</v>
      </c>
      <c r="AF101" s="4" t="str" cm="1">
        <f t="array" ref="AF101">_xlfn.IFS(Table13[[#This Row],[Land_Size_SQM]]&gt;=730,"LARGE",Table13[[#This Row],[Land_Size_SQM]]&gt;=465,"MEDIUM",TRUE,"SMALL")</f>
        <v>MEDIUM</v>
      </c>
    </row>
    <row r="102" spans="1:32" x14ac:dyDescent="0.3">
      <c r="A102" t="s">
        <v>434</v>
      </c>
      <c r="B102" t="s">
        <v>550</v>
      </c>
      <c r="C102" t="s">
        <v>626</v>
      </c>
      <c r="D102">
        <v>49</v>
      </c>
      <c r="E102" t="s">
        <v>628</v>
      </c>
      <c r="F102">
        <v>931</v>
      </c>
      <c r="G102" s="4">
        <v>26750</v>
      </c>
      <c r="H102" s="4">
        <v>24904250</v>
      </c>
      <c r="I102" t="s">
        <v>644</v>
      </c>
      <c r="J102" t="s">
        <v>668</v>
      </c>
      <c r="K102" t="s">
        <v>638</v>
      </c>
      <c r="L102" t="s">
        <v>680</v>
      </c>
      <c r="M102" t="s">
        <v>684</v>
      </c>
      <c r="N102" t="s">
        <v>691</v>
      </c>
      <c r="O102" t="s">
        <v>693</v>
      </c>
      <c r="P102" s="4">
        <v>24904250</v>
      </c>
      <c r="Q102">
        <v>0</v>
      </c>
      <c r="R102" s="7">
        <v>1.05</v>
      </c>
      <c r="S102" s="8">
        <f>Table13[[#This Row],[Discount_%]]/100</f>
        <v>1.0500000000000001E-2</v>
      </c>
      <c r="T102" s="6" t="s">
        <v>905</v>
      </c>
      <c r="U102" t="s">
        <v>986</v>
      </c>
      <c r="V102">
        <v>2024</v>
      </c>
      <c r="W102" t="s">
        <v>993</v>
      </c>
      <c r="X102" t="s">
        <v>999</v>
      </c>
      <c r="Y102" t="s">
        <v>1000</v>
      </c>
      <c r="Z102">
        <v>4</v>
      </c>
      <c r="AA102">
        <v>9</v>
      </c>
      <c r="AB102" s="4">
        <f>Table13[[#This Row],[Total_Price]]*(1-Table13[[#This Row],[Discount 2]])</f>
        <v>24642755.375</v>
      </c>
      <c r="AC102" s="4" t="str" cm="1">
        <f t="array" ref="AC102">_xlfn.IFS(Table13[[#This Row],[Revenue]]&gt;=30000000,"High Value",Table13[[#This Row],[Revenue]]&gt;=10000000,"Moderate Value",TRUE,"Low Value")</f>
        <v>Moderate Value</v>
      </c>
      <c r="AD102" t="str">
        <f>IF(Table13[[#This Row],[Discount 2]]&gt;=5%, "YES", "NO")</f>
        <v>NO</v>
      </c>
      <c r="AE102" t="str" cm="1">
        <f t="array" ref="AE102">_xlfn.IFS(Table13[[#This Row],[Revenue]]&gt;=30000000,"High Spender",Table13[[#This Row],[Revenue]]&gt;=10000000,"Moderate Spender",TRUE,"Low Spender")</f>
        <v>Moderate Spender</v>
      </c>
      <c r="AF102" s="4" t="str" cm="1">
        <f t="array" ref="AF102">_xlfn.IFS(Table13[[#This Row],[Land_Size_SQM]]&gt;=730,"LARGE",Table13[[#This Row],[Land_Size_SQM]]&gt;=465,"MEDIUM",TRUE,"SMALL")</f>
        <v>LARGE</v>
      </c>
    </row>
    <row r="103" spans="1:32" x14ac:dyDescent="0.3">
      <c r="A103" t="s">
        <v>464</v>
      </c>
      <c r="B103" t="s">
        <v>555</v>
      </c>
      <c r="C103" t="s">
        <v>626</v>
      </c>
      <c r="D103">
        <v>37</v>
      </c>
      <c r="E103" t="s">
        <v>629</v>
      </c>
      <c r="F103">
        <v>710</v>
      </c>
      <c r="G103" s="4">
        <v>36006</v>
      </c>
      <c r="H103" s="4">
        <v>25564260</v>
      </c>
      <c r="I103" t="s">
        <v>644</v>
      </c>
      <c r="J103" t="s">
        <v>668</v>
      </c>
      <c r="K103" t="s">
        <v>651</v>
      </c>
      <c r="L103" t="s">
        <v>681</v>
      </c>
      <c r="M103" t="s">
        <v>686</v>
      </c>
      <c r="N103" t="s">
        <v>689</v>
      </c>
      <c r="O103" t="s">
        <v>694</v>
      </c>
      <c r="P103" s="4">
        <v>7581003</v>
      </c>
      <c r="Q103">
        <v>6</v>
      </c>
      <c r="R103" s="7">
        <v>3.74</v>
      </c>
      <c r="S103" s="8">
        <f>Table13[[#This Row],[Discount_%]]/100</f>
        <v>3.7400000000000003E-2</v>
      </c>
      <c r="T103" s="6" t="s">
        <v>966</v>
      </c>
      <c r="U103" t="s">
        <v>984</v>
      </c>
      <c r="V103">
        <v>2024</v>
      </c>
      <c r="W103" t="s">
        <v>996</v>
      </c>
      <c r="X103" t="s">
        <v>999</v>
      </c>
      <c r="Y103" t="s">
        <v>1000</v>
      </c>
      <c r="Z103">
        <v>4</v>
      </c>
      <c r="AA103">
        <v>16</v>
      </c>
      <c r="AB103" s="4">
        <f>Table13[[#This Row],[Total_Price]]*(1-Table13[[#This Row],[Discount 2]])</f>
        <v>24608156.675999999</v>
      </c>
      <c r="AC103" s="4" t="str" cm="1">
        <f t="array" ref="AC103">_xlfn.IFS(Table13[[#This Row],[Revenue]]&gt;=30000000,"High Value",Table13[[#This Row],[Revenue]]&gt;=10000000,"Moderate Value",TRUE,"Low Value")</f>
        <v>Moderate Value</v>
      </c>
      <c r="AD103" t="str">
        <f>IF(Table13[[#This Row],[Discount 2]]&gt;=5%, "YES", "NO")</f>
        <v>NO</v>
      </c>
      <c r="AE103" t="str" cm="1">
        <f t="array" ref="AE103">_xlfn.IFS(Table13[[#This Row],[Revenue]]&gt;=30000000,"High Spender",Table13[[#This Row],[Revenue]]&gt;=10000000,"Moderate Spender",TRUE,"Low Spender")</f>
        <v>Moderate Spender</v>
      </c>
      <c r="AF103" s="4" t="str" cm="1">
        <f t="array" ref="AF103">_xlfn.IFS(Table13[[#This Row],[Land_Size_SQM]]&gt;=730,"LARGE",Table13[[#This Row],[Land_Size_SQM]]&gt;=465,"MEDIUM",TRUE,"SMALL")</f>
        <v>MEDIUM</v>
      </c>
    </row>
    <row r="104" spans="1:32" x14ac:dyDescent="0.3">
      <c r="A104" t="s">
        <v>126</v>
      </c>
      <c r="B104" t="s">
        <v>582</v>
      </c>
      <c r="C104" t="s">
        <v>627</v>
      </c>
      <c r="D104">
        <v>32</v>
      </c>
      <c r="E104" t="s">
        <v>628</v>
      </c>
      <c r="F104">
        <v>993</v>
      </c>
      <c r="G104" s="4">
        <v>26916</v>
      </c>
      <c r="H104" s="4">
        <v>26727588</v>
      </c>
      <c r="I104" t="s">
        <v>659</v>
      </c>
      <c r="J104" t="s">
        <v>668</v>
      </c>
      <c r="K104" t="s">
        <v>674</v>
      </c>
      <c r="L104" t="s">
        <v>681</v>
      </c>
      <c r="M104" t="s">
        <v>687</v>
      </c>
      <c r="N104" t="s">
        <v>691</v>
      </c>
      <c r="O104" t="s">
        <v>693</v>
      </c>
      <c r="P104" s="4">
        <v>26727588</v>
      </c>
      <c r="Q104">
        <v>0</v>
      </c>
      <c r="R104" s="7">
        <v>8.2200000000000006</v>
      </c>
      <c r="S104" s="8">
        <f>Table13[[#This Row],[Discount_%]]/100</f>
        <v>8.2200000000000009E-2</v>
      </c>
      <c r="T104" s="6" t="s">
        <v>780</v>
      </c>
      <c r="U104" t="s">
        <v>992</v>
      </c>
      <c r="V104">
        <v>2024</v>
      </c>
      <c r="W104" t="s">
        <v>996</v>
      </c>
      <c r="X104" t="s">
        <v>998</v>
      </c>
      <c r="Y104" t="s">
        <v>1001</v>
      </c>
      <c r="Z104">
        <v>2</v>
      </c>
      <c r="AA104">
        <v>27</v>
      </c>
      <c r="AB104" s="4">
        <f>Table13[[#This Row],[Total_Price]]*(1-Table13[[#This Row],[Discount 2]])</f>
        <v>24530580.266399998</v>
      </c>
      <c r="AC104" s="4" t="str" cm="1">
        <f t="array" ref="AC104">_xlfn.IFS(Table13[[#This Row],[Revenue]]&gt;=30000000,"High Value",Table13[[#This Row],[Revenue]]&gt;=10000000,"Moderate Value",TRUE,"Low Value")</f>
        <v>Moderate Value</v>
      </c>
      <c r="AD104" t="str">
        <f>IF(Table13[[#This Row],[Discount 2]]&gt;=5%, "YES", "NO")</f>
        <v>YES</v>
      </c>
      <c r="AE104" t="str" cm="1">
        <f t="array" ref="AE104">_xlfn.IFS(Table13[[#This Row],[Revenue]]&gt;=30000000,"High Spender",Table13[[#This Row],[Revenue]]&gt;=10000000,"Moderate Spender",TRUE,"Low Spender")</f>
        <v>Moderate Spender</v>
      </c>
      <c r="AF104" s="4" t="str" cm="1">
        <f t="array" ref="AF104">_xlfn.IFS(Table13[[#This Row],[Land_Size_SQM]]&gt;=730,"LARGE",Table13[[#This Row],[Land_Size_SQM]]&gt;=465,"MEDIUM",TRUE,"SMALL")</f>
        <v>LARGE</v>
      </c>
    </row>
    <row r="105" spans="1:32" x14ac:dyDescent="0.3">
      <c r="A105" t="s">
        <v>181</v>
      </c>
      <c r="B105" t="s">
        <v>589</v>
      </c>
      <c r="C105" t="s">
        <v>627</v>
      </c>
      <c r="D105">
        <v>39</v>
      </c>
      <c r="E105" t="s">
        <v>629</v>
      </c>
      <c r="F105">
        <v>517</v>
      </c>
      <c r="G105" s="4">
        <v>47788</v>
      </c>
      <c r="H105" s="4">
        <v>24706396</v>
      </c>
      <c r="I105" t="s">
        <v>655</v>
      </c>
      <c r="J105" t="s">
        <v>672</v>
      </c>
      <c r="K105" t="s">
        <v>676</v>
      </c>
      <c r="L105" t="s">
        <v>682</v>
      </c>
      <c r="M105" t="s">
        <v>683</v>
      </c>
      <c r="N105" t="s">
        <v>689</v>
      </c>
      <c r="O105" t="s">
        <v>694</v>
      </c>
      <c r="P105" s="4">
        <v>5370473</v>
      </c>
      <c r="Q105">
        <v>6</v>
      </c>
      <c r="R105" s="7">
        <v>0.86</v>
      </c>
      <c r="S105" s="8">
        <f>Table13[[#This Row],[Discount_%]]/100</f>
        <v>8.6E-3</v>
      </c>
      <c r="T105" s="6" t="s">
        <v>817</v>
      </c>
      <c r="U105" t="s">
        <v>989</v>
      </c>
      <c r="V105">
        <v>2024</v>
      </c>
      <c r="W105" t="s">
        <v>993</v>
      </c>
      <c r="X105" t="s">
        <v>997</v>
      </c>
      <c r="Y105" t="s">
        <v>1000</v>
      </c>
      <c r="Z105">
        <v>1</v>
      </c>
      <c r="AA105">
        <v>11</v>
      </c>
      <c r="AB105" s="4">
        <f>Table13[[#This Row],[Total_Price]]*(1-Table13[[#This Row],[Discount 2]])</f>
        <v>24493920.994399998</v>
      </c>
      <c r="AC105" s="4" t="str" cm="1">
        <f t="array" ref="AC105">_xlfn.IFS(Table13[[#This Row],[Revenue]]&gt;=30000000,"High Value",Table13[[#This Row],[Revenue]]&gt;=10000000,"Moderate Value",TRUE,"Low Value")</f>
        <v>Moderate Value</v>
      </c>
      <c r="AD105" t="str">
        <f>IF(Table13[[#This Row],[Discount 2]]&gt;=5%, "YES", "NO")</f>
        <v>NO</v>
      </c>
      <c r="AE105" t="str" cm="1">
        <f t="array" ref="AE105">_xlfn.IFS(Table13[[#This Row],[Revenue]]&gt;=30000000,"High Spender",Table13[[#This Row],[Revenue]]&gt;=10000000,"Moderate Spender",TRUE,"Low Spender")</f>
        <v>Moderate Spender</v>
      </c>
      <c r="AF105" s="4" t="str" cm="1">
        <f t="array" ref="AF105">_xlfn.IFS(Table13[[#This Row],[Land_Size_SQM]]&gt;=730,"LARGE",Table13[[#This Row],[Land_Size_SQM]]&gt;=465,"MEDIUM",TRUE,"SMALL")</f>
        <v>MEDIUM</v>
      </c>
    </row>
    <row r="106" spans="1:32" x14ac:dyDescent="0.3">
      <c r="A106" t="s">
        <v>167</v>
      </c>
      <c r="B106" t="s">
        <v>548</v>
      </c>
      <c r="C106" t="s">
        <v>627</v>
      </c>
      <c r="D106">
        <v>55</v>
      </c>
      <c r="E106" t="s">
        <v>628</v>
      </c>
      <c r="F106">
        <v>628</v>
      </c>
      <c r="G106" s="4">
        <v>41087</v>
      </c>
      <c r="H106" s="4">
        <v>25802636</v>
      </c>
      <c r="I106" t="s">
        <v>656</v>
      </c>
      <c r="J106" t="s">
        <v>669</v>
      </c>
      <c r="K106" t="s">
        <v>640</v>
      </c>
      <c r="L106" t="s">
        <v>681</v>
      </c>
      <c r="M106" t="s">
        <v>687</v>
      </c>
      <c r="N106" t="s">
        <v>688</v>
      </c>
      <c r="O106" t="s">
        <v>693</v>
      </c>
      <c r="P106" s="4">
        <v>25802636</v>
      </c>
      <c r="Q106">
        <v>0</v>
      </c>
      <c r="R106" s="7">
        <v>5.75</v>
      </c>
      <c r="S106" s="8">
        <f>Table13[[#This Row],[Discount_%]]/100</f>
        <v>5.7500000000000002E-2</v>
      </c>
      <c r="T106" s="6" t="s">
        <v>807</v>
      </c>
      <c r="U106" t="s">
        <v>989</v>
      </c>
      <c r="V106">
        <v>2024</v>
      </c>
      <c r="W106" t="s">
        <v>996</v>
      </c>
      <c r="X106" t="s">
        <v>998</v>
      </c>
      <c r="Y106" t="s">
        <v>1002</v>
      </c>
      <c r="Z106">
        <v>5</v>
      </c>
      <c r="AA106">
        <v>4</v>
      </c>
      <c r="AB106" s="4">
        <f>Table13[[#This Row],[Total_Price]]*(1-Table13[[#This Row],[Discount 2]])</f>
        <v>24318984.43</v>
      </c>
      <c r="AC106" s="4" t="str" cm="1">
        <f t="array" ref="AC106">_xlfn.IFS(Table13[[#This Row],[Revenue]]&gt;=30000000,"High Value",Table13[[#This Row],[Revenue]]&gt;=10000000,"Moderate Value",TRUE,"Low Value")</f>
        <v>Moderate Value</v>
      </c>
      <c r="AD106" t="str">
        <f>IF(Table13[[#This Row],[Discount 2]]&gt;=5%, "YES", "NO")</f>
        <v>YES</v>
      </c>
      <c r="AE106" t="str" cm="1">
        <f t="array" ref="AE106">_xlfn.IFS(Table13[[#This Row],[Revenue]]&gt;=30000000,"High Spender",Table13[[#This Row],[Revenue]]&gt;=10000000,"Moderate Spender",TRUE,"Low Spender")</f>
        <v>Moderate Spender</v>
      </c>
      <c r="AF106" s="4" t="str" cm="1">
        <f t="array" ref="AF106">_xlfn.IFS(Table13[[#This Row],[Land_Size_SQM]]&gt;=730,"LARGE",Table13[[#This Row],[Land_Size_SQM]]&gt;=465,"MEDIUM",TRUE,"SMALL")</f>
        <v>MEDIUM</v>
      </c>
    </row>
    <row r="107" spans="1:32" x14ac:dyDescent="0.3">
      <c r="A107" t="s">
        <v>469</v>
      </c>
      <c r="B107" t="s">
        <v>617</v>
      </c>
      <c r="C107" t="s">
        <v>627</v>
      </c>
      <c r="D107">
        <v>48</v>
      </c>
      <c r="E107" t="s">
        <v>630</v>
      </c>
      <c r="F107">
        <v>765</v>
      </c>
      <c r="G107" s="4">
        <v>32719</v>
      </c>
      <c r="H107" s="4">
        <v>25030035</v>
      </c>
      <c r="I107" t="s">
        <v>656</v>
      </c>
      <c r="J107" t="s">
        <v>669</v>
      </c>
      <c r="K107" t="s">
        <v>674</v>
      </c>
      <c r="L107" t="s">
        <v>682</v>
      </c>
      <c r="M107" t="s">
        <v>685</v>
      </c>
      <c r="N107" t="s">
        <v>690</v>
      </c>
      <c r="O107" t="s">
        <v>694</v>
      </c>
      <c r="P107" s="4">
        <v>10952504</v>
      </c>
      <c r="Q107">
        <v>12</v>
      </c>
      <c r="R107" s="7">
        <v>3.13</v>
      </c>
      <c r="S107" s="8">
        <f>Table13[[#This Row],[Discount_%]]/100</f>
        <v>3.1300000000000001E-2</v>
      </c>
      <c r="T107" s="6" t="s">
        <v>967</v>
      </c>
      <c r="U107" t="s">
        <v>990</v>
      </c>
      <c r="V107">
        <v>2024</v>
      </c>
      <c r="W107" t="s">
        <v>996</v>
      </c>
      <c r="X107" t="s">
        <v>997</v>
      </c>
      <c r="Y107" t="s">
        <v>1000</v>
      </c>
      <c r="Z107">
        <v>3</v>
      </c>
      <c r="AA107">
        <v>48</v>
      </c>
      <c r="AB107" s="4">
        <f>Table13[[#This Row],[Total_Price]]*(1-Table13[[#This Row],[Discount 2]])</f>
        <v>24246594.9045</v>
      </c>
      <c r="AC107" s="4" t="str" cm="1">
        <f t="array" ref="AC107">_xlfn.IFS(Table13[[#This Row],[Revenue]]&gt;=30000000,"High Value",Table13[[#This Row],[Revenue]]&gt;=10000000,"Moderate Value",TRUE,"Low Value")</f>
        <v>Moderate Value</v>
      </c>
      <c r="AD107" t="str">
        <f>IF(Table13[[#This Row],[Discount 2]]&gt;=5%, "YES", "NO")</f>
        <v>NO</v>
      </c>
      <c r="AE107" t="str" cm="1">
        <f t="array" ref="AE107">_xlfn.IFS(Table13[[#This Row],[Revenue]]&gt;=30000000,"High Spender",Table13[[#This Row],[Revenue]]&gt;=10000000,"Moderate Spender",TRUE,"Low Spender")</f>
        <v>Moderate Spender</v>
      </c>
      <c r="AF107" s="4" t="str" cm="1">
        <f t="array" ref="AF107">_xlfn.IFS(Table13[[#This Row],[Land_Size_SQM]]&gt;=730,"LARGE",Table13[[#This Row],[Land_Size_SQM]]&gt;=465,"MEDIUM",TRUE,"SMALL")</f>
        <v>LARGE</v>
      </c>
    </row>
    <row r="108" spans="1:32" x14ac:dyDescent="0.3">
      <c r="A108" t="s">
        <v>429</v>
      </c>
      <c r="B108" t="s">
        <v>599</v>
      </c>
      <c r="C108" t="s">
        <v>627</v>
      </c>
      <c r="D108">
        <v>47</v>
      </c>
      <c r="E108" t="s">
        <v>630</v>
      </c>
      <c r="F108">
        <v>569</v>
      </c>
      <c r="G108" s="4">
        <v>43251</v>
      </c>
      <c r="H108" s="4">
        <v>24609819</v>
      </c>
      <c r="I108" t="s">
        <v>636</v>
      </c>
      <c r="J108" t="s">
        <v>671</v>
      </c>
      <c r="K108" t="s">
        <v>640</v>
      </c>
      <c r="L108" t="s">
        <v>681</v>
      </c>
      <c r="M108" t="s">
        <v>684</v>
      </c>
      <c r="N108" t="s">
        <v>692</v>
      </c>
      <c r="O108" t="s">
        <v>693</v>
      </c>
      <c r="P108" s="4">
        <v>24609819</v>
      </c>
      <c r="Q108">
        <v>0</v>
      </c>
      <c r="R108" s="7">
        <v>1.52</v>
      </c>
      <c r="S108" s="8">
        <f>Table13[[#This Row],[Discount_%]]/100</f>
        <v>1.52E-2</v>
      </c>
      <c r="T108" s="6" t="s">
        <v>868</v>
      </c>
      <c r="U108" t="s">
        <v>986</v>
      </c>
      <c r="V108">
        <v>2024</v>
      </c>
      <c r="W108" t="s">
        <v>994</v>
      </c>
      <c r="X108" t="s">
        <v>999</v>
      </c>
      <c r="Y108" t="s">
        <v>1002</v>
      </c>
      <c r="Z108">
        <v>2</v>
      </c>
      <c r="AA108">
        <v>50</v>
      </c>
      <c r="AB108" s="4">
        <f>Table13[[#This Row],[Total_Price]]*(1-Table13[[#This Row],[Discount 2]])</f>
        <v>24235749.751200002</v>
      </c>
      <c r="AC108" s="4" t="str" cm="1">
        <f t="array" ref="AC108">_xlfn.IFS(Table13[[#This Row],[Revenue]]&gt;=30000000,"High Value",Table13[[#This Row],[Revenue]]&gt;=10000000,"Moderate Value",TRUE,"Low Value")</f>
        <v>Moderate Value</v>
      </c>
      <c r="AD108" t="str">
        <f>IF(Table13[[#This Row],[Discount 2]]&gt;=5%, "YES", "NO")</f>
        <v>NO</v>
      </c>
      <c r="AE108" t="str" cm="1">
        <f t="array" ref="AE108">_xlfn.IFS(Table13[[#This Row],[Revenue]]&gt;=30000000,"High Spender",Table13[[#This Row],[Revenue]]&gt;=10000000,"Moderate Spender",TRUE,"Low Spender")</f>
        <v>Moderate Spender</v>
      </c>
      <c r="AF108" s="4" t="str" cm="1">
        <f t="array" ref="AF108">_xlfn.IFS(Table13[[#This Row],[Land_Size_SQM]]&gt;=730,"LARGE",Table13[[#This Row],[Land_Size_SQM]]&gt;=465,"MEDIUM",TRUE,"SMALL")</f>
        <v>MEDIUM</v>
      </c>
    </row>
    <row r="109" spans="1:32" x14ac:dyDescent="0.3">
      <c r="A109" t="s">
        <v>384</v>
      </c>
      <c r="B109" t="s">
        <v>551</v>
      </c>
      <c r="C109" t="s">
        <v>626</v>
      </c>
      <c r="D109">
        <v>63</v>
      </c>
      <c r="E109" t="s">
        <v>630</v>
      </c>
      <c r="F109">
        <v>980</v>
      </c>
      <c r="G109" s="4">
        <v>25674</v>
      </c>
      <c r="H109" s="4">
        <v>25160520</v>
      </c>
      <c r="I109" t="s">
        <v>640</v>
      </c>
      <c r="J109" t="s">
        <v>672</v>
      </c>
      <c r="K109" t="s">
        <v>678</v>
      </c>
      <c r="L109" t="s">
        <v>680</v>
      </c>
      <c r="M109" t="s">
        <v>686</v>
      </c>
      <c r="N109" t="s">
        <v>691</v>
      </c>
      <c r="O109" t="s">
        <v>694</v>
      </c>
      <c r="P109" s="4">
        <v>5652924</v>
      </c>
      <c r="Q109">
        <v>3</v>
      </c>
      <c r="R109" s="7">
        <v>4.9400000000000004</v>
      </c>
      <c r="S109" s="8">
        <f>Table13[[#This Row],[Discount_%]]/100</f>
        <v>4.9400000000000006E-2</v>
      </c>
      <c r="T109" s="6" t="s">
        <v>761</v>
      </c>
      <c r="U109" t="s">
        <v>991</v>
      </c>
      <c r="V109">
        <v>2024</v>
      </c>
      <c r="W109" t="s">
        <v>994</v>
      </c>
      <c r="X109" t="s">
        <v>998</v>
      </c>
      <c r="Y109" t="s">
        <v>1000</v>
      </c>
      <c r="Z109">
        <v>1</v>
      </c>
      <c r="AA109">
        <v>31</v>
      </c>
      <c r="AB109" s="4">
        <f>Table13[[#This Row],[Total_Price]]*(1-Table13[[#This Row],[Discount 2]])</f>
        <v>23917590.311999999</v>
      </c>
      <c r="AC109" s="4" t="str" cm="1">
        <f t="array" ref="AC109">_xlfn.IFS(Table13[[#This Row],[Revenue]]&gt;=30000000,"High Value",Table13[[#This Row],[Revenue]]&gt;=10000000,"Moderate Value",TRUE,"Low Value")</f>
        <v>Moderate Value</v>
      </c>
      <c r="AD109" t="str">
        <f>IF(Table13[[#This Row],[Discount 2]]&gt;=5%, "YES", "NO")</f>
        <v>NO</v>
      </c>
      <c r="AE109" t="str" cm="1">
        <f t="array" ref="AE109">_xlfn.IFS(Table13[[#This Row],[Revenue]]&gt;=30000000,"High Spender",Table13[[#This Row],[Revenue]]&gt;=10000000,"Moderate Spender",TRUE,"Low Spender")</f>
        <v>Moderate Spender</v>
      </c>
      <c r="AF109" s="4" t="str" cm="1">
        <f t="array" ref="AF109">_xlfn.IFS(Table13[[#This Row],[Land_Size_SQM]]&gt;=730,"LARGE",Table13[[#This Row],[Land_Size_SQM]]&gt;=465,"MEDIUM",TRUE,"SMALL")</f>
        <v>LARGE</v>
      </c>
    </row>
    <row r="110" spans="1:32" x14ac:dyDescent="0.3">
      <c r="A110" t="s">
        <v>70</v>
      </c>
      <c r="B110" t="s">
        <v>560</v>
      </c>
      <c r="C110" t="s">
        <v>626</v>
      </c>
      <c r="D110">
        <v>64</v>
      </c>
      <c r="E110" t="s">
        <v>630</v>
      </c>
      <c r="F110">
        <v>570</v>
      </c>
      <c r="G110" s="4">
        <v>42804</v>
      </c>
      <c r="H110" s="4">
        <v>24398280</v>
      </c>
      <c r="I110" t="s">
        <v>641</v>
      </c>
      <c r="J110" t="s">
        <v>673</v>
      </c>
      <c r="K110" t="s">
        <v>675</v>
      </c>
      <c r="L110" t="s">
        <v>680</v>
      </c>
      <c r="M110" t="s">
        <v>685</v>
      </c>
      <c r="N110" t="s">
        <v>692</v>
      </c>
      <c r="O110" t="s">
        <v>694</v>
      </c>
      <c r="P110" s="4">
        <v>10442395</v>
      </c>
      <c r="Q110">
        <v>24</v>
      </c>
      <c r="R110" s="7">
        <v>2.04</v>
      </c>
      <c r="S110" s="8">
        <f>Table13[[#This Row],[Discount_%]]/100</f>
        <v>2.0400000000000001E-2</v>
      </c>
      <c r="T110" s="6" t="s">
        <v>728</v>
      </c>
      <c r="U110" t="s">
        <v>985</v>
      </c>
      <c r="V110">
        <v>2024</v>
      </c>
      <c r="W110" t="s">
        <v>996</v>
      </c>
      <c r="X110" t="s">
        <v>997</v>
      </c>
      <c r="Y110" t="s">
        <v>1000</v>
      </c>
      <c r="Z110">
        <v>3</v>
      </c>
      <c r="AA110">
        <v>36</v>
      </c>
      <c r="AB110" s="4">
        <f>Table13[[#This Row],[Total_Price]]*(1-Table13[[#This Row],[Discount 2]])</f>
        <v>23900555.088</v>
      </c>
      <c r="AC110" s="4" t="str" cm="1">
        <f t="array" ref="AC110">_xlfn.IFS(Table13[[#This Row],[Revenue]]&gt;=30000000,"High Value",Table13[[#This Row],[Revenue]]&gt;=10000000,"Moderate Value",TRUE,"Low Value")</f>
        <v>Moderate Value</v>
      </c>
      <c r="AD110" t="str">
        <f>IF(Table13[[#This Row],[Discount 2]]&gt;=5%, "YES", "NO")</f>
        <v>NO</v>
      </c>
      <c r="AE110" t="str" cm="1">
        <f t="array" ref="AE110">_xlfn.IFS(Table13[[#This Row],[Revenue]]&gt;=30000000,"High Spender",Table13[[#This Row],[Revenue]]&gt;=10000000,"Moderate Spender",TRUE,"Low Spender")</f>
        <v>Moderate Spender</v>
      </c>
      <c r="AF110" s="4" t="str" cm="1">
        <f t="array" ref="AF110">_xlfn.IFS(Table13[[#This Row],[Land_Size_SQM]]&gt;=730,"LARGE",Table13[[#This Row],[Land_Size_SQM]]&gt;=465,"MEDIUM",TRUE,"SMALL")</f>
        <v>MEDIUM</v>
      </c>
    </row>
    <row r="111" spans="1:32" x14ac:dyDescent="0.3">
      <c r="A111" t="s">
        <v>408</v>
      </c>
      <c r="B111" t="s">
        <v>530</v>
      </c>
      <c r="C111" t="s">
        <v>626</v>
      </c>
      <c r="D111">
        <v>42</v>
      </c>
      <c r="E111" t="s">
        <v>629</v>
      </c>
      <c r="F111">
        <v>930</v>
      </c>
      <c r="G111" s="4">
        <v>27132</v>
      </c>
      <c r="H111" s="4">
        <v>25232760</v>
      </c>
      <c r="I111" t="s">
        <v>634</v>
      </c>
      <c r="J111" t="s">
        <v>670</v>
      </c>
      <c r="K111" t="s">
        <v>679</v>
      </c>
      <c r="L111" t="s">
        <v>682</v>
      </c>
      <c r="M111" t="s">
        <v>686</v>
      </c>
      <c r="N111" t="s">
        <v>689</v>
      </c>
      <c r="O111" t="s">
        <v>694</v>
      </c>
      <c r="P111" s="4">
        <v>5599570</v>
      </c>
      <c r="Q111">
        <v>12</v>
      </c>
      <c r="R111" s="7">
        <v>5.57</v>
      </c>
      <c r="S111" s="8">
        <f>Table13[[#This Row],[Discount_%]]/100</f>
        <v>5.57E-2</v>
      </c>
      <c r="T111" s="6" t="s">
        <v>730</v>
      </c>
      <c r="U111" t="s">
        <v>988</v>
      </c>
      <c r="V111">
        <v>2024</v>
      </c>
      <c r="W111" t="s">
        <v>993</v>
      </c>
      <c r="X111" t="s">
        <v>998</v>
      </c>
      <c r="Y111" t="s">
        <v>1001</v>
      </c>
      <c r="Z111">
        <v>5</v>
      </c>
      <c r="AA111">
        <v>25</v>
      </c>
      <c r="AB111" s="4">
        <f>Table13[[#This Row],[Total_Price]]*(1-Table13[[#This Row],[Discount 2]])</f>
        <v>23827295.267999999</v>
      </c>
      <c r="AC111" s="4" t="str" cm="1">
        <f t="array" ref="AC111">_xlfn.IFS(Table13[[#This Row],[Revenue]]&gt;=30000000,"High Value",Table13[[#This Row],[Revenue]]&gt;=10000000,"Moderate Value",TRUE,"Low Value")</f>
        <v>Moderate Value</v>
      </c>
      <c r="AD111" t="str">
        <f>IF(Table13[[#This Row],[Discount 2]]&gt;=5%, "YES", "NO")</f>
        <v>YES</v>
      </c>
      <c r="AE111" t="str" cm="1">
        <f t="array" ref="AE111">_xlfn.IFS(Table13[[#This Row],[Revenue]]&gt;=30000000,"High Spender",Table13[[#This Row],[Revenue]]&gt;=10000000,"Moderate Spender",TRUE,"Low Spender")</f>
        <v>Moderate Spender</v>
      </c>
      <c r="AF111" s="4" t="str" cm="1">
        <f t="array" ref="AF111">_xlfn.IFS(Table13[[#This Row],[Land_Size_SQM]]&gt;=730,"LARGE",Table13[[#This Row],[Land_Size_SQM]]&gt;=465,"MEDIUM",TRUE,"SMALL")</f>
        <v>LARGE</v>
      </c>
    </row>
    <row r="112" spans="1:32" x14ac:dyDescent="0.3">
      <c r="A112" t="s">
        <v>514</v>
      </c>
      <c r="B112" t="s">
        <v>618</v>
      </c>
      <c r="C112" t="s">
        <v>626</v>
      </c>
      <c r="D112">
        <v>21</v>
      </c>
      <c r="E112" t="s">
        <v>629</v>
      </c>
      <c r="F112">
        <v>931</v>
      </c>
      <c r="G112" s="4">
        <v>26388</v>
      </c>
      <c r="H112" s="4">
        <v>24567228</v>
      </c>
      <c r="I112" t="s">
        <v>659</v>
      </c>
      <c r="J112" t="s">
        <v>668</v>
      </c>
      <c r="K112" t="s">
        <v>679</v>
      </c>
      <c r="L112" t="s">
        <v>680</v>
      </c>
      <c r="M112" t="s">
        <v>685</v>
      </c>
      <c r="N112" t="s">
        <v>690</v>
      </c>
      <c r="O112" t="s">
        <v>693</v>
      </c>
      <c r="P112" s="4">
        <v>24567228</v>
      </c>
      <c r="Q112">
        <v>0</v>
      </c>
      <c r="R112" s="7">
        <v>4.2</v>
      </c>
      <c r="S112" s="8">
        <f>Table13[[#This Row],[Discount_%]]/100</f>
        <v>4.2000000000000003E-2</v>
      </c>
      <c r="T112" s="6" t="s">
        <v>979</v>
      </c>
      <c r="U112" t="s">
        <v>987</v>
      </c>
      <c r="V112">
        <v>2024</v>
      </c>
      <c r="W112" t="s">
        <v>993</v>
      </c>
      <c r="X112" t="s">
        <v>997</v>
      </c>
      <c r="Y112" t="s">
        <v>1000</v>
      </c>
      <c r="Z112">
        <v>5</v>
      </c>
      <c r="AA112">
        <v>27</v>
      </c>
      <c r="AB112" s="4">
        <f>Table13[[#This Row],[Total_Price]]*(1-Table13[[#This Row],[Discount 2]])</f>
        <v>23535404.423999999</v>
      </c>
      <c r="AC112" s="4" t="str" cm="1">
        <f t="array" ref="AC112">_xlfn.IFS(Table13[[#This Row],[Revenue]]&gt;=30000000,"High Value",Table13[[#This Row],[Revenue]]&gt;=10000000,"Moderate Value",TRUE,"Low Value")</f>
        <v>Moderate Value</v>
      </c>
      <c r="AD112" t="str">
        <f>IF(Table13[[#This Row],[Discount 2]]&gt;=5%, "YES", "NO")</f>
        <v>NO</v>
      </c>
      <c r="AE112" t="str" cm="1">
        <f t="array" ref="AE112">_xlfn.IFS(Table13[[#This Row],[Revenue]]&gt;=30000000,"High Spender",Table13[[#This Row],[Revenue]]&gt;=10000000,"Moderate Spender",TRUE,"Low Spender")</f>
        <v>Moderate Spender</v>
      </c>
      <c r="AF112" s="4" t="str" cm="1">
        <f t="array" ref="AF112">_xlfn.IFS(Table13[[#This Row],[Land_Size_SQM]]&gt;=730,"LARGE",Table13[[#This Row],[Land_Size_SQM]]&gt;=465,"MEDIUM",TRUE,"SMALL")</f>
        <v>LARGE</v>
      </c>
    </row>
    <row r="113" spans="1:32" x14ac:dyDescent="0.3">
      <c r="A113" t="s">
        <v>496</v>
      </c>
      <c r="B113" t="s">
        <v>553</v>
      </c>
      <c r="C113" t="s">
        <v>626</v>
      </c>
      <c r="D113">
        <v>40</v>
      </c>
      <c r="E113" t="s">
        <v>628</v>
      </c>
      <c r="F113">
        <v>584</v>
      </c>
      <c r="G113" s="4">
        <v>41517</v>
      </c>
      <c r="H113" s="4">
        <v>24245928</v>
      </c>
      <c r="I113" t="s">
        <v>656</v>
      </c>
      <c r="J113" t="s">
        <v>669</v>
      </c>
      <c r="K113" t="s">
        <v>664</v>
      </c>
      <c r="L113" t="s">
        <v>681</v>
      </c>
      <c r="M113" t="s">
        <v>684</v>
      </c>
      <c r="N113" t="s">
        <v>691</v>
      </c>
      <c r="O113" t="s">
        <v>694</v>
      </c>
      <c r="P113" s="4">
        <v>8291369</v>
      </c>
      <c r="Q113">
        <v>24</v>
      </c>
      <c r="R113" s="7">
        <v>3.37</v>
      </c>
      <c r="S113" s="8">
        <f>Table13[[#This Row],[Discount_%]]/100</f>
        <v>3.3700000000000001E-2</v>
      </c>
      <c r="T113" s="6" t="s">
        <v>971</v>
      </c>
      <c r="U113" t="s">
        <v>989</v>
      </c>
      <c r="V113">
        <v>2024</v>
      </c>
      <c r="W113" t="s">
        <v>993</v>
      </c>
      <c r="X113" t="s">
        <v>998</v>
      </c>
      <c r="Y113" t="s">
        <v>1002</v>
      </c>
      <c r="Z113">
        <v>1</v>
      </c>
      <c r="AA113">
        <v>1</v>
      </c>
      <c r="AB113" s="4">
        <f>Table13[[#This Row],[Total_Price]]*(1-Table13[[#This Row],[Discount 2]])</f>
        <v>23428840.226400003</v>
      </c>
      <c r="AC113" s="4" t="str" cm="1">
        <f t="array" ref="AC113">_xlfn.IFS(Table13[[#This Row],[Revenue]]&gt;=30000000,"High Value",Table13[[#This Row],[Revenue]]&gt;=10000000,"Moderate Value",TRUE,"Low Value")</f>
        <v>Moderate Value</v>
      </c>
      <c r="AD113" t="str">
        <f>IF(Table13[[#This Row],[Discount 2]]&gt;=5%, "YES", "NO")</f>
        <v>NO</v>
      </c>
      <c r="AE113" t="str" cm="1">
        <f t="array" ref="AE113">_xlfn.IFS(Table13[[#This Row],[Revenue]]&gt;=30000000,"High Spender",Table13[[#This Row],[Revenue]]&gt;=10000000,"Moderate Spender",TRUE,"Low Spender")</f>
        <v>Moderate Spender</v>
      </c>
      <c r="AF113" s="4" t="str" cm="1">
        <f t="array" ref="AF113">_xlfn.IFS(Table13[[#This Row],[Land_Size_SQM]]&gt;=730,"LARGE",Table13[[#This Row],[Land_Size_SQM]]&gt;=465,"MEDIUM",TRUE,"SMALL")</f>
        <v>MEDIUM</v>
      </c>
    </row>
    <row r="114" spans="1:32" x14ac:dyDescent="0.3">
      <c r="A114" t="s">
        <v>420</v>
      </c>
      <c r="B114" t="s">
        <v>557</v>
      </c>
      <c r="C114" t="s">
        <v>627</v>
      </c>
      <c r="D114">
        <v>28</v>
      </c>
      <c r="E114" t="s">
        <v>628</v>
      </c>
      <c r="F114">
        <v>908</v>
      </c>
      <c r="G114" s="4">
        <v>28548</v>
      </c>
      <c r="H114" s="4">
        <v>25921584</v>
      </c>
      <c r="I114" t="s">
        <v>632</v>
      </c>
      <c r="J114" t="s">
        <v>669</v>
      </c>
      <c r="K114" t="s">
        <v>678</v>
      </c>
      <c r="L114" t="s">
        <v>680</v>
      </c>
      <c r="M114" t="s">
        <v>683</v>
      </c>
      <c r="N114" t="s">
        <v>689</v>
      </c>
      <c r="O114" t="s">
        <v>694</v>
      </c>
      <c r="P114" s="4">
        <v>9994062</v>
      </c>
      <c r="Q114">
        <v>12</v>
      </c>
      <c r="R114" s="7">
        <v>9.74</v>
      </c>
      <c r="S114" s="8">
        <f>Table13[[#This Row],[Discount_%]]/100</f>
        <v>9.74E-2</v>
      </c>
      <c r="T114" s="6" t="s">
        <v>768</v>
      </c>
      <c r="U114" t="s">
        <v>991</v>
      </c>
      <c r="V114">
        <v>2024</v>
      </c>
      <c r="W114" t="s">
        <v>993</v>
      </c>
      <c r="X114" t="s">
        <v>997</v>
      </c>
      <c r="Y114" t="s">
        <v>1000</v>
      </c>
      <c r="Z114">
        <v>1</v>
      </c>
      <c r="AA114">
        <v>14</v>
      </c>
      <c r="AB114" s="4">
        <f>Table13[[#This Row],[Total_Price]]*(1-Table13[[#This Row],[Discount 2]])</f>
        <v>23396821.718399998</v>
      </c>
      <c r="AC114" s="4" t="str" cm="1">
        <f t="array" ref="AC114">_xlfn.IFS(Table13[[#This Row],[Revenue]]&gt;=30000000,"High Value",Table13[[#This Row],[Revenue]]&gt;=10000000,"Moderate Value",TRUE,"Low Value")</f>
        <v>Moderate Value</v>
      </c>
      <c r="AD114" t="str">
        <f>IF(Table13[[#This Row],[Discount 2]]&gt;=5%, "YES", "NO")</f>
        <v>YES</v>
      </c>
      <c r="AE114" t="str" cm="1">
        <f t="array" ref="AE114">_xlfn.IFS(Table13[[#This Row],[Revenue]]&gt;=30000000,"High Spender",Table13[[#This Row],[Revenue]]&gt;=10000000,"Moderate Spender",TRUE,"Low Spender")</f>
        <v>Moderate Spender</v>
      </c>
      <c r="AF114" s="4" t="str" cm="1">
        <f t="array" ref="AF114">_xlfn.IFS(Table13[[#This Row],[Land_Size_SQM]]&gt;=730,"LARGE",Table13[[#This Row],[Land_Size_SQM]]&gt;=465,"MEDIUM",TRUE,"SMALL")</f>
        <v>LARGE</v>
      </c>
    </row>
    <row r="115" spans="1:32" x14ac:dyDescent="0.3">
      <c r="A115" t="s">
        <v>242</v>
      </c>
      <c r="B115" t="s">
        <v>561</v>
      </c>
      <c r="C115" t="s">
        <v>627</v>
      </c>
      <c r="D115">
        <v>26</v>
      </c>
      <c r="E115" t="s">
        <v>628</v>
      </c>
      <c r="F115">
        <v>726</v>
      </c>
      <c r="G115" s="4">
        <v>35340</v>
      </c>
      <c r="H115" s="4">
        <v>25656840</v>
      </c>
      <c r="I115" t="s">
        <v>652</v>
      </c>
      <c r="J115" t="s">
        <v>672</v>
      </c>
      <c r="K115" t="s">
        <v>651</v>
      </c>
      <c r="L115" t="s">
        <v>682</v>
      </c>
      <c r="M115" t="s">
        <v>686</v>
      </c>
      <c r="N115" t="s">
        <v>689</v>
      </c>
      <c r="O115" t="s">
        <v>694</v>
      </c>
      <c r="P115" s="4">
        <v>5468897</v>
      </c>
      <c r="Q115">
        <v>24</v>
      </c>
      <c r="R115" s="7">
        <v>8.98</v>
      </c>
      <c r="S115" s="8">
        <f>Table13[[#This Row],[Discount_%]]/100</f>
        <v>8.9800000000000005E-2</v>
      </c>
      <c r="T115" s="6" t="s">
        <v>859</v>
      </c>
      <c r="U115" t="s">
        <v>990</v>
      </c>
      <c r="V115">
        <v>2024</v>
      </c>
      <c r="W115" t="s">
        <v>993</v>
      </c>
      <c r="X115" t="s">
        <v>999</v>
      </c>
      <c r="Y115" t="s">
        <v>1001</v>
      </c>
      <c r="Z115">
        <v>2</v>
      </c>
      <c r="AA115">
        <v>44</v>
      </c>
      <c r="AB115" s="4">
        <f>Table13[[#This Row],[Total_Price]]*(1-Table13[[#This Row],[Discount 2]])</f>
        <v>23352855.767999999</v>
      </c>
      <c r="AC115" s="4" t="str" cm="1">
        <f t="array" ref="AC115">_xlfn.IFS(Table13[[#This Row],[Revenue]]&gt;=30000000,"High Value",Table13[[#This Row],[Revenue]]&gt;=10000000,"Moderate Value",TRUE,"Low Value")</f>
        <v>Moderate Value</v>
      </c>
      <c r="AD115" t="str">
        <f>IF(Table13[[#This Row],[Discount 2]]&gt;=5%, "YES", "NO")</f>
        <v>YES</v>
      </c>
      <c r="AE115" t="str" cm="1">
        <f t="array" ref="AE115">_xlfn.IFS(Table13[[#This Row],[Revenue]]&gt;=30000000,"High Spender",Table13[[#This Row],[Revenue]]&gt;=10000000,"Moderate Spender",TRUE,"Low Spender")</f>
        <v>Moderate Spender</v>
      </c>
      <c r="AF115" s="4" t="str" cm="1">
        <f t="array" ref="AF115">_xlfn.IFS(Table13[[#This Row],[Land_Size_SQM]]&gt;=730,"LARGE",Table13[[#This Row],[Land_Size_SQM]]&gt;=465,"MEDIUM",TRUE,"SMALL")</f>
        <v>MEDIUM</v>
      </c>
    </row>
    <row r="116" spans="1:32" x14ac:dyDescent="0.3">
      <c r="A116" t="s">
        <v>305</v>
      </c>
      <c r="B116" t="s">
        <v>595</v>
      </c>
      <c r="C116" t="s">
        <v>626</v>
      </c>
      <c r="D116">
        <v>24</v>
      </c>
      <c r="E116" t="s">
        <v>629</v>
      </c>
      <c r="F116">
        <v>516</v>
      </c>
      <c r="G116" s="4">
        <v>47123</v>
      </c>
      <c r="H116" s="4">
        <v>24315468</v>
      </c>
      <c r="I116" t="s">
        <v>653</v>
      </c>
      <c r="J116" t="s">
        <v>668</v>
      </c>
      <c r="K116" t="s">
        <v>638</v>
      </c>
      <c r="L116" t="s">
        <v>682</v>
      </c>
      <c r="M116" t="s">
        <v>685</v>
      </c>
      <c r="N116" t="s">
        <v>688</v>
      </c>
      <c r="O116" t="s">
        <v>693</v>
      </c>
      <c r="P116" s="4">
        <v>24315468</v>
      </c>
      <c r="Q116">
        <v>0</v>
      </c>
      <c r="R116" s="7">
        <v>4.3</v>
      </c>
      <c r="S116" s="8">
        <f>Table13[[#This Row],[Discount_%]]/100</f>
        <v>4.2999999999999997E-2</v>
      </c>
      <c r="T116" s="6" t="s">
        <v>748</v>
      </c>
      <c r="U116" t="s">
        <v>987</v>
      </c>
      <c r="V116">
        <v>2024</v>
      </c>
      <c r="W116" t="s">
        <v>994</v>
      </c>
      <c r="X116" t="s">
        <v>999</v>
      </c>
      <c r="Y116" t="s">
        <v>1001</v>
      </c>
      <c r="Z116">
        <v>1</v>
      </c>
      <c r="AA116">
        <v>49</v>
      </c>
      <c r="AB116" s="4">
        <f>Table13[[#This Row],[Total_Price]]*(1-Table13[[#This Row],[Discount 2]])</f>
        <v>23269902.875999998</v>
      </c>
      <c r="AC116" s="4" t="str" cm="1">
        <f t="array" ref="AC116">_xlfn.IFS(Table13[[#This Row],[Revenue]]&gt;=30000000,"High Value",Table13[[#This Row],[Revenue]]&gt;=10000000,"Moderate Value",TRUE,"Low Value")</f>
        <v>Moderate Value</v>
      </c>
      <c r="AD116" t="str">
        <f>IF(Table13[[#This Row],[Discount 2]]&gt;=5%, "YES", "NO")</f>
        <v>NO</v>
      </c>
      <c r="AE116" t="str" cm="1">
        <f t="array" ref="AE116">_xlfn.IFS(Table13[[#This Row],[Revenue]]&gt;=30000000,"High Spender",Table13[[#This Row],[Revenue]]&gt;=10000000,"Moderate Spender",TRUE,"Low Spender")</f>
        <v>Moderate Spender</v>
      </c>
      <c r="AF116" s="4" t="str" cm="1">
        <f t="array" ref="AF116">_xlfn.IFS(Table13[[#This Row],[Land_Size_SQM]]&gt;=730,"LARGE",Table13[[#This Row],[Land_Size_SQM]]&gt;=465,"MEDIUM",TRUE,"SMALL")</f>
        <v>MEDIUM</v>
      </c>
    </row>
    <row r="117" spans="1:32" x14ac:dyDescent="0.3">
      <c r="A117" t="s">
        <v>285</v>
      </c>
      <c r="B117" t="s">
        <v>548</v>
      </c>
      <c r="C117" t="s">
        <v>627</v>
      </c>
      <c r="D117">
        <v>40</v>
      </c>
      <c r="E117" t="s">
        <v>629</v>
      </c>
      <c r="F117">
        <v>564</v>
      </c>
      <c r="G117" s="4">
        <v>44242</v>
      </c>
      <c r="H117" s="4">
        <v>24952488</v>
      </c>
      <c r="I117" t="s">
        <v>631</v>
      </c>
      <c r="J117" t="s">
        <v>668</v>
      </c>
      <c r="K117" t="s">
        <v>664</v>
      </c>
      <c r="L117" t="s">
        <v>682</v>
      </c>
      <c r="M117" t="s">
        <v>687</v>
      </c>
      <c r="N117" t="s">
        <v>691</v>
      </c>
      <c r="O117" t="s">
        <v>693</v>
      </c>
      <c r="P117" s="4">
        <v>24952488</v>
      </c>
      <c r="Q117">
        <v>0</v>
      </c>
      <c r="R117" s="7">
        <v>7.01</v>
      </c>
      <c r="S117" s="8">
        <f>Table13[[#This Row],[Discount_%]]/100</f>
        <v>7.0099999999999996E-2</v>
      </c>
      <c r="T117" s="6" t="s">
        <v>885</v>
      </c>
      <c r="U117" t="s">
        <v>981</v>
      </c>
      <c r="V117">
        <v>2024</v>
      </c>
      <c r="W117" t="s">
        <v>996</v>
      </c>
      <c r="X117" t="s">
        <v>999</v>
      </c>
      <c r="Y117" t="s">
        <v>1001</v>
      </c>
      <c r="Z117">
        <v>4</v>
      </c>
      <c r="AA117">
        <v>23</v>
      </c>
      <c r="AB117" s="4">
        <f>Table13[[#This Row],[Total_Price]]*(1-Table13[[#This Row],[Discount 2]])</f>
        <v>23203318.591199998</v>
      </c>
      <c r="AC117" s="4" t="str" cm="1">
        <f t="array" ref="AC117">_xlfn.IFS(Table13[[#This Row],[Revenue]]&gt;=30000000,"High Value",Table13[[#This Row],[Revenue]]&gt;=10000000,"Moderate Value",TRUE,"Low Value")</f>
        <v>Moderate Value</v>
      </c>
      <c r="AD117" t="str">
        <f>IF(Table13[[#This Row],[Discount 2]]&gt;=5%, "YES", "NO")</f>
        <v>YES</v>
      </c>
      <c r="AE117" t="str" cm="1">
        <f t="array" ref="AE117">_xlfn.IFS(Table13[[#This Row],[Revenue]]&gt;=30000000,"High Spender",Table13[[#This Row],[Revenue]]&gt;=10000000,"Moderate Spender",TRUE,"Low Spender")</f>
        <v>Moderate Spender</v>
      </c>
      <c r="AF117" s="4" t="str" cm="1">
        <f t="array" ref="AF117">_xlfn.IFS(Table13[[#This Row],[Land_Size_SQM]]&gt;=730,"LARGE",Table13[[#This Row],[Land_Size_SQM]]&gt;=465,"MEDIUM",TRUE,"SMALL")</f>
        <v>MEDIUM</v>
      </c>
    </row>
    <row r="118" spans="1:32" x14ac:dyDescent="0.3">
      <c r="A118" t="s">
        <v>171</v>
      </c>
      <c r="B118" t="s">
        <v>556</v>
      </c>
      <c r="C118" t="s">
        <v>626</v>
      </c>
      <c r="D118">
        <v>23</v>
      </c>
      <c r="E118" t="s">
        <v>630</v>
      </c>
      <c r="F118">
        <v>531</v>
      </c>
      <c r="G118" s="4">
        <v>48140</v>
      </c>
      <c r="H118" s="4">
        <v>25562340</v>
      </c>
      <c r="I118" t="s">
        <v>665</v>
      </c>
      <c r="J118" t="s">
        <v>672</v>
      </c>
      <c r="K118" t="s">
        <v>638</v>
      </c>
      <c r="L118" t="s">
        <v>682</v>
      </c>
      <c r="M118" t="s">
        <v>683</v>
      </c>
      <c r="N118" t="s">
        <v>688</v>
      </c>
      <c r="O118" t="s">
        <v>694</v>
      </c>
      <c r="P118" s="4">
        <v>9504606</v>
      </c>
      <c r="Q118">
        <v>12</v>
      </c>
      <c r="R118" s="7">
        <v>9.52</v>
      </c>
      <c r="S118" s="8">
        <f>Table13[[#This Row],[Discount_%]]/100</f>
        <v>9.5199999999999993E-2</v>
      </c>
      <c r="T118" s="6" t="s">
        <v>777</v>
      </c>
      <c r="U118" t="s">
        <v>986</v>
      </c>
      <c r="V118">
        <v>2024</v>
      </c>
      <c r="W118" t="s">
        <v>996</v>
      </c>
      <c r="X118" t="s">
        <v>999</v>
      </c>
      <c r="Y118" t="s">
        <v>1001</v>
      </c>
      <c r="Z118">
        <v>3</v>
      </c>
      <c r="AA118">
        <v>16</v>
      </c>
      <c r="AB118" s="4">
        <f>Table13[[#This Row],[Total_Price]]*(1-Table13[[#This Row],[Discount 2]])</f>
        <v>23128805.232000001</v>
      </c>
      <c r="AC118" s="4" t="str" cm="1">
        <f t="array" ref="AC118">_xlfn.IFS(Table13[[#This Row],[Revenue]]&gt;=30000000,"High Value",Table13[[#This Row],[Revenue]]&gt;=10000000,"Moderate Value",TRUE,"Low Value")</f>
        <v>Moderate Value</v>
      </c>
      <c r="AD118" t="str">
        <f>IF(Table13[[#This Row],[Discount 2]]&gt;=5%, "YES", "NO")</f>
        <v>YES</v>
      </c>
      <c r="AE118" t="str" cm="1">
        <f t="array" ref="AE118">_xlfn.IFS(Table13[[#This Row],[Revenue]]&gt;=30000000,"High Spender",Table13[[#This Row],[Revenue]]&gt;=10000000,"Moderate Spender",TRUE,"Low Spender")</f>
        <v>Moderate Spender</v>
      </c>
      <c r="AF118" s="4" t="str" cm="1">
        <f t="array" ref="AF118">_xlfn.IFS(Table13[[#This Row],[Land_Size_SQM]]&gt;=730,"LARGE",Table13[[#This Row],[Land_Size_SQM]]&gt;=465,"MEDIUM",TRUE,"SMALL")</f>
        <v>MEDIUM</v>
      </c>
    </row>
    <row r="119" spans="1:32" x14ac:dyDescent="0.3">
      <c r="A119" t="s">
        <v>35</v>
      </c>
      <c r="B119" t="s">
        <v>535</v>
      </c>
      <c r="C119" t="s">
        <v>627</v>
      </c>
      <c r="D119">
        <v>57</v>
      </c>
      <c r="E119" t="s">
        <v>628</v>
      </c>
      <c r="F119">
        <v>648</v>
      </c>
      <c r="G119" s="4">
        <v>35919</v>
      </c>
      <c r="H119" s="4">
        <v>23275512</v>
      </c>
      <c r="I119" t="s">
        <v>639</v>
      </c>
      <c r="J119" t="s">
        <v>671</v>
      </c>
      <c r="K119" t="s">
        <v>651</v>
      </c>
      <c r="L119" t="s">
        <v>680</v>
      </c>
      <c r="M119" t="s">
        <v>685</v>
      </c>
      <c r="N119" t="s">
        <v>689</v>
      </c>
      <c r="O119" t="s">
        <v>694</v>
      </c>
      <c r="P119" s="4">
        <v>6386141</v>
      </c>
      <c r="Q119">
        <v>3</v>
      </c>
      <c r="R119" s="7">
        <v>0.64</v>
      </c>
      <c r="S119" s="8">
        <f>Table13[[#This Row],[Discount_%]]/100</f>
        <v>6.4000000000000003E-3</v>
      </c>
      <c r="T119" s="6" t="s">
        <v>704</v>
      </c>
      <c r="U119" t="s">
        <v>988</v>
      </c>
      <c r="V119">
        <v>2024</v>
      </c>
      <c r="W119" t="s">
        <v>996</v>
      </c>
      <c r="X119" t="s">
        <v>999</v>
      </c>
      <c r="Y119" t="s">
        <v>1000</v>
      </c>
      <c r="Z119">
        <v>3</v>
      </c>
      <c r="AA119">
        <v>5</v>
      </c>
      <c r="AB119" s="4">
        <f>Table13[[#This Row],[Total_Price]]*(1-Table13[[#This Row],[Discount 2]])</f>
        <v>23126548.723200001</v>
      </c>
      <c r="AC119" s="4" t="str" cm="1">
        <f t="array" ref="AC119">_xlfn.IFS(Table13[[#This Row],[Revenue]]&gt;=30000000,"High Value",Table13[[#This Row],[Revenue]]&gt;=10000000,"Moderate Value",TRUE,"Low Value")</f>
        <v>Moderate Value</v>
      </c>
      <c r="AD119" t="str">
        <f>IF(Table13[[#This Row],[Discount 2]]&gt;=5%, "YES", "NO")</f>
        <v>NO</v>
      </c>
      <c r="AE119" t="str" cm="1">
        <f t="array" ref="AE119">_xlfn.IFS(Table13[[#This Row],[Revenue]]&gt;=30000000,"High Spender",Table13[[#This Row],[Revenue]]&gt;=10000000,"Moderate Spender",TRUE,"Low Spender")</f>
        <v>Moderate Spender</v>
      </c>
      <c r="AF119" s="4" t="str" cm="1">
        <f t="array" ref="AF119">_xlfn.IFS(Table13[[#This Row],[Land_Size_SQM]]&gt;=730,"LARGE",Table13[[#This Row],[Land_Size_SQM]]&gt;=465,"MEDIUM",TRUE,"SMALL")</f>
        <v>MEDIUM</v>
      </c>
    </row>
    <row r="120" spans="1:32" x14ac:dyDescent="0.3">
      <c r="A120" t="s">
        <v>31</v>
      </c>
      <c r="B120" t="s">
        <v>531</v>
      </c>
      <c r="C120" t="s">
        <v>627</v>
      </c>
      <c r="D120">
        <v>27</v>
      </c>
      <c r="E120" t="s">
        <v>628</v>
      </c>
      <c r="F120">
        <v>638</v>
      </c>
      <c r="G120" s="4">
        <v>40242</v>
      </c>
      <c r="H120" s="4">
        <v>25674396</v>
      </c>
      <c r="I120" t="s">
        <v>636</v>
      </c>
      <c r="J120" t="s">
        <v>671</v>
      </c>
      <c r="K120" t="s">
        <v>674</v>
      </c>
      <c r="L120" t="s">
        <v>682</v>
      </c>
      <c r="M120" t="s">
        <v>683</v>
      </c>
      <c r="N120" t="s">
        <v>691</v>
      </c>
      <c r="O120" t="s">
        <v>694</v>
      </c>
      <c r="P120" s="4">
        <v>6824158</v>
      </c>
      <c r="Q120">
        <v>12</v>
      </c>
      <c r="R120" s="7">
        <v>9.98</v>
      </c>
      <c r="S120" s="8">
        <f>Table13[[#This Row],[Discount_%]]/100</f>
        <v>9.98E-2</v>
      </c>
      <c r="T120" s="6" t="s">
        <v>700</v>
      </c>
      <c r="U120" t="s">
        <v>986</v>
      </c>
      <c r="V120">
        <v>2024</v>
      </c>
      <c r="W120" t="s">
        <v>993</v>
      </c>
      <c r="X120" t="s">
        <v>998</v>
      </c>
      <c r="Y120" t="s">
        <v>1002</v>
      </c>
      <c r="Z120">
        <v>5</v>
      </c>
      <c r="AA120">
        <v>30</v>
      </c>
      <c r="AB120" s="4">
        <f>Table13[[#This Row],[Total_Price]]*(1-Table13[[#This Row],[Discount 2]])</f>
        <v>23112091.279199999</v>
      </c>
      <c r="AC120" s="4" t="str" cm="1">
        <f t="array" ref="AC120">_xlfn.IFS(Table13[[#This Row],[Revenue]]&gt;=30000000,"High Value",Table13[[#This Row],[Revenue]]&gt;=10000000,"Moderate Value",TRUE,"Low Value")</f>
        <v>Moderate Value</v>
      </c>
      <c r="AD120" t="str">
        <f>IF(Table13[[#This Row],[Discount 2]]&gt;=5%, "YES", "NO")</f>
        <v>YES</v>
      </c>
      <c r="AE120" t="str" cm="1">
        <f t="array" ref="AE120">_xlfn.IFS(Table13[[#This Row],[Revenue]]&gt;=30000000,"High Spender",Table13[[#This Row],[Revenue]]&gt;=10000000,"Moderate Spender",TRUE,"Low Spender")</f>
        <v>Moderate Spender</v>
      </c>
      <c r="AF120" s="4" t="str" cm="1">
        <f t="array" ref="AF120">_xlfn.IFS(Table13[[#This Row],[Land_Size_SQM]]&gt;=730,"LARGE",Table13[[#This Row],[Land_Size_SQM]]&gt;=465,"MEDIUM",TRUE,"SMALL")</f>
        <v>MEDIUM</v>
      </c>
    </row>
    <row r="121" spans="1:32" x14ac:dyDescent="0.3">
      <c r="A121" t="s">
        <v>313</v>
      </c>
      <c r="B121" t="s">
        <v>592</v>
      </c>
      <c r="C121" t="s">
        <v>626</v>
      </c>
      <c r="D121">
        <v>49</v>
      </c>
      <c r="E121" t="s">
        <v>630</v>
      </c>
      <c r="F121">
        <v>709</v>
      </c>
      <c r="G121" s="4">
        <v>34679</v>
      </c>
      <c r="H121" s="4">
        <v>24587411</v>
      </c>
      <c r="I121" t="s">
        <v>643</v>
      </c>
      <c r="J121" t="s">
        <v>671</v>
      </c>
      <c r="K121" t="s">
        <v>678</v>
      </c>
      <c r="L121" t="s">
        <v>681</v>
      </c>
      <c r="M121" t="s">
        <v>685</v>
      </c>
      <c r="N121" t="s">
        <v>692</v>
      </c>
      <c r="O121" t="s">
        <v>693</v>
      </c>
      <c r="P121" s="4">
        <v>24587411</v>
      </c>
      <c r="Q121">
        <v>0</v>
      </c>
      <c r="R121" s="7">
        <v>6.08</v>
      </c>
      <c r="S121" s="8">
        <f>Table13[[#This Row],[Discount_%]]/100</f>
        <v>6.08E-2</v>
      </c>
      <c r="T121" s="6" t="s">
        <v>908</v>
      </c>
      <c r="U121" t="s">
        <v>986</v>
      </c>
      <c r="V121">
        <v>2024</v>
      </c>
      <c r="W121" t="s">
        <v>993</v>
      </c>
      <c r="X121" t="s">
        <v>999</v>
      </c>
      <c r="Y121" t="s">
        <v>1001</v>
      </c>
      <c r="Z121">
        <v>3</v>
      </c>
      <c r="AA121">
        <v>40</v>
      </c>
      <c r="AB121" s="4">
        <f>Table13[[#This Row],[Total_Price]]*(1-Table13[[#This Row],[Discount 2]])</f>
        <v>23092496.411200002</v>
      </c>
      <c r="AC121" s="4" t="str" cm="1">
        <f t="array" ref="AC121">_xlfn.IFS(Table13[[#This Row],[Revenue]]&gt;=30000000,"High Value",Table13[[#This Row],[Revenue]]&gt;=10000000,"Moderate Value",TRUE,"Low Value")</f>
        <v>Moderate Value</v>
      </c>
      <c r="AD121" t="str">
        <f>IF(Table13[[#This Row],[Discount 2]]&gt;=5%, "YES", "NO")</f>
        <v>YES</v>
      </c>
      <c r="AE121" t="str" cm="1">
        <f t="array" ref="AE121">_xlfn.IFS(Table13[[#This Row],[Revenue]]&gt;=30000000,"High Spender",Table13[[#This Row],[Revenue]]&gt;=10000000,"Moderate Spender",TRUE,"Low Spender")</f>
        <v>Moderate Spender</v>
      </c>
      <c r="AF121" s="4" t="str" cm="1">
        <f t="array" ref="AF121">_xlfn.IFS(Table13[[#This Row],[Land_Size_SQM]]&gt;=730,"LARGE",Table13[[#This Row],[Land_Size_SQM]]&gt;=465,"MEDIUM",TRUE,"SMALL")</f>
        <v>MEDIUM</v>
      </c>
    </row>
    <row r="122" spans="1:32" x14ac:dyDescent="0.3">
      <c r="A122" t="s">
        <v>452</v>
      </c>
      <c r="B122" t="s">
        <v>547</v>
      </c>
      <c r="C122" t="s">
        <v>627</v>
      </c>
      <c r="D122">
        <v>64</v>
      </c>
      <c r="E122" t="s">
        <v>630</v>
      </c>
      <c r="F122">
        <v>630</v>
      </c>
      <c r="G122" s="4">
        <v>36892</v>
      </c>
      <c r="H122" s="4">
        <v>23241960</v>
      </c>
      <c r="I122" t="s">
        <v>649</v>
      </c>
      <c r="J122" t="s">
        <v>669</v>
      </c>
      <c r="K122" t="s">
        <v>677</v>
      </c>
      <c r="L122" t="s">
        <v>680</v>
      </c>
      <c r="M122" t="s">
        <v>683</v>
      </c>
      <c r="N122" t="s">
        <v>688</v>
      </c>
      <c r="O122" t="s">
        <v>694</v>
      </c>
      <c r="P122" s="4">
        <v>4684366</v>
      </c>
      <c r="Q122">
        <v>12</v>
      </c>
      <c r="R122" s="7">
        <v>1.95</v>
      </c>
      <c r="S122" s="8">
        <f>Table13[[#This Row],[Discount_%]]/100</f>
        <v>1.95E-2</v>
      </c>
      <c r="T122" s="6" t="s">
        <v>964</v>
      </c>
      <c r="U122" t="s">
        <v>981</v>
      </c>
      <c r="V122">
        <v>2024</v>
      </c>
      <c r="W122" t="s">
        <v>996</v>
      </c>
      <c r="X122" t="s">
        <v>998</v>
      </c>
      <c r="Y122" t="s">
        <v>1002</v>
      </c>
      <c r="Z122">
        <v>1</v>
      </c>
      <c r="AA122">
        <v>41</v>
      </c>
      <c r="AB122" s="4">
        <f>Table13[[#This Row],[Total_Price]]*(1-Table13[[#This Row],[Discount 2]])</f>
        <v>22788741.780000001</v>
      </c>
      <c r="AC122" s="4" t="str" cm="1">
        <f t="array" ref="AC122">_xlfn.IFS(Table13[[#This Row],[Revenue]]&gt;=30000000,"High Value",Table13[[#This Row],[Revenue]]&gt;=10000000,"Moderate Value",TRUE,"Low Value")</f>
        <v>Moderate Value</v>
      </c>
      <c r="AD122" t="str">
        <f>IF(Table13[[#This Row],[Discount 2]]&gt;=5%, "YES", "NO")</f>
        <v>NO</v>
      </c>
      <c r="AE122" t="str" cm="1">
        <f t="array" ref="AE122">_xlfn.IFS(Table13[[#This Row],[Revenue]]&gt;=30000000,"High Spender",Table13[[#This Row],[Revenue]]&gt;=10000000,"Moderate Spender",TRUE,"Low Spender")</f>
        <v>Moderate Spender</v>
      </c>
      <c r="AF122" s="4" t="str" cm="1">
        <f t="array" ref="AF122">_xlfn.IFS(Table13[[#This Row],[Land_Size_SQM]]&gt;=730,"LARGE",Table13[[#This Row],[Land_Size_SQM]]&gt;=465,"MEDIUM",TRUE,"SMALL")</f>
        <v>MEDIUM</v>
      </c>
    </row>
    <row r="123" spans="1:32" x14ac:dyDescent="0.3">
      <c r="A123" t="s">
        <v>363</v>
      </c>
      <c r="B123" t="s">
        <v>596</v>
      </c>
      <c r="C123" t="s">
        <v>627</v>
      </c>
      <c r="D123">
        <v>43</v>
      </c>
      <c r="E123" t="s">
        <v>630</v>
      </c>
      <c r="F123">
        <v>890</v>
      </c>
      <c r="G123" s="4">
        <v>25854</v>
      </c>
      <c r="H123" s="4">
        <v>23010060</v>
      </c>
      <c r="I123" t="s">
        <v>631</v>
      </c>
      <c r="J123" t="s">
        <v>668</v>
      </c>
      <c r="K123" t="s">
        <v>675</v>
      </c>
      <c r="L123" t="s">
        <v>680</v>
      </c>
      <c r="M123" t="s">
        <v>686</v>
      </c>
      <c r="N123" t="s">
        <v>689</v>
      </c>
      <c r="O123" t="s">
        <v>693</v>
      </c>
      <c r="P123" s="4">
        <v>23010060</v>
      </c>
      <c r="Q123">
        <v>0</v>
      </c>
      <c r="R123" s="7">
        <v>1.1100000000000001</v>
      </c>
      <c r="S123" s="8">
        <f>Table13[[#This Row],[Discount_%]]/100</f>
        <v>1.11E-2</v>
      </c>
      <c r="T123" s="6" t="s">
        <v>934</v>
      </c>
      <c r="U123" t="s">
        <v>991</v>
      </c>
      <c r="V123">
        <v>2024</v>
      </c>
      <c r="W123" t="s">
        <v>996</v>
      </c>
      <c r="X123" t="s">
        <v>999</v>
      </c>
      <c r="Y123" t="s">
        <v>1002</v>
      </c>
      <c r="Z123">
        <v>2</v>
      </c>
      <c r="AA123">
        <v>35</v>
      </c>
      <c r="AB123" s="4">
        <f>Table13[[#This Row],[Total_Price]]*(1-Table13[[#This Row],[Discount 2]])</f>
        <v>22754648.333999999</v>
      </c>
      <c r="AC123" s="4" t="str" cm="1">
        <f t="array" ref="AC123">_xlfn.IFS(Table13[[#This Row],[Revenue]]&gt;=30000000,"High Value",Table13[[#This Row],[Revenue]]&gt;=10000000,"Moderate Value",TRUE,"Low Value")</f>
        <v>Moderate Value</v>
      </c>
      <c r="AD123" t="str">
        <f>IF(Table13[[#This Row],[Discount 2]]&gt;=5%, "YES", "NO")</f>
        <v>NO</v>
      </c>
      <c r="AE123" t="str" cm="1">
        <f t="array" ref="AE123">_xlfn.IFS(Table13[[#This Row],[Revenue]]&gt;=30000000,"High Spender",Table13[[#This Row],[Revenue]]&gt;=10000000,"Moderate Spender",TRUE,"Low Spender")</f>
        <v>Moderate Spender</v>
      </c>
      <c r="AF123" s="4" t="str" cm="1">
        <f t="array" ref="AF123">_xlfn.IFS(Table13[[#This Row],[Land_Size_SQM]]&gt;=730,"LARGE",Table13[[#This Row],[Land_Size_SQM]]&gt;=465,"MEDIUM",TRUE,"SMALL")</f>
        <v>LARGE</v>
      </c>
    </row>
    <row r="124" spans="1:32" x14ac:dyDescent="0.3">
      <c r="A124" t="s">
        <v>209</v>
      </c>
      <c r="B124" t="s">
        <v>608</v>
      </c>
      <c r="C124" t="s">
        <v>626</v>
      </c>
      <c r="D124">
        <v>53</v>
      </c>
      <c r="E124" t="s">
        <v>630</v>
      </c>
      <c r="F124">
        <v>992</v>
      </c>
      <c r="G124" s="4">
        <v>23028</v>
      </c>
      <c r="H124" s="4">
        <v>22843776</v>
      </c>
      <c r="I124" t="s">
        <v>651</v>
      </c>
      <c r="J124" t="s">
        <v>669</v>
      </c>
      <c r="K124" t="s">
        <v>678</v>
      </c>
      <c r="L124" t="s">
        <v>680</v>
      </c>
      <c r="M124" t="s">
        <v>686</v>
      </c>
      <c r="N124" t="s">
        <v>688</v>
      </c>
      <c r="O124" t="s">
        <v>694</v>
      </c>
      <c r="P124" s="4">
        <v>8714758</v>
      </c>
      <c r="Q124">
        <v>24</v>
      </c>
      <c r="R124" s="7">
        <v>0.89</v>
      </c>
      <c r="S124" s="8">
        <f>Table13[[#This Row],[Discount_%]]/100</f>
        <v>8.8999999999999999E-3</v>
      </c>
      <c r="T124" s="6" t="s">
        <v>837</v>
      </c>
      <c r="U124" t="s">
        <v>989</v>
      </c>
      <c r="V124">
        <v>2024</v>
      </c>
      <c r="W124" t="s">
        <v>993</v>
      </c>
      <c r="X124" t="s">
        <v>998</v>
      </c>
      <c r="Y124" t="s">
        <v>1001</v>
      </c>
      <c r="Z124">
        <v>5</v>
      </c>
      <c r="AA124">
        <v>26</v>
      </c>
      <c r="AB124" s="4">
        <f>Table13[[#This Row],[Total_Price]]*(1-Table13[[#This Row],[Discount 2]])</f>
        <v>22640466.393599998</v>
      </c>
      <c r="AC124" s="4" t="str" cm="1">
        <f t="array" ref="AC124">_xlfn.IFS(Table13[[#This Row],[Revenue]]&gt;=30000000,"High Value",Table13[[#This Row],[Revenue]]&gt;=10000000,"Moderate Value",TRUE,"Low Value")</f>
        <v>Moderate Value</v>
      </c>
      <c r="AD124" t="str">
        <f>IF(Table13[[#This Row],[Discount 2]]&gt;=5%, "YES", "NO")</f>
        <v>NO</v>
      </c>
      <c r="AE124" t="str" cm="1">
        <f t="array" ref="AE124">_xlfn.IFS(Table13[[#This Row],[Revenue]]&gt;=30000000,"High Spender",Table13[[#This Row],[Revenue]]&gt;=10000000,"Moderate Spender",TRUE,"Low Spender")</f>
        <v>Moderate Spender</v>
      </c>
      <c r="AF124" s="4" t="str" cm="1">
        <f t="array" ref="AF124">_xlfn.IFS(Table13[[#This Row],[Land_Size_SQM]]&gt;=730,"LARGE",Table13[[#This Row],[Land_Size_SQM]]&gt;=465,"MEDIUM",TRUE,"SMALL")</f>
        <v>LARGE</v>
      </c>
    </row>
    <row r="125" spans="1:32" x14ac:dyDescent="0.3">
      <c r="A125" t="s">
        <v>75</v>
      </c>
      <c r="B125" t="s">
        <v>563</v>
      </c>
      <c r="C125" t="s">
        <v>627</v>
      </c>
      <c r="D125">
        <v>35</v>
      </c>
      <c r="E125" t="s">
        <v>629</v>
      </c>
      <c r="F125">
        <v>536</v>
      </c>
      <c r="G125" s="4">
        <v>46194</v>
      </c>
      <c r="H125" s="4">
        <v>24759984</v>
      </c>
      <c r="I125" t="s">
        <v>633</v>
      </c>
      <c r="J125" t="s">
        <v>668</v>
      </c>
      <c r="K125" t="s">
        <v>676</v>
      </c>
      <c r="L125" t="s">
        <v>682</v>
      </c>
      <c r="M125" t="s">
        <v>687</v>
      </c>
      <c r="N125" t="s">
        <v>688</v>
      </c>
      <c r="O125" t="s">
        <v>694</v>
      </c>
      <c r="P125" s="4">
        <v>9607858</v>
      </c>
      <c r="Q125">
        <v>12</v>
      </c>
      <c r="R125" s="7">
        <v>8.8699999999999992</v>
      </c>
      <c r="S125" s="8">
        <f>Table13[[#This Row],[Discount_%]]/100</f>
        <v>8.8699999999999987E-2</v>
      </c>
      <c r="T125" s="6" t="s">
        <v>739</v>
      </c>
      <c r="U125" t="s">
        <v>986</v>
      </c>
      <c r="V125">
        <v>2024</v>
      </c>
      <c r="W125" t="s">
        <v>993</v>
      </c>
      <c r="X125" t="s">
        <v>998</v>
      </c>
      <c r="Y125" t="s">
        <v>1000</v>
      </c>
      <c r="Z125">
        <v>1</v>
      </c>
      <c r="AA125">
        <v>29</v>
      </c>
      <c r="AB125" s="4">
        <f>Table13[[#This Row],[Total_Price]]*(1-Table13[[#This Row],[Discount 2]])</f>
        <v>22563773.419199999</v>
      </c>
      <c r="AC125" s="4" t="str" cm="1">
        <f t="array" ref="AC125">_xlfn.IFS(Table13[[#This Row],[Revenue]]&gt;=30000000,"High Value",Table13[[#This Row],[Revenue]]&gt;=10000000,"Moderate Value",TRUE,"Low Value")</f>
        <v>Moderate Value</v>
      </c>
      <c r="AD125" t="str">
        <f>IF(Table13[[#This Row],[Discount 2]]&gt;=5%, "YES", "NO")</f>
        <v>YES</v>
      </c>
      <c r="AE125" t="str" cm="1">
        <f t="array" ref="AE125">_xlfn.IFS(Table13[[#This Row],[Revenue]]&gt;=30000000,"High Spender",Table13[[#This Row],[Revenue]]&gt;=10000000,"Moderate Spender",TRUE,"Low Spender")</f>
        <v>Moderate Spender</v>
      </c>
      <c r="AF125" s="4" t="str" cm="1">
        <f t="array" ref="AF125">_xlfn.IFS(Table13[[#This Row],[Land_Size_SQM]]&gt;=730,"LARGE",Table13[[#This Row],[Land_Size_SQM]]&gt;=465,"MEDIUM",TRUE,"SMALL")</f>
        <v>MEDIUM</v>
      </c>
    </row>
    <row r="126" spans="1:32" x14ac:dyDescent="0.3">
      <c r="A126" t="s">
        <v>256</v>
      </c>
      <c r="B126" t="s">
        <v>595</v>
      </c>
      <c r="C126" t="s">
        <v>627</v>
      </c>
      <c r="D126">
        <v>59</v>
      </c>
      <c r="E126" t="s">
        <v>629</v>
      </c>
      <c r="F126">
        <v>682</v>
      </c>
      <c r="G126" s="4">
        <v>33566</v>
      </c>
      <c r="H126" s="4">
        <v>22892012</v>
      </c>
      <c r="I126" t="s">
        <v>632</v>
      </c>
      <c r="J126" t="s">
        <v>669</v>
      </c>
      <c r="K126" t="s">
        <v>674</v>
      </c>
      <c r="L126" t="s">
        <v>682</v>
      </c>
      <c r="M126" t="s">
        <v>687</v>
      </c>
      <c r="N126" t="s">
        <v>688</v>
      </c>
      <c r="O126" t="s">
        <v>693</v>
      </c>
      <c r="P126" s="4">
        <v>22892012</v>
      </c>
      <c r="Q126">
        <v>0</v>
      </c>
      <c r="R126" s="7">
        <v>2.19</v>
      </c>
      <c r="S126" s="8">
        <f>Table13[[#This Row],[Discount_%]]/100</f>
        <v>2.1899999999999999E-2</v>
      </c>
      <c r="T126" s="6" t="s">
        <v>867</v>
      </c>
      <c r="U126" t="s">
        <v>991</v>
      </c>
      <c r="V126">
        <v>2024</v>
      </c>
      <c r="W126" t="s">
        <v>994</v>
      </c>
      <c r="X126" t="s">
        <v>998</v>
      </c>
      <c r="Y126" t="s">
        <v>1001</v>
      </c>
      <c r="Z126">
        <v>5</v>
      </c>
      <c r="AA126">
        <v>5</v>
      </c>
      <c r="AB126" s="4">
        <f>Table13[[#This Row],[Total_Price]]*(1-Table13[[#This Row],[Discount 2]])</f>
        <v>22390676.937199999</v>
      </c>
      <c r="AC126" s="4" t="str" cm="1">
        <f t="array" ref="AC126">_xlfn.IFS(Table13[[#This Row],[Revenue]]&gt;=30000000,"High Value",Table13[[#This Row],[Revenue]]&gt;=10000000,"Moderate Value",TRUE,"Low Value")</f>
        <v>Moderate Value</v>
      </c>
      <c r="AD126" t="str">
        <f>IF(Table13[[#This Row],[Discount 2]]&gt;=5%, "YES", "NO")</f>
        <v>NO</v>
      </c>
      <c r="AE126" t="str" cm="1">
        <f t="array" ref="AE126">_xlfn.IFS(Table13[[#This Row],[Revenue]]&gt;=30000000,"High Spender",Table13[[#This Row],[Revenue]]&gt;=10000000,"Moderate Spender",TRUE,"Low Spender")</f>
        <v>Moderate Spender</v>
      </c>
      <c r="AF126" s="4" t="str" cm="1">
        <f t="array" ref="AF126">_xlfn.IFS(Table13[[#This Row],[Land_Size_SQM]]&gt;=730,"LARGE",Table13[[#This Row],[Land_Size_SQM]]&gt;=465,"MEDIUM",TRUE,"SMALL")</f>
        <v>MEDIUM</v>
      </c>
    </row>
    <row r="127" spans="1:32" x14ac:dyDescent="0.3">
      <c r="A127" t="s">
        <v>185</v>
      </c>
      <c r="B127" t="s">
        <v>566</v>
      </c>
      <c r="C127" t="s">
        <v>626</v>
      </c>
      <c r="D127">
        <v>59</v>
      </c>
      <c r="E127" t="s">
        <v>628</v>
      </c>
      <c r="F127">
        <v>992</v>
      </c>
      <c r="G127" s="4">
        <v>22361</v>
      </c>
      <c r="H127" s="4">
        <v>22182112</v>
      </c>
      <c r="I127" t="s">
        <v>658</v>
      </c>
      <c r="J127" t="s">
        <v>670</v>
      </c>
      <c r="K127" t="s">
        <v>677</v>
      </c>
      <c r="L127" t="s">
        <v>681</v>
      </c>
      <c r="M127" t="s">
        <v>687</v>
      </c>
      <c r="N127" t="s">
        <v>692</v>
      </c>
      <c r="O127" t="s">
        <v>694</v>
      </c>
      <c r="P127" s="4">
        <v>8117043</v>
      </c>
      <c r="Q127">
        <v>3</v>
      </c>
      <c r="R127" s="7">
        <v>0.08</v>
      </c>
      <c r="S127" s="8">
        <f>Table13[[#This Row],[Discount_%]]/100</f>
        <v>8.0000000000000004E-4</v>
      </c>
      <c r="T127" s="6" t="s">
        <v>819</v>
      </c>
      <c r="U127" t="s">
        <v>990</v>
      </c>
      <c r="V127">
        <v>2024</v>
      </c>
      <c r="W127" t="s">
        <v>995</v>
      </c>
      <c r="X127" t="s">
        <v>999</v>
      </c>
      <c r="Y127" t="s">
        <v>1001</v>
      </c>
      <c r="Z127">
        <v>5</v>
      </c>
      <c r="AA127">
        <v>49</v>
      </c>
      <c r="AB127" s="4">
        <f>Table13[[#This Row],[Total_Price]]*(1-Table13[[#This Row],[Discount 2]])</f>
        <v>22164366.310399998</v>
      </c>
      <c r="AC127" s="4" t="str" cm="1">
        <f t="array" ref="AC127">_xlfn.IFS(Table13[[#This Row],[Revenue]]&gt;=30000000,"High Value",Table13[[#This Row],[Revenue]]&gt;=10000000,"Moderate Value",TRUE,"Low Value")</f>
        <v>Moderate Value</v>
      </c>
      <c r="AD127" t="str">
        <f>IF(Table13[[#This Row],[Discount 2]]&gt;=5%, "YES", "NO")</f>
        <v>NO</v>
      </c>
      <c r="AE127" t="str" cm="1">
        <f t="array" ref="AE127">_xlfn.IFS(Table13[[#This Row],[Revenue]]&gt;=30000000,"High Spender",Table13[[#This Row],[Revenue]]&gt;=10000000,"Moderate Spender",TRUE,"Low Spender")</f>
        <v>Moderate Spender</v>
      </c>
      <c r="AF127" s="4" t="str" cm="1">
        <f t="array" ref="AF127">_xlfn.IFS(Table13[[#This Row],[Land_Size_SQM]]&gt;=730,"LARGE",Table13[[#This Row],[Land_Size_SQM]]&gt;=465,"MEDIUM",TRUE,"SMALL")</f>
        <v>LARGE</v>
      </c>
    </row>
    <row r="128" spans="1:32" x14ac:dyDescent="0.3">
      <c r="A128" t="s">
        <v>413</v>
      </c>
      <c r="B128" t="s">
        <v>571</v>
      </c>
      <c r="C128" t="s">
        <v>627</v>
      </c>
      <c r="D128">
        <v>21</v>
      </c>
      <c r="E128" t="s">
        <v>628</v>
      </c>
      <c r="F128">
        <v>491</v>
      </c>
      <c r="G128" s="4">
        <v>46650</v>
      </c>
      <c r="H128" s="4">
        <v>22905150</v>
      </c>
      <c r="I128" t="s">
        <v>646</v>
      </c>
      <c r="J128" t="s">
        <v>673</v>
      </c>
      <c r="K128" t="s">
        <v>664</v>
      </c>
      <c r="L128" t="s">
        <v>681</v>
      </c>
      <c r="M128" t="s">
        <v>684</v>
      </c>
      <c r="N128" t="s">
        <v>691</v>
      </c>
      <c r="O128" t="s">
        <v>693</v>
      </c>
      <c r="P128" s="4">
        <v>22905150</v>
      </c>
      <c r="Q128">
        <v>0</v>
      </c>
      <c r="R128" s="7">
        <v>3.94</v>
      </c>
      <c r="S128" s="8">
        <f>Table13[[#This Row],[Discount_%]]/100</f>
        <v>3.9399999999999998E-2</v>
      </c>
      <c r="T128" s="6" t="s">
        <v>792</v>
      </c>
      <c r="U128" t="s">
        <v>985</v>
      </c>
      <c r="V128">
        <v>2024</v>
      </c>
      <c r="W128" t="s">
        <v>994</v>
      </c>
      <c r="X128" t="s">
        <v>997</v>
      </c>
      <c r="Y128" t="s">
        <v>1001</v>
      </c>
      <c r="Z128">
        <v>1</v>
      </c>
      <c r="AA128">
        <v>22</v>
      </c>
      <c r="AB128" s="4">
        <f>Table13[[#This Row],[Total_Price]]*(1-Table13[[#This Row],[Discount 2]])</f>
        <v>22002687.09</v>
      </c>
      <c r="AC128" s="4" t="str" cm="1">
        <f t="array" ref="AC128">_xlfn.IFS(Table13[[#This Row],[Revenue]]&gt;=30000000,"High Value",Table13[[#This Row],[Revenue]]&gt;=10000000,"Moderate Value",TRUE,"Low Value")</f>
        <v>Moderate Value</v>
      </c>
      <c r="AD128" t="str">
        <f>IF(Table13[[#This Row],[Discount 2]]&gt;=5%, "YES", "NO")</f>
        <v>NO</v>
      </c>
      <c r="AE128" t="str" cm="1">
        <f t="array" ref="AE128">_xlfn.IFS(Table13[[#This Row],[Revenue]]&gt;=30000000,"High Spender",Table13[[#This Row],[Revenue]]&gt;=10000000,"Moderate Spender",TRUE,"Low Spender")</f>
        <v>Moderate Spender</v>
      </c>
      <c r="AF128" s="4" t="str" cm="1">
        <f t="array" ref="AF128">_xlfn.IFS(Table13[[#This Row],[Land_Size_SQM]]&gt;=730,"LARGE",Table13[[#This Row],[Land_Size_SQM]]&gt;=465,"MEDIUM",TRUE,"SMALL")</f>
        <v>MEDIUM</v>
      </c>
    </row>
    <row r="129" spans="1:32" x14ac:dyDescent="0.3">
      <c r="A129" t="s">
        <v>165</v>
      </c>
      <c r="B129" t="s">
        <v>579</v>
      </c>
      <c r="C129" t="s">
        <v>626</v>
      </c>
      <c r="D129">
        <v>32</v>
      </c>
      <c r="E129" t="s">
        <v>630</v>
      </c>
      <c r="F129">
        <v>485</v>
      </c>
      <c r="G129" s="4">
        <v>48121</v>
      </c>
      <c r="H129" s="4">
        <v>23338685</v>
      </c>
      <c r="I129" t="s">
        <v>653</v>
      </c>
      <c r="J129" t="s">
        <v>668</v>
      </c>
      <c r="K129" t="s">
        <v>679</v>
      </c>
      <c r="L129" t="s">
        <v>680</v>
      </c>
      <c r="M129" t="s">
        <v>687</v>
      </c>
      <c r="N129" t="s">
        <v>691</v>
      </c>
      <c r="O129" t="s">
        <v>693</v>
      </c>
      <c r="P129" s="4">
        <v>23338685</v>
      </c>
      <c r="Q129">
        <v>0</v>
      </c>
      <c r="R129" s="7">
        <v>5.77</v>
      </c>
      <c r="S129" s="8">
        <f>Table13[[#This Row],[Discount_%]]/100</f>
        <v>5.7699999999999994E-2</v>
      </c>
      <c r="T129" s="6" t="s">
        <v>701</v>
      </c>
      <c r="U129" t="s">
        <v>985</v>
      </c>
      <c r="V129">
        <v>2024</v>
      </c>
      <c r="W129" t="s">
        <v>994</v>
      </c>
      <c r="X129" t="s">
        <v>997</v>
      </c>
      <c r="Y129" t="s">
        <v>1002</v>
      </c>
      <c r="Z129">
        <v>5</v>
      </c>
      <c r="AA129">
        <v>26</v>
      </c>
      <c r="AB129" s="4">
        <f>Table13[[#This Row],[Total_Price]]*(1-Table13[[#This Row],[Discount 2]])</f>
        <v>21992042.875500001</v>
      </c>
      <c r="AC129" s="4" t="str" cm="1">
        <f t="array" ref="AC129">_xlfn.IFS(Table13[[#This Row],[Revenue]]&gt;=30000000,"High Value",Table13[[#This Row],[Revenue]]&gt;=10000000,"Moderate Value",TRUE,"Low Value")</f>
        <v>Moderate Value</v>
      </c>
      <c r="AD129" t="str">
        <f>IF(Table13[[#This Row],[Discount 2]]&gt;=5%, "YES", "NO")</f>
        <v>YES</v>
      </c>
      <c r="AE129" t="str" cm="1">
        <f t="array" ref="AE129">_xlfn.IFS(Table13[[#This Row],[Revenue]]&gt;=30000000,"High Spender",Table13[[#This Row],[Revenue]]&gt;=10000000,"Moderate Spender",TRUE,"Low Spender")</f>
        <v>Moderate Spender</v>
      </c>
      <c r="AF129" s="4" t="str" cm="1">
        <f t="array" ref="AF129">_xlfn.IFS(Table13[[#This Row],[Land_Size_SQM]]&gt;=730,"LARGE",Table13[[#This Row],[Land_Size_SQM]]&gt;=465,"MEDIUM",TRUE,"SMALL")</f>
        <v>MEDIUM</v>
      </c>
    </row>
    <row r="130" spans="1:32" x14ac:dyDescent="0.3">
      <c r="A130" t="s">
        <v>325</v>
      </c>
      <c r="B130" t="s">
        <v>620</v>
      </c>
      <c r="C130" t="s">
        <v>626</v>
      </c>
      <c r="D130">
        <v>23</v>
      </c>
      <c r="E130" t="s">
        <v>628</v>
      </c>
      <c r="F130">
        <v>518</v>
      </c>
      <c r="G130" s="4">
        <v>42190</v>
      </c>
      <c r="H130" s="4">
        <v>21854420</v>
      </c>
      <c r="I130" t="s">
        <v>654</v>
      </c>
      <c r="J130" t="s">
        <v>669</v>
      </c>
      <c r="K130" t="s">
        <v>676</v>
      </c>
      <c r="L130" t="s">
        <v>681</v>
      </c>
      <c r="M130" t="s">
        <v>684</v>
      </c>
      <c r="N130" t="s">
        <v>688</v>
      </c>
      <c r="O130" t="s">
        <v>694</v>
      </c>
      <c r="P130" s="4">
        <v>4703461</v>
      </c>
      <c r="Q130">
        <v>24</v>
      </c>
      <c r="R130" s="7">
        <v>0.28999999999999998</v>
      </c>
      <c r="S130" s="8">
        <f>Table13[[#This Row],[Discount_%]]/100</f>
        <v>2.8999999999999998E-3</v>
      </c>
      <c r="T130" s="6" t="s">
        <v>914</v>
      </c>
      <c r="U130" t="s">
        <v>984</v>
      </c>
      <c r="V130">
        <v>2024</v>
      </c>
      <c r="W130" t="s">
        <v>995</v>
      </c>
      <c r="X130" t="s">
        <v>997</v>
      </c>
      <c r="Y130" t="s">
        <v>1002</v>
      </c>
      <c r="Z130">
        <v>3</v>
      </c>
      <c r="AA130">
        <v>22</v>
      </c>
      <c r="AB130" s="4">
        <f>Table13[[#This Row],[Total_Price]]*(1-Table13[[#This Row],[Discount 2]])</f>
        <v>21791042.182</v>
      </c>
      <c r="AC130" s="4" t="str" cm="1">
        <f t="array" ref="AC130">_xlfn.IFS(Table13[[#This Row],[Revenue]]&gt;=30000000,"High Value",Table13[[#This Row],[Revenue]]&gt;=10000000,"Moderate Value",TRUE,"Low Value")</f>
        <v>Moderate Value</v>
      </c>
      <c r="AD130" t="str">
        <f>IF(Table13[[#This Row],[Discount 2]]&gt;=5%, "YES", "NO")</f>
        <v>NO</v>
      </c>
      <c r="AE130" t="str" cm="1">
        <f t="array" ref="AE130">_xlfn.IFS(Table13[[#This Row],[Revenue]]&gt;=30000000,"High Spender",Table13[[#This Row],[Revenue]]&gt;=10000000,"Moderate Spender",TRUE,"Low Spender")</f>
        <v>Moderate Spender</v>
      </c>
      <c r="AF130" s="4" t="str" cm="1">
        <f t="array" ref="AF130">_xlfn.IFS(Table13[[#This Row],[Land_Size_SQM]]&gt;=730,"LARGE",Table13[[#This Row],[Land_Size_SQM]]&gt;=465,"MEDIUM",TRUE,"SMALL")</f>
        <v>MEDIUM</v>
      </c>
    </row>
    <row r="131" spans="1:32" x14ac:dyDescent="0.3">
      <c r="A131" t="s">
        <v>154</v>
      </c>
      <c r="B131" t="s">
        <v>564</v>
      </c>
      <c r="C131" t="s">
        <v>626</v>
      </c>
      <c r="D131">
        <v>25</v>
      </c>
      <c r="E131" t="s">
        <v>629</v>
      </c>
      <c r="F131">
        <v>661</v>
      </c>
      <c r="G131" s="4">
        <v>34152</v>
      </c>
      <c r="H131" s="4">
        <v>22574472</v>
      </c>
      <c r="I131" t="s">
        <v>643</v>
      </c>
      <c r="J131" t="s">
        <v>671</v>
      </c>
      <c r="K131" t="s">
        <v>677</v>
      </c>
      <c r="L131" t="s">
        <v>681</v>
      </c>
      <c r="M131" t="s">
        <v>683</v>
      </c>
      <c r="N131" t="s">
        <v>689</v>
      </c>
      <c r="O131" t="s">
        <v>693</v>
      </c>
      <c r="P131" s="4">
        <v>22574472</v>
      </c>
      <c r="Q131">
        <v>0</v>
      </c>
      <c r="R131" s="7">
        <v>3.56</v>
      </c>
      <c r="S131" s="8">
        <f>Table13[[#This Row],[Discount_%]]/100</f>
        <v>3.56E-2</v>
      </c>
      <c r="T131" s="6" t="s">
        <v>799</v>
      </c>
      <c r="U131" t="s">
        <v>991</v>
      </c>
      <c r="V131">
        <v>2024</v>
      </c>
      <c r="W131" t="s">
        <v>993</v>
      </c>
      <c r="X131" t="s">
        <v>998</v>
      </c>
      <c r="Y131" t="s">
        <v>1000</v>
      </c>
      <c r="Z131">
        <v>4</v>
      </c>
      <c r="AA131">
        <v>46</v>
      </c>
      <c r="AB131" s="4">
        <f>Table13[[#This Row],[Total_Price]]*(1-Table13[[#This Row],[Discount 2]])</f>
        <v>21770820.796800002</v>
      </c>
      <c r="AC131" s="4" t="str" cm="1">
        <f t="array" ref="AC131">_xlfn.IFS(Table13[[#This Row],[Revenue]]&gt;=30000000,"High Value",Table13[[#This Row],[Revenue]]&gt;=10000000,"Moderate Value",TRUE,"Low Value")</f>
        <v>Moderate Value</v>
      </c>
      <c r="AD131" t="str">
        <f>IF(Table13[[#This Row],[Discount 2]]&gt;=5%, "YES", "NO")</f>
        <v>NO</v>
      </c>
      <c r="AE131" t="str" cm="1">
        <f t="array" ref="AE131">_xlfn.IFS(Table13[[#This Row],[Revenue]]&gt;=30000000,"High Spender",Table13[[#This Row],[Revenue]]&gt;=10000000,"Moderate Spender",TRUE,"Low Spender")</f>
        <v>Moderate Spender</v>
      </c>
      <c r="AF131" s="4" t="str" cm="1">
        <f t="array" ref="AF131">_xlfn.IFS(Table13[[#This Row],[Land_Size_SQM]]&gt;=730,"LARGE",Table13[[#This Row],[Land_Size_SQM]]&gt;=465,"MEDIUM",TRUE,"SMALL")</f>
        <v>MEDIUM</v>
      </c>
    </row>
    <row r="132" spans="1:32" x14ac:dyDescent="0.3">
      <c r="A132" t="s">
        <v>273</v>
      </c>
      <c r="B132" t="s">
        <v>550</v>
      </c>
      <c r="C132" t="s">
        <v>627</v>
      </c>
      <c r="D132">
        <v>38</v>
      </c>
      <c r="E132" t="s">
        <v>630</v>
      </c>
      <c r="F132">
        <v>568</v>
      </c>
      <c r="G132" s="4">
        <v>38723</v>
      </c>
      <c r="H132" s="4">
        <v>21994664</v>
      </c>
      <c r="I132" t="s">
        <v>657</v>
      </c>
      <c r="J132" t="s">
        <v>671</v>
      </c>
      <c r="K132" t="s">
        <v>651</v>
      </c>
      <c r="L132" t="s">
        <v>681</v>
      </c>
      <c r="M132" t="s">
        <v>686</v>
      </c>
      <c r="N132" t="s">
        <v>691</v>
      </c>
      <c r="O132" t="s">
        <v>694</v>
      </c>
      <c r="P132" s="4">
        <v>4529814</v>
      </c>
      <c r="Q132">
        <v>12</v>
      </c>
      <c r="R132" s="7">
        <v>1.21</v>
      </c>
      <c r="S132" s="8">
        <f>Table13[[#This Row],[Discount_%]]/100</f>
        <v>1.21E-2</v>
      </c>
      <c r="T132" s="6" t="s">
        <v>876</v>
      </c>
      <c r="U132" t="s">
        <v>984</v>
      </c>
      <c r="V132">
        <v>2024</v>
      </c>
      <c r="W132" t="s">
        <v>995</v>
      </c>
      <c r="X132" t="s">
        <v>999</v>
      </c>
      <c r="Y132" t="s">
        <v>1002</v>
      </c>
      <c r="Z132">
        <v>5</v>
      </c>
      <c r="AA132">
        <v>19</v>
      </c>
      <c r="AB132" s="4">
        <f>Table13[[#This Row],[Total_Price]]*(1-Table13[[#This Row],[Discount 2]])</f>
        <v>21728528.5656</v>
      </c>
      <c r="AC132" s="4" t="str" cm="1">
        <f t="array" ref="AC132">_xlfn.IFS(Table13[[#This Row],[Revenue]]&gt;=30000000,"High Value",Table13[[#This Row],[Revenue]]&gt;=10000000,"Moderate Value",TRUE,"Low Value")</f>
        <v>Moderate Value</v>
      </c>
      <c r="AD132" t="str">
        <f>IF(Table13[[#This Row],[Discount 2]]&gt;=5%, "YES", "NO")</f>
        <v>NO</v>
      </c>
      <c r="AE132" t="str" cm="1">
        <f t="array" ref="AE132">_xlfn.IFS(Table13[[#This Row],[Revenue]]&gt;=30000000,"High Spender",Table13[[#This Row],[Revenue]]&gt;=10000000,"Moderate Spender",TRUE,"Low Spender")</f>
        <v>Moderate Spender</v>
      </c>
      <c r="AF132" s="4" t="str" cm="1">
        <f t="array" ref="AF132">_xlfn.IFS(Table13[[#This Row],[Land_Size_SQM]]&gt;=730,"LARGE",Table13[[#This Row],[Land_Size_SQM]]&gt;=465,"MEDIUM",TRUE,"SMALL")</f>
        <v>MEDIUM</v>
      </c>
    </row>
    <row r="133" spans="1:32" x14ac:dyDescent="0.3">
      <c r="A133" t="s">
        <v>194</v>
      </c>
      <c r="B133" t="s">
        <v>559</v>
      </c>
      <c r="C133" t="s">
        <v>626</v>
      </c>
      <c r="D133">
        <v>57</v>
      </c>
      <c r="E133" t="s">
        <v>628</v>
      </c>
      <c r="F133">
        <v>526</v>
      </c>
      <c r="G133" s="4">
        <v>41132</v>
      </c>
      <c r="H133" s="4">
        <v>21635432</v>
      </c>
      <c r="I133" t="s">
        <v>648</v>
      </c>
      <c r="J133" t="s">
        <v>671</v>
      </c>
      <c r="K133" t="s">
        <v>664</v>
      </c>
      <c r="L133" t="s">
        <v>680</v>
      </c>
      <c r="M133" t="s">
        <v>685</v>
      </c>
      <c r="N133" t="s">
        <v>688</v>
      </c>
      <c r="O133" t="s">
        <v>693</v>
      </c>
      <c r="P133" s="4">
        <v>21635432</v>
      </c>
      <c r="Q133">
        <v>0</v>
      </c>
      <c r="R133" s="7">
        <v>0.28999999999999998</v>
      </c>
      <c r="S133" s="8">
        <f>Table13[[#This Row],[Discount_%]]/100</f>
        <v>2.8999999999999998E-3</v>
      </c>
      <c r="T133" s="6" t="s">
        <v>798</v>
      </c>
      <c r="U133" t="s">
        <v>992</v>
      </c>
      <c r="V133">
        <v>2024</v>
      </c>
      <c r="W133" t="s">
        <v>996</v>
      </c>
      <c r="X133" t="s">
        <v>998</v>
      </c>
      <c r="Y133" t="s">
        <v>1001</v>
      </c>
      <c r="Z133">
        <v>1</v>
      </c>
      <c r="AA133">
        <v>49</v>
      </c>
      <c r="AB133" s="4">
        <f>Table13[[#This Row],[Total_Price]]*(1-Table13[[#This Row],[Discount 2]])</f>
        <v>21572689.247200001</v>
      </c>
      <c r="AC133" s="4" t="str" cm="1">
        <f t="array" ref="AC133">_xlfn.IFS(Table13[[#This Row],[Revenue]]&gt;=30000000,"High Value",Table13[[#This Row],[Revenue]]&gt;=10000000,"Moderate Value",TRUE,"Low Value")</f>
        <v>Moderate Value</v>
      </c>
      <c r="AD133" t="str">
        <f>IF(Table13[[#This Row],[Discount 2]]&gt;=5%, "YES", "NO")</f>
        <v>NO</v>
      </c>
      <c r="AE133" t="str" cm="1">
        <f t="array" ref="AE133">_xlfn.IFS(Table13[[#This Row],[Revenue]]&gt;=30000000,"High Spender",Table13[[#This Row],[Revenue]]&gt;=10000000,"Moderate Spender",TRUE,"Low Spender")</f>
        <v>Moderate Spender</v>
      </c>
      <c r="AF133" s="4" t="str" cm="1">
        <f t="array" ref="AF133">_xlfn.IFS(Table13[[#This Row],[Land_Size_SQM]]&gt;=730,"LARGE",Table13[[#This Row],[Land_Size_SQM]]&gt;=465,"MEDIUM",TRUE,"SMALL")</f>
        <v>MEDIUM</v>
      </c>
    </row>
    <row r="134" spans="1:32" x14ac:dyDescent="0.3">
      <c r="A134" t="s">
        <v>137</v>
      </c>
      <c r="B134" t="s">
        <v>552</v>
      </c>
      <c r="C134" t="s">
        <v>627</v>
      </c>
      <c r="D134">
        <v>55</v>
      </c>
      <c r="E134" t="s">
        <v>630</v>
      </c>
      <c r="F134">
        <v>722</v>
      </c>
      <c r="G134" s="4">
        <v>31195</v>
      </c>
      <c r="H134" s="4">
        <v>22522790</v>
      </c>
      <c r="I134" t="s">
        <v>660</v>
      </c>
      <c r="J134" t="s">
        <v>672</v>
      </c>
      <c r="K134" t="s">
        <v>676</v>
      </c>
      <c r="L134" t="s">
        <v>682</v>
      </c>
      <c r="M134" t="s">
        <v>687</v>
      </c>
      <c r="N134" t="s">
        <v>689</v>
      </c>
      <c r="O134" t="s">
        <v>693</v>
      </c>
      <c r="P134" s="4">
        <v>22522790</v>
      </c>
      <c r="Q134">
        <v>0</v>
      </c>
      <c r="R134" s="7">
        <v>4.53</v>
      </c>
      <c r="S134" s="8">
        <f>Table13[[#This Row],[Discount_%]]/100</f>
        <v>4.53E-2</v>
      </c>
      <c r="T134" s="6" t="s">
        <v>788</v>
      </c>
      <c r="U134" t="s">
        <v>986</v>
      </c>
      <c r="V134">
        <v>2024</v>
      </c>
      <c r="W134" t="s">
        <v>995</v>
      </c>
      <c r="X134" t="s">
        <v>998</v>
      </c>
      <c r="Y134" t="s">
        <v>1000</v>
      </c>
      <c r="Z134">
        <v>2</v>
      </c>
      <c r="AA134">
        <v>38</v>
      </c>
      <c r="AB134" s="4">
        <f>Table13[[#This Row],[Total_Price]]*(1-Table13[[#This Row],[Discount 2]])</f>
        <v>21502507.612999998</v>
      </c>
      <c r="AC134" s="4" t="str" cm="1">
        <f t="array" ref="AC134">_xlfn.IFS(Table13[[#This Row],[Revenue]]&gt;=30000000,"High Value",Table13[[#This Row],[Revenue]]&gt;=10000000,"Moderate Value",TRUE,"Low Value")</f>
        <v>Moderate Value</v>
      </c>
      <c r="AD134" t="str">
        <f>IF(Table13[[#This Row],[Discount 2]]&gt;=5%, "YES", "NO")</f>
        <v>NO</v>
      </c>
      <c r="AE134" t="str" cm="1">
        <f t="array" ref="AE134">_xlfn.IFS(Table13[[#This Row],[Revenue]]&gt;=30000000,"High Spender",Table13[[#This Row],[Revenue]]&gt;=10000000,"Moderate Spender",TRUE,"Low Spender")</f>
        <v>Moderate Spender</v>
      </c>
      <c r="AF134" s="4" t="str" cm="1">
        <f t="array" ref="AF134">_xlfn.IFS(Table13[[#This Row],[Land_Size_SQM]]&gt;=730,"LARGE",Table13[[#This Row],[Land_Size_SQM]]&gt;=465,"MEDIUM",TRUE,"SMALL")</f>
        <v>MEDIUM</v>
      </c>
    </row>
    <row r="135" spans="1:32" x14ac:dyDescent="0.3">
      <c r="A135" t="s">
        <v>136</v>
      </c>
      <c r="B135" t="s">
        <v>588</v>
      </c>
      <c r="C135" t="s">
        <v>627</v>
      </c>
      <c r="D135">
        <v>56</v>
      </c>
      <c r="E135" t="s">
        <v>629</v>
      </c>
      <c r="F135">
        <v>920</v>
      </c>
      <c r="G135" s="4">
        <v>25709</v>
      </c>
      <c r="H135" s="4">
        <v>23652280</v>
      </c>
      <c r="I135" t="s">
        <v>660</v>
      </c>
      <c r="J135" t="s">
        <v>672</v>
      </c>
      <c r="K135" t="s">
        <v>675</v>
      </c>
      <c r="L135" t="s">
        <v>680</v>
      </c>
      <c r="M135" t="s">
        <v>683</v>
      </c>
      <c r="N135" t="s">
        <v>690</v>
      </c>
      <c r="O135" t="s">
        <v>693</v>
      </c>
      <c r="P135" s="4">
        <v>23652280</v>
      </c>
      <c r="Q135">
        <v>0</v>
      </c>
      <c r="R135" s="7">
        <v>9.17</v>
      </c>
      <c r="S135" s="8">
        <f>Table13[[#This Row],[Discount_%]]/100</f>
        <v>9.1700000000000004E-2</v>
      </c>
      <c r="T135" s="6" t="s">
        <v>787</v>
      </c>
      <c r="U135" t="s">
        <v>981</v>
      </c>
      <c r="V135">
        <v>2024</v>
      </c>
      <c r="W135" t="s">
        <v>995</v>
      </c>
      <c r="X135" t="s">
        <v>999</v>
      </c>
      <c r="Y135" t="s">
        <v>1001</v>
      </c>
      <c r="Z135">
        <v>2</v>
      </c>
      <c r="AA135">
        <v>46</v>
      </c>
      <c r="AB135" s="4">
        <f>Table13[[#This Row],[Total_Price]]*(1-Table13[[#This Row],[Discount 2]])</f>
        <v>21483365.923999999</v>
      </c>
      <c r="AC135" s="4" t="str" cm="1">
        <f t="array" ref="AC135">_xlfn.IFS(Table13[[#This Row],[Revenue]]&gt;=30000000,"High Value",Table13[[#This Row],[Revenue]]&gt;=10000000,"Moderate Value",TRUE,"Low Value")</f>
        <v>Moderate Value</v>
      </c>
      <c r="AD135" t="str">
        <f>IF(Table13[[#This Row],[Discount 2]]&gt;=5%, "YES", "NO")</f>
        <v>YES</v>
      </c>
      <c r="AE135" t="str" cm="1">
        <f t="array" ref="AE135">_xlfn.IFS(Table13[[#This Row],[Revenue]]&gt;=30000000,"High Spender",Table13[[#This Row],[Revenue]]&gt;=10000000,"Moderate Spender",TRUE,"Low Spender")</f>
        <v>Moderate Spender</v>
      </c>
      <c r="AF135" s="4" t="str" cm="1">
        <f t="array" ref="AF135">_xlfn.IFS(Table13[[#This Row],[Land_Size_SQM]]&gt;=730,"LARGE",Table13[[#This Row],[Land_Size_SQM]]&gt;=465,"MEDIUM",TRUE,"SMALL")</f>
        <v>LARGE</v>
      </c>
    </row>
    <row r="136" spans="1:32" x14ac:dyDescent="0.3">
      <c r="A136" t="s">
        <v>149</v>
      </c>
      <c r="B136" t="s">
        <v>555</v>
      </c>
      <c r="C136" t="s">
        <v>627</v>
      </c>
      <c r="D136">
        <v>20</v>
      </c>
      <c r="E136" t="s">
        <v>629</v>
      </c>
      <c r="F136">
        <v>717</v>
      </c>
      <c r="G136" s="4">
        <v>31885</v>
      </c>
      <c r="H136" s="4">
        <v>22861545</v>
      </c>
      <c r="I136" t="s">
        <v>649</v>
      </c>
      <c r="J136" t="s">
        <v>669</v>
      </c>
      <c r="K136" t="s">
        <v>679</v>
      </c>
      <c r="L136" t="s">
        <v>682</v>
      </c>
      <c r="M136" t="s">
        <v>684</v>
      </c>
      <c r="N136" t="s">
        <v>689</v>
      </c>
      <c r="O136" t="s">
        <v>694</v>
      </c>
      <c r="P136" s="4">
        <v>8809709</v>
      </c>
      <c r="Q136">
        <v>3</v>
      </c>
      <c r="R136" s="7">
        <v>6.67</v>
      </c>
      <c r="S136" s="8">
        <f>Table13[[#This Row],[Discount_%]]/100</f>
        <v>6.6699999999999995E-2</v>
      </c>
      <c r="T136" s="6" t="s">
        <v>746</v>
      </c>
      <c r="U136" t="s">
        <v>983</v>
      </c>
      <c r="V136">
        <v>2024</v>
      </c>
      <c r="W136" t="s">
        <v>993</v>
      </c>
      <c r="X136" t="s">
        <v>997</v>
      </c>
      <c r="Y136" t="s">
        <v>1001</v>
      </c>
      <c r="Z136">
        <v>3</v>
      </c>
      <c r="AA136">
        <v>35</v>
      </c>
      <c r="AB136" s="4">
        <f>Table13[[#This Row],[Total_Price]]*(1-Table13[[#This Row],[Discount 2]])</f>
        <v>21336679.9485</v>
      </c>
      <c r="AC136" s="4" t="str" cm="1">
        <f t="array" ref="AC136">_xlfn.IFS(Table13[[#This Row],[Revenue]]&gt;=30000000,"High Value",Table13[[#This Row],[Revenue]]&gt;=10000000,"Moderate Value",TRUE,"Low Value")</f>
        <v>Moderate Value</v>
      </c>
      <c r="AD136" t="str">
        <f>IF(Table13[[#This Row],[Discount 2]]&gt;=5%, "YES", "NO")</f>
        <v>YES</v>
      </c>
      <c r="AE136" t="str" cm="1">
        <f t="array" ref="AE136">_xlfn.IFS(Table13[[#This Row],[Revenue]]&gt;=30000000,"High Spender",Table13[[#This Row],[Revenue]]&gt;=10000000,"Moderate Spender",TRUE,"Low Spender")</f>
        <v>Moderate Spender</v>
      </c>
      <c r="AF136" s="4" t="str" cm="1">
        <f t="array" ref="AF136">_xlfn.IFS(Table13[[#This Row],[Land_Size_SQM]]&gt;=730,"LARGE",Table13[[#This Row],[Land_Size_SQM]]&gt;=465,"MEDIUM",TRUE,"SMALL")</f>
        <v>MEDIUM</v>
      </c>
    </row>
    <row r="137" spans="1:32" x14ac:dyDescent="0.3">
      <c r="A137" t="s">
        <v>146</v>
      </c>
      <c r="B137" t="s">
        <v>530</v>
      </c>
      <c r="C137" t="s">
        <v>626</v>
      </c>
      <c r="D137">
        <v>40</v>
      </c>
      <c r="E137" t="s">
        <v>630</v>
      </c>
      <c r="F137">
        <v>709</v>
      </c>
      <c r="G137" s="4">
        <v>32540</v>
      </c>
      <c r="H137" s="4">
        <v>23070860</v>
      </c>
      <c r="I137" t="s">
        <v>657</v>
      </c>
      <c r="J137" t="s">
        <v>671</v>
      </c>
      <c r="K137" t="s">
        <v>675</v>
      </c>
      <c r="L137" t="s">
        <v>680</v>
      </c>
      <c r="M137" t="s">
        <v>686</v>
      </c>
      <c r="N137" t="s">
        <v>688</v>
      </c>
      <c r="O137" t="s">
        <v>693</v>
      </c>
      <c r="P137" s="4">
        <v>23070860</v>
      </c>
      <c r="Q137">
        <v>0</v>
      </c>
      <c r="R137" s="7">
        <v>8.0299999999999994</v>
      </c>
      <c r="S137" s="8">
        <f>Table13[[#This Row],[Discount_%]]/100</f>
        <v>8.0299999999999996E-2</v>
      </c>
      <c r="T137" s="6" t="s">
        <v>795</v>
      </c>
      <c r="U137" t="s">
        <v>989</v>
      </c>
      <c r="V137">
        <v>2024</v>
      </c>
      <c r="W137" t="s">
        <v>996</v>
      </c>
      <c r="X137" t="s">
        <v>999</v>
      </c>
      <c r="Y137" t="s">
        <v>1002</v>
      </c>
      <c r="Z137">
        <v>5</v>
      </c>
      <c r="AA137">
        <v>38</v>
      </c>
      <c r="AB137" s="4">
        <f>Table13[[#This Row],[Total_Price]]*(1-Table13[[#This Row],[Discount 2]])</f>
        <v>21218269.941999998</v>
      </c>
      <c r="AC137" s="4" t="str" cm="1">
        <f t="array" ref="AC137">_xlfn.IFS(Table13[[#This Row],[Revenue]]&gt;=30000000,"High Value",Table13[[#This Row],[Revenue]]&gt;=10000000,"Moderate Value",TRUE,"Low Value")</f>
        <v>Moderate Value</v>
      </c>
      <c r="AD137" t="str">
        <f>IF(Table13[[#This Row],[Discount 2]]&gt;=5%, "YES", "NO")</f>
        <v>YES</v>
      </c>
      <c r="AE137" t="str" cm="1">
        <f t="array" ref="AE137">_xlfn.IFS(Table13[[#This Row],[Revenue]]&gt;=30000000,"High Spender",Table13[[#This Row],[Revenue]]&gt;=10000000,"Moderate Spender",TRUE,"Low Spender")</f>
        <v>Moderate Spender</v>
      </c>
      <c r="AF137" s="4" t="str" cm="1">
        <f t="array" ref="AF137">_xlfn.IFS(Table13[[#This Row],[Land_Size_SQM]]&gt;=730,"LARGE",Table13[[#This Row],[Land_Size_SQM]]&gt;=465,"MEDIUM",TRUE,"SMALL")</f>
        <v>MEDIUM</v>
      </c>
    </row>
    <row r="138" spans="1:32" x14ac:dyDescent="0.3">
      <c r="A138" t="s">
        <v>459</v>
      </c>
      <c r="B138" t="s">
        <v>559</v>
      </c>
      <c r="C138" t="s">
        <v>627</v>
      </c>
      <c r="D138">
        <v>20</v>
      </c>
      <c r="E138" t="s">
        <v>629</v>
      </c>
      <c r="F138">
        <v>909</v>
      </c>
      <c r="G138" s="4">
        <v>23701</v>
      </c>
      <c r="H138" s="4">
        <v>21544209</v>
      </c>
      <c r="I138" t="s">
        <v>633</v>
      </c>
      <c r="J138" t="s">
        <v>668</v>
      </c>
      <c r="K138" t="s">
        <v>674</v>
      </c>
      <c r="L138" t="s">
        <v>680</v>
      </c>
      <c r="M138" t="s">
        <v>683</v>
      </c>
      <c r="N138" t="s">
        <v>691</v>
      </c>
      <c r="O138" t="s">
        <v>694</v>
      </c>
      <c r="P138" s="4">
        <v>7014979</v>
      </c>
      <c r="Q138">
        <v>12</v>
      </c>
      <c r="R138" s="7">
        <v>1.62</v>
      </c>
      <c r="S138" s="8">
        <f>Table13[[#This Row],[Discount_%]]/100</f>
        <v>1.6200000000000003E-2</v>
      </c>
      <c r="T138" s="6" t="s">
        <v>747</v>
      </c>
      <c r="U138" t="s">
        <v>989</v>
      </c>
      <c r="V138">
        <v>2024</v>
      </c>
      <c r="W138" t="s">
        <v>996</v>
      </c>
      <c r="X138" t="s">
        <v>999</v>
      </c>
      <c r="Y138" t="s">
        <v>1002</v>
      </c>
      <c r="Z138">
        <v>3</v>
      </c>
      <c r="AA138">
        <v>48</v>
      </c>
      <c r="AB138" s="4">
        <f>Table13[[#This Row],[Total_Price]]*(1-Table13[[#This Row],[Discount 2]])</f>
        <v>21195192.814199999</v>
      </c>
      <c r="AC138" s="4" t="str" cm="1">
        <f t="array" ref="AC138">_xlfn.IFS(Table13[[#This Row],[Revenue]]&gt;=30000000,"High Value",Table13[[#This Row],[Revenue]]&gt;=10000000,"Moderate Value",TRUE,"Low Value")</f>
        <v>Moderate Value</v>
      </c>
      <c r="AD138" t="str">
        <f>IF(Table13[[#This Row],[Discount 2]]&gt;=5%, "YES", "NO")</f>
        <v>NO</v>
      </c>
      <c r="AE138" t="str" cm="1">
        <f t="array" ref="AE138">_xlfn.IFS(Table13[[#This Row],[Revenue]]&gt;=30000000,"High Spender",Table13[[#This Row],[Revenue]]&gt;=10000000,"Moderate Spender",TRUE,"Low Spender")</f>
        <v>Moderate Spender</v>
      </c>
      <c r="AF138" s="4" t="str" cm="1">
        <f t="array" ref="AF138">_xlfn.IFS(Table13[[#This Row],[Land_Size_SQM]]&gt;=730,"LARGE",Table13[[#This Row],[Land_Size_SQM]]&gt;=465,"MEDIUM",TRUE,"SMALL")</f>
        <v>LARGE</v>
      </c>
    </row>
    <row r="139" spans="1:32" x14ac:dyDescent="0.3">
      <c r="A139" t="s">
        <v>153</v>
      </c>
      <c r="B139" t="s">
        <v>540</v>
      </c>
      <c r="C139" t="s">
        <v>626</v>
      </c>
      <c r="D139">
        <v>23</v>
      </c>
      <c r="E139" t="s">
        <v>628</v>
      </c>
      <c r="F139">
        <v>780</v>
      </c>
      <c r="G139" s="4">
        <v>27503</v>
      </c>
      <c r="H139" s="4">
        <v>21452340</v>
      </c>
      <c r="I139" t="s">
        <v>656</v>
      </c>
      <c r="J139" t="s">
        <v>669</v>
      </c>
      <c r="K139" t="s">
        <v>679</v>
      </c>
      <c r="L139" t="s">
        <v>681</v>
      </c>
      <c r="M139" t="s">
        <v>683</v>
      </c>
      <c r="N139" t="s">
        <v>689</v>
      </c>
      <c r="O139" t="s">
        <v>694</v>
      </c>
      <c r="P139" s="4">
        <v>9153344</v>
      </c>
      <c r="Q139">
        <v>24</v>
      </c>
      <c r="R139" s="7">
        <v>1.4</v>
      </c>
      <c r="S139" s="8">
        <f>Table13[[#This Row],[Discount_%]]/100</f>
        <v>1.3999999999999999E-2</v>
      </c>
      <c r="T139" s="6" t="s">
        <v>779</v>
      </c>
      <c r="U139" t="s">
        <v>984</v>
      </c>
      <c r="V139">
        <v>2024</v>
      </c>
      <c r="W139" t="s">
        <v>994</v>
      </c>
      <c r="X139" t="s">
        <v>997</v>
      </c>
      <c r="Y139" t="s">
        <v>1001</v>
      </c>
      <c r="Z139">
        <v>5</v>
      </c>
      <c r="AA139">
        <v>26</v>
      </c>
      <c r="AB139" s="4">
        <f>Table13[[#This Row],[Total_Price]]*(1-Table13[[#This Row],[Discount 2]])</f>
        <v>21152007.239999998</v>
      </c>
      <c r="AC139" s="4" t="str" cm="1">
        <f t="array" ref="AC139">_xlfn.IFS(Table13[[#This Row],[Revenue]]&gt;=30000000,"High Value",Table13[[#This Row],[Revenue]]&gt;=10000000,"Moderate Value",TRUE,"Low Value")</f>
        <v>Moderate Value</v>
      </c>
      <c r="AD139" t="str">
        <f>IF(Table13[[#This Row],[Discount 2]]&gt;=5%, "YES", "NO")</f>
        <v>NO</v>
      </c>
      <c r="AE139" t="str" cm="1">
        <f t="array" ref="AE139">_xlfn.IFS(Table13[[#This Row],[Revenue]]&gt;=30000000,"High Spender",Table13[[#This Row],[Revenue]]&gt;=10000000,"Moderate Spender",TRUE,"Low Spender")</f>
        <v>Moderate Spender</v>
      </c>
      <c r="AF139" s="4" t="str" cm="1">
        <f t="array" ref="AF139">_xlfn.IFS(Table13[[#This Row],[Land_Size_SQM]]&gt;=730,"LARGE",Table13[[#This Row],[Land_Size_SQM]]&gt;=465,"MEDIUM",TRUE,"SMALL")</f>
        <v>LARGE</v>
      </c>
    </row>
    <row r="140" spans="1:32" x14ac:dyDescent="0.3">
      <c r="A140" t="s">
        <v>64</v>
      </c>
      <c r="B140" t="s">
        <v>555</v>
      </c>
      <c r="C140" t="s">
        <v>626</v>
      </c>
      <c r="D140">
        <v>57</v>
      </c>
      <c r="E140" t="s">
        <v>630</v>
      </c>
      <c r="F140">
        <v>771</v>
      </c>
      <c r="G140" s="4">
        <v>29274</v>
      </c>
      <c r="H140" s="4">
        <v>22570254</v>
      </c>
      <c r="I140" t="s">
        <v>641</v>
      </c>
      <c r="J140" t="s">
        <v>673</v>
      </c>
      <c r="K140" t="s">
        <v>676</v>
      </c>
      <c r="L140" t="s">
        <v>681</v>
      </c>
      <c r="M140" t="s">
        <v>686</v>
      </c>
      <c r="N140" t="s">
        <v>692</v>
      </c>
      <c r="O140" t="s">
        <v>693</v>
      </c>
      <c r="P140" s="4">
        <v>22570254</v>
      </c>
      <c r="Q140">
        <v>0</v>
      </c>
      <c r="R140" s="7">
        <v>7.76</v>
      </c>
      <c r="S140" s="8">
        <f>Table13[[#This Row],[Discount_%]]/100</f>
        <v>7.7600000000000002E-2</v>
      </c>
      <c r="T140" s="6" t="s">
        <v>716</v>
      </c>
      <c r="U140" t="s">
        <v>991</v>
      </c>
      <c r="V140">
        <v>2024</v>
      </c>
      <c r="W140" t="s">
        <v>993</v>
      </c>
      <c r="X140" t="s">
        <v>997</v>
      </c>
      <c r="Y140" t="s">
        <v>1001</v>
      </c>
      <c r="Z140">
        <v>1</v>
      </c>
      <c r="AA140">
        <v>49</v>
      </c>
      <c r="AB140" s="4">
        <f>Table13[[#This Row],[Total_Price]]*(1-Table13[[#This Row],[Discount 2]])</f>
        <v>20818802.2896</v>
      </c>
      <c r="AC140" s="4" t="str" cm="1">
        <f t="array" ref="AC140">_xlfn.IFS(Table13[[#This Row],[Revenue]]&gt;=30000000,"High Value",Table13[[#This Row],[Revenue]]&gt;=10000000,"Moderate Value",TRUE,"Low Value")</f>
        <v>Moderate Value</v>
      </c>
      <c r="AD140" t="str">
        <f>IF(Table13[[#This Row],[Discount 2]]&gt;=5%, "YES", "NO")</f>
        <v>YES</v>
      </c>
      <c r="AE140" t="str" cm="1">
        <f t="array" ref="AE140">_xlfn.IFS(Table13[[#This Row],[Revenue]]&gt;=30000000,"High Spender",Table13[[#This Row],[Revenue]]&gt;=10000000,"Moderate Spender",TRUE,"Low Spender")</f>
        <v>Moderate Spender</v>
      </c>
      <c r="AF140" s="4" t="str" cm="1">
        <f t="array" ref="AF140">_xlfn.IFS(Table13[[#This Row],[Land_Size_SQM]]&gt;=730,"LARGE",Table13[[#This Row],[Land_Size_SQM]]&gt;=465,"MEDIUM",TRUE,"SMALL")</f>
        <v>LARGE</v>
      </c>
    </row>
    <row r="141" spans="1:32" x14ac:dyDescent="0.3">
      <c r="A141" t="s">
        <v>508</v>
      </c>
      <c r="B141" t="s">
        <v>580</v>
      </c>
      <c r="C141" t="s">
        <v>627</v>
      </c>
      <c r="D141">
        <v>21</v>
      </c>
      <c r="E141" t="s">
        <v>629</v>
      </c>
      <c r="F141">
        <v>481</v>
      </c>
      <c r="G141" s="4">
        <v>43440</v>
      </c>
      <c r="H141" s="4">
        <v>20894640</v>
      </c>
      <c r="I141" t="s">
        <v>658</v>
      </c>
      <c r="J141" t="s">
        <v>670</v>
      </c>
      <c r="K141" t="s">
        <v>640</v>
      </c>
      <c r="L141" t="s">
        <v>682</v>
      </c>
      <c r="M141" t="s">
        <v>686</v>
      </c>
      <c r="N141" t="s">
        <v>691</v>
      </c>
      <c r="O141" t="s">
        <v>694</v>
      </c>
      <c r="P141" s="4">
        <v>4251657</v>
      </c>
      <c r="Q141">
        <v>12</v>
      </c>
      <c r="R141" s="7">
        <v>1.17</v>
      </c>
      <c r="S141" s="8">
        <f>Table13[[#This Row],[Discount_%]]/100</f>
        <v>1.1699999999999999E-2</v>
      </c>
      <c r="T141" s="6" t="s">
        <v>974</v>
      </c>
      <c r="U141" t="s">
        <v>987</v>
      </c>
      <c r="V141">
        <v>2024</v>
      </c>
      <c r="W141" t="s">
        <v>994</v>
      </c>
      <c r="X141" t="s">
        <v>997</v>
      </c>
      <c r="Y141" t="s">
        <v>1001</v>
      </c>
      <c r="Z141">
        <v>1</v>
      </c>
      <c r="AA141">
        <v>38</v>
      </c>
      <c r="AB141" s="4">
        <f>Table13[[#This Row],[Total_Price]]*(1-Table13[[#This Row],[Discount 2]])</f>
        <v>20650172.711999997</v>
      </c>
      <c r="AC141" s="4" t="str" cm="1">
        <f t="array" ref="AC141">_xlfn.IFS(Table13[[#This Row],[Revenue]]&gt;=30000000,"High Value",Table13[[#This Row],[Revenue]]&gt;=10000000,"Moderate Value",TRUE,"Low Value")</f>
        <v>Moderate Value</v>
      </c>
      <c r="AD141" t="str">
        <f>IF(Table13[[#This Row],[Discount 2]]&gt;=5%, "YES", "NO")</f>
        <v>NO</v>
      </c>
      <c r="AE141" t="str" cm="1">
        <f t="array" ref="AE141">_xlfn.IFS(Table13[[#This Row],[Revenue]]&gt;=30000000,"High Spender",Table13[[#This Row],[Revenue]]&gt;=10000000,"Moderate Spender",TRUE,"Low Spender")</f>
        <v>Moderate Spender</v>
      </c>
      <c r="AF141" s="4" t="str" cm="1">
        <f t="array" ref="AF141">_xlfn.IFS(Table13[[#This Row],[Land_Size_SQM]]&gt;=730,"LARGE",Table13[[#This Row],[Land_Size_SQM]]&gt;=465,"MEDIUM",TRUE,"SMALL")</f>
        <v>MEDIUM</v>
      </c>
    </row>
    <row r="142" spans="1:32" x14ac:dyDescent="0.3">
      <c r="A142" t="s">
        <v>120</v>
      </c>
      <c r="B142" t="s">
        <v>571</v>
      </c>
      <c r="C142" t="s">
        <v>627</v>
      </c>
      <c r="D142">
        <v>49</v>
      </c>
      <c r="E142" t="s">
        <v>628</v>
      </c>
      <c r="F142">
        <v>935</v>
      </c>
      <c r="G142" s="4">
        <v>22926</v>
      </c>
      <c r="H142" s="4">
        <v>21435810</v>
      </c>
      <c r="I142" t="s">
        <v>640</v>
      </c>
      <c r="J142" t="s">
        <v>672</v>
      </c>
      <c r="K142" t="s">
        <v>651</v>
      </c>
      <c r="L142" t="s">
        <v>681</v>
      </c>
      <c r="M142" t="s">
        <v>684</v>
      </c>
      <c r="N142" t="s">
        <v>688</v>
      </c>
      <c r="O142" t="s">
        <v>694</v>
      </c>
      <c r="P142" s="4">
        <v>5128086</v>
      </c>
      <c r="Q142">
        <v>24</v>
      </c>
      <c r="R142" s="7">
        <v>3.71</v>
      </c>
      <c r="S142" s="8">
        <f>Table13[[#This Row],[Discount_%]]/100</f>
        <v>3.7100000000000001E-2</v>
      </c>
      <c r="T142" s="6" t="s">
        <v>776</v>
      </c>
      <c r="U142" t="s">
        <v>985</v>
      </c>
      <c r="V142">
        <v>2024</v>
      </c>
      <c r="W142" t="s">
        <v>996</v>
      </c>
      <c r="X142" t="s">
        <v>999</v>
      </c>
      <c r="Y142" t="s">
        <v>1000</v>
      </c>
      <c r="Z142">
        <v>3</v>
      </c>
      <c r="AA142">
        <v>25</v>
      </c>
      <c r="AB142" s="4">
        <f>Table13[[#This Row],[Total_Price]]*(1-Table13[[#This Row],[Discount 2]])</f>
        <v>20640541.449000001</v>
      </c>
      <c r="AC142" s="4" t="str" cm="1">
        <f t="array" ref="AC142">_xlfn.IFS(Table13[[#This Row],[Revenue]]&gt;=30000000,"High Value",Table13[[#This Row],[Revenue]]&gt;=10000000,"Moderate Value",TRUE,"Low Value")</f>
        <v>Moderate Value</v>
      </c>
      <c r="AD142" t="str">
        <f>IF(Table13[[#This Row],[Discount 2]]&gt;=5%, "YES", "NO")</f>
        <v>NO</v>
      </c>
      <c r="AE142" t="str" cm="1">
        <f t="array" ref="AE142">_xlfn.IFS(Table13[[#This Row],[Revenue]]&gt;=30000000,"High Spender",Table13[[#This Row],[Revenue]]&gt;=10000000,"Moderate Spender",TRUE,"Low Spender")</f>
        <v>Moderate Spender</v>
      </c>
      <c r="AF142" s="4" t="str" cm="1">
        <f t="array" ref="AF142">_xlfn.IFS(Table13[[#This Row],[Land_Size_SQM]]&gt;=730,"LARGE",Table13[[#This Row],[Land_Size_SQM]]&gt;=465,"MEDIUM",TRUE,"SMALL")</f>
        <v>LARGE</v>
      </c>
    </row>
    <row r="143" spans="1:32" x14ac:dyDescent="0.3">
      <c r="A143" t="s">
        <v>158</v>
      </c>
      <c r="B143" t="s">
        <v>595</v>
      </c>
      <c r="C143" t="s">
        <v>626</v>
      </c>
      <c r="D143">
        <v>40</v>
      </c>
      <c r="E143" t="s">
        <v>629</v>
      </c>
      <c r="F143">
        <v>835</v>
      </c>
      <c r="G143" s="4">
        <v>26896</v>
      </c>
      <c r="H143" s="4">
        <v>22458160</v>
      </c>
      <c r="I143" t="s">
        <v>661</v>
      </c>
      <c r="J143" t="s">
        <v>673</v>
      </c>
      <c r="K143" t="s">
        <v>651</v>
      </c>
      <c r="L143" t="s">
        <v>682</v>
      </c>
      <c r="M143" t="s">
        <v>683</v>
      </c>
      <c r="N143" t="s">
        <v>691</v>
      </c>
      <c r="O143" t="s">
        <v>694</v>
      </c>
      <c r="P143" s="4">
        <v>6746900</v>
      </c>
      <c r="Q143">
        <v>24</v>
      </c>
      <c r="R143" s="7">
        <v>8.15</v>
      </c>
      <c r="S143" s="8">
        <f>Table13[[#This Row],[Discount_%]]/100</f>
        <v>8.1500000000000003E-2</v>
      </c>
      <c r="T143" s="6" t="s">
        <v>751</v>
      </c>
      <c r="U143" t="s">
        <v>983</v>
      </c>
      <c r="V143">
        <v>2024</v>
      </c>
      <c r="W143" t="s">
        <v>994</v>
      </c>
      <c r="X143" t="s">
        <v>999</v>
      </c>
      <c r="Y143" t="s">
        <v>1002</v>
      </c>
      <c r="Z143">
        <v>3</v>
      </c>
      <c r="AA143">
        <v>19</v>
      </c>
      <c r="AB143" s="4">
        <f>Table13[[#This Row],[Total_Price]]*(1-Table13[[#This Row],[Discount 2]])</f>
        <v>20627819.960000001</v>
      </c>
      <c r="AC143" s="4" t="str" cm="1">
        <f t="array" ref="AC143">_xlfn.IFS(Table13[[#This Row],[Revenue]]&gt;=30000000,"High Value",Table13[[#This Row],[Revenue]]&gt;=10000000,"Moderate Value",TRUE,"Low Value")</f>
        <v>Moderate Value</v>
      </c>
      <c r="AD143" t="str">
        <f>IF(Table13[[#This Row],[Discount 2]]&gt;=5%, "YES", "NO")</f>
        <v>YES</v>
      </c>
      <c r="AE143" t="str" cm="1">
        <f t="array" ref="AE143">_xlfn.IFS(Table13[[#This Row],[Revenue]]&gt;=30000000,"High Spender",Table13[[#This Row],[Revenue]]&gt;=10000000,"Moderate Spender",TRUE,"Low Spender")</f>
        <v>Moderate Spender</v>
      </c>
      <c r="AF143" s="4" t="str" cm="1">
        <f t="array" ref="AF143">_xlfn.IFS(Table13[[#This Row],[Land_Size_SQM]]&gt;=730,"LARGE",Table13[[#This Row],[Land_Size_SQM]]&gt;=465,"MEDIUM",TRUE,"SMALL")</f>
        <v>LARGE</v>
      </c>
    </row>
    <row r="144" spans="1:32" x14ac:dyDescent="0.3">
      <c r="A144" t="s">
        <v>461</v>
      </c>
      <c r="B144" t="s">
        <v>560</v>
      </c>
      <c r="C144" t="s">
        <v>627</v>
      </c>
      <c r="D144">
        <v>21</v>
      </c>
      <c r="E144" t="s">
        <v>629</v>
      </c>
      <c r="F144">
        <v>547</v>
      </c>
      <c r="G144" s="4">
        <v>38340</v>
      </c>
      <c r="H144" s="4">
        <v>20971980</v>
      </c>
      <c r="I144" t="s">
        <v>651</v>
      </c>
      <c r="J144" t="s">
        <v>669</v>
      </c>
      <c r="K144" t="s">
        <v>638</v>
      </c>
      <c r="L144" t="s">
        <v>680</v>
      </c>
      <c r="M144" t="s">
        <v>684</v>
      </c>
      <c r="N144" t="s">
        <v>689</v>
      </c>
      <c r="O144" t="s">
        <v>693</v>
      </c>
      <c r="P144" s="4">
        <v>20971980</v>
      </c>
      <c r="Q144">
        <v>0</v>
      </c>
      <c r="R144" s="7">
        <v>1.79</v>
      </c>
      <c r="S144" s="8">
        <f>Table13[[#This Row],[Discount_%]]/100</f>
        <v>1.7899999999999999E-2</v>
      </c>
      <c r="T144" s="6" t="s">
        <v>945</v>
      </c>
      <c r="U144" t="s">
        <v>988</v>
      </c>
      <c r="V144">
        <v>2024</v>
      </c>
      <c r="W144" t="s">
        <v>994</v>
      </c>
      <c r="X144" t="s">
        <v>999</v>
      </c>
      <c r="Y144" t="s">
        <v>1002</v>
      </c>
      <c r="Z144">
        <v>4</v>
      </c>
      <c r="AA144">
        <v>16</v>
      </c>
      <c r="AB144" s="4">
        <f>Table13[[#This Row],[Total_Price]]*(1-Table13[[#This Row],[Discount 2]])</f>
        <v>20596581.557999998</v>
      </c>
      <c r="AC144" s="4" t="str" cm="1">
        <f t="array" ref="AC144">_xlfn.IFS(Table13[[#This Row],[Revenue]]&gt;=30000000,"High Value",Table13[[#This Row],[Revenue]]&gt;=10000000,"Moderate Value",TRUE,"Low Value")</f>
        <v>Moderate Value</v>
      </c>
      <c r="AD144" t="str">
        <f>IF(Table13[[#This Row],[Discount 2]]&gt;=5%, "YES", "NO")</f>
        <v>NO</v>
      </c>
      <c r="AE144" t="str" cm="1">
        <f t="array" ref="AE144">_xlfn.IFS(Table13[[#This Row],[Revenue]]&gt;=30000000,"High Spender",Table13[[#This Row],[Revenue]]&gt;=10000000,"Moderate Spender",TRUE,"Low Spender")</f>
        <v>Moderate Spender</v>
      </c>
      <c r="AF144" s="4" t="str" cm="1">
        <f t="array" ref="AF144">_xlfn.IFS(Table13[[#This Row],[Land_Size_SQM]]&gt;=730,"LARGE",Table13[[#This Row],[Land_Size_SQM]]&gt;=465,"MEDIUM",TRUE,"SMALL")</f>
        <v>MEDIUM</v>
      </c>
    </row>
    <row r="145" spans="1:32" x14ac:dyDescent="0.3">
      <c r="A145" t="s">
        <v>249</v>
      </c>
      <c r="B145" t="s">
        <v>567</v>
      </c>
      <c r="C145" t="s">
        <v>627</v>
      </c>
      <c r="D145">
        <v>36</v>
      </c>
      <c r="E145" t="s">
        <v>629</v>
      </c>
      <c r="F145">
        <v>993</v>
      </c>
      <c r="G145" s="4">
        <v>22019</v>
      </c>
      <c r="H145" s="4">
        <v>21864867</v>
      </c>
      <c r="I145" t="s">
        <v>666</v>
      </c>
      <c r="J145" t="s">
        <v>670</v>
      </c>
      <c r="K145" t="s">
        <v>651</v>
      </c>
      <c r="L145" t="s">
        <v>682</v>
      </c>
      <c r="M145" t="s">
        <v>685</v>
      </c>
      <c r="N145" t="s">
        <v>689</v>
      </c>
      <c r="O145" t="s">
        <v>694</v>
      </c>
      <c r="P145" s="4">
        <v>5525931</v>
      </c>
      <c r="Q145">
        <v>3</v>
      </c>
      <c r="R145" s="7">
        <v>6.07</v>
      </c>
      <c r="S145" s="8">
        <f>Table13[[#This Row],[Discount_%]]/100</f>
        <v>6.0700000000000004E-2</v>
      </c>
      <c r="T145" s="6" t="s">
        <v>798</v>
      </c>
      <c r="U145" t="s">
        <v>992</v>
      </c>
      <c r="V145">
        <v>2024</v>
      </c>
      <c r="W145" t="s">
        <v>993</v>
      </c>
      <c r="X145" t="s">
        <v>997</v>
      </c>
      <c r="Y145" t="s">
        <v>1001</v>
      </c>
      <c r="Z145">
        <v>1</v>
      </c>
      <c r="AA145">
        <v>38</v>
      </c>
      <c r="AB145" s="4">
        <f>Table13[[#This Row],[Total_Price]]*(1-Table13[[#This Row],[Discount 2]])</f>
        <v>20537669.573100001</v>
      </c>
      <c r="AC145" s="4" t="str" cm="1">
        <f t="array" ref="AC145">_xlfn.IFS(Table13[[#This Row],[Revenue]]&gt;=30000000,"High Value",Table13[[#This Row],[Revenue]]&gt;=10000000,"Moderate Value",TRUE,"Low Value")</f>
        <v>Moderate Value</v>
      </c>
      <c r="AD145" t="str">
        <f>IF(Table13[[#This Row],[Discount 2]]&gt;=5%, "YES", "NO")</f>
        <v>YES</v>
      </c>
      <c r="AE145" t="str" cm="1">
        <f t="array" ref="AE145">_xlfn.IFS(Table13[[#This Row],[Revenue]]&gt;=30000000,"High Spender",Table13[[#This Row],[Revenue]]&gt;=10000000,"Moderate Spender",TRUE,"Low Spender")</f>
        <v>Moderate Spender</v>
      </c>
      <c r="AF145" s="4" t="str" cm="1">
        <f t="array" ref="AF145">_xlfn.IFS(Table13[[#This Row],[Land_Size_SQM]]&gt;=730,"LARGE",Table13[[#This Row],[Land_Size_SQM]]&gt;=465,"MEDIUM",TRUE,"SMALL")</f>
        <v>LARGE</v>
      </c>
    </row>
    <row r="146" spans="1:32" x14ac:dyDescent="0.3">
      <c r="A146" t="s">
        <v>419</v>
      </c>
      <c r="B146" t="s">
        <v>613</v>
      </c>
      <c r="C146" t="s">
        <v>627</v>
      </c>
      <c r="D146">
        <v>58</v>
      </c>
      <c r="E146" t="s">
        <v>630</v>
      </c>
      <c r="F146">
        <v>521</v>
      </c>
      <c r="G146" s="4">
        <v>40483</v>
      </c>
      <c r="H146" s="4">
        <v>21091643</v>
      </c>
      <c r="I146" t="s">
        <v>661</v>
      </c>
      <c r="J146" t="s">
        <v>673</v>
      </c>
      <c r="K146" t="s">
        <v>677</v>
      </c>
      <c r="L146" t="s">
        <v>682</v>
      </c>
      <c r="M146" t="s">
        <v>685</v>
      </c>
      <c r="N146" t="s">
        <v>691</v>
      </c>
      <c r="O146" t="s">
        <v>694</v>
      </c>
      <c r="P146" s="4">
        <v>8165484</v>
      </c>
      <c r="Q146">
        <v>24</v>
      </c>
      <c r="R146" s="7">
        <v>2.65</v>
      </c>
      <c r="S146" s="8">
        <f>Table13[[#This Row],[Discount_%]]/100</f>
        <v>2.6499999999999999E-2</v>
      </c>
      <c r="T146" s="6" t="s">
        <v>953</v>
      </c>
      <c r="U146" t="s">
        <v>990</v>
      </c>
      <c r="V146">
        <v>2024</v>
      </c>
      <c r="W146" t="s">
        <v>993</v>
      </c>
      <c r="X146" t="s">
        <v>999</v>
      </c>
      <c r="Y146" t="s">
        <v>1002</v>
      </c>
      <c r="Z146">
        <v>1</v>
      </c>
      <c r="AA146">
        <v>1</v>
      </c>
      <c r="AB146" s="4">
        <f>Table13[[#This Row],[Total_Price]]*(1-Table13[[#This Row],[Discount 2]])</f>
        <v>20532714.460500002</v>
      </c>
      <c r="AC146" s="4" t="str" cm="1">
        <f t="array" ref="AC146">_xlfn.IFS(Table13[[#This Row],[Revenue]]&gt;=30000000,"High Value",Table13[[#This Row],[Revenue]]&gt;=10000000,"Moderate Value",TRUE,"Low Value")</f>
        <v>Moderate Value</v>
      </c>
      <c r="AD146" t="str">
        <f>IF(Table13[[#This Row],[Discount 2]]&gt;=5%, "YES", "NO")</f>
        <v>NO</v>
      </c>
      <c r="AE146" t="str" cm="1">
        <f t="array" ref="AE146">_xlfn.IFS(Table13[[#This Row],[Revenue]]&gt;=30000000,"High Spender",Table13[[#This Row],[Revenue]]&gt;=10000000,"Moderate Spender",TRUE,"Low Spender")</f>
        <v>Moderate Spender</v>
      </c>
      <c r="AF146" s="4" t="str" cm="1">
        <f t="array" ref="AF146">_xlfn.IFS(Table13[[#This Row],[Land_Size_SQM]]&gt;=730,"LARGE",Table13[[#This Row],[Land_Size_SQM]]&gt;=465,"MEDIUM",TRUE,"SMALL")</f>
        <v>MEDIUM</v>
      </c>
    </row>
    <row r="147" spans="1:32" x14ac:dyDescent="0.3">
      <c r="A147" t="s">
        <v>321</v>
      </c>
      <c r="B147" t="s">
        <v>572</v>
      </c>
      <c r="C147" t="s">
        <v>626</v>
      </c>
      <c r="D147">
        <v>48</v>
      </c>
      <c r="E147" t="s">
        <v>630</v>
      </c>
      <c r="F147">
        <v>922</v>
      </c>
      <c r="G147" s="4">
        <v>22611</v>
      </c>
      <c r="H147" s="4">
        <v>20847342</v>
      </c>
      <c r="I147" t="s">
        <v>638</v>
      </c>
      <c r="J147" t="s">
        <v>672</v>
      </c>
      <c r="K147" t="s">
        <v>677</v>
      </c>
      <c r="L147" t="s">
        <v>680</v>
      </c>
      <c r="M147" t="s">
        <v>686</v>
      </c>
      <c r="N147" t="s">
        <v>690</v>
      </c>
      <c r="O147" t="s">
        <v>693</v>
      </c>
      <c r="P147" s="4">
        <v>20847342</v>
      </c>
      <c r="Q147">
        <v>0</v>
      </c>
      <c r="R147" s="7">
        <v>2.71</v>
      </c>
      <c r="S147" s="8">
        <f>Table13[[#This Row],[Discount_%]]/100</f>
        <v>2.7099999999999999E-2</v>
      </c>
      <c r="T147" s="6" t="s">
        <v>726</v>
      </c>
      <c r="U147" t="s">
        <v>981</v>
      </c>
      <c r="V147">
        <v>2024</v>
      </c>
      <c r="W147" t="s">
        <v>996</v>
      </c>
      <c r="X147" t="s">
        <v>999</v>
      </c>
      <c r="Y147" t="s">
        <v>1002</v>
      </c>
      <c r="Z147">
        <v>1</v>
      </c>
      <c r="AA147">
        <v>50</v>
      </c>
      <c r="AB147" s="4">
        <f>Table13[[#This Row],[Total_Price]]*(1-Table13[[#This Row],[Discount 2]])</f>
        <v>20282379.031799998</v>
      </c>
      <c r="AC147" s="4" t="str" cm="1">
        <f t="array" ref="AC147">_xlfn.IFS(Table13[[#This Row],[Revenue]]&gt;=30000000,"High Value",Table13[[#This Row],[Revenue]]&gt;=10000000,"Moderate Value",TRUE,"Low Value")</f>
        <v>Moderate Value</v>
      </c>
      <c r="AD147" t="str">
        <f>IF(Table13[[#This Row],[Discount 2]]&gt;=5%, "YES", "NO")</f>
        <v>NO</v>
      </c>
      <c r="AE147" t="str" cm="1">
        <f t="array" ref="AE147">_xlfn.IFS(Table13[[#This Row],[Revenue]]&gt;=30000000,"High Spender",Table13[[#This Row],[Revenue]]&gt;=10000000,"Moderate Spender",TRUE,"Low Spender")</f>
        <v>Moderate Spender</v>
      </c>
      <c r="AF147" s="4" t="str" cm="1">
        <f t="array" ref="AF147">_xlfn.IFS(Table13[[#This Row],[Land_Size_SQM]]&gt;=730,"LARGE",Table13[[#This Row],[Land_Size_SQM]]&gt;=465,"MEDIUM",TRUE,"SMALL")</f>
        <v>LARGE</v>
      </c>
    </row>
    <row r="148" spans="1:32" x14ac:dyDescent="0.3">
      <c r="A148" t="s">
        <v>156</v>
      </c>
      <c r="B148" t="s">
        <v>538</v>
      </c>
      <c r="C148" t="s">
        <v>626</v>
      </c>
      <c r="D148">
        <v>46</v>
      </c>
      <c r="E148" t="s">
        <v>630</v>
      </c>
      <c r="F148">
        <v>562</v>
      </c>
      <c r="G148" s="4">
        <v>38321</v>
      </c>
      <c r="H148" s="4">
        <v>21536402</v>
      </c>
      <c r="I148" t="s">
        <v>664</v>
      </c>
      <c r="J148" t="s">
        <v>673</v>
      </c>
      <c r="K148" t="s">
        <v>676</v>
      </c>
      <c r="L148" t="s">
        <v>680</v>
      </c>
      <c r="M148" t="s">
        <v>686</v>
      </c>
      <c r="N148" t="s">
        <v>688</v>
      </c>
      <c r="O148" t="s">
        <v>693</v>
      </c>
      <c r="P148" s="4">
        <v>21536402</v>
      </c>
      <c r="Q148">
        <v>0</v>
      </c>
      <c r="R148" s="7">
        <v>5.97</v>
      </c>
      <c r="S148" s="8">
        <f>Table13[[#This Row],[Discount_%]]/100</f>
        <v>5.9699999999999996E-2</v>
      </c>
      <c r="T148" s="6" t="s">
        <v>755</v>
      </c>
      <c r="U148" t="s">
        <v>982</v>
      </c>
      <c r="V148">
        <v>2024</v>
      </c>
      <c r="W148" t="s">
        <v>996</v>
      </c>
      <c r="X148" t="s">
        <v>997</v>
      </c>
      <c r="Y148" t="s">
        <v>1002</v>
      </c>
      <c r="Z148">
        <v>2</v>
      </c>
      <c r="AA148">
        <v>9</v>
      </c>
      <c r="AB148" s="4">
        <f>Table13[[#This Row],[Total_Price]]*(1-Table13[[#This Row],[Discount 2]])</f>
        <v>20250678.8006</v>
      </c>
      <c r="AC148" s="4" t="str" cm="1">
        <f t="array" ref="AC148">_xlfn.IFS(Table13[[#This Row],[Revenue]]&gt;=30000000,"High Value",Table13[[#This Row],[Revenue]]&gt;=10000000,"Moderate Value",TRUE,"Low Value")</f>
        <v>Moderate Value</v>
      </c>
      <c r="AD148" t="str">
        <f>IF(Table13[[#This Row],[Discount 2]]&gt;=5%, "YES", "NO")</f>
        <v>YES</v>
      </c>
      <c r="AE148" t="str" cm="1">
        <f t="array" ref="AE148">_xlfn.IFS(Table13[[#This Row],[Revenue]]&gt;=30000000,"High Spender",Table13[[#This Row],[Revenue]]&gt;=10000000,"Moderate Spender",TRUE,"Low Spender")</f>
        <v>Moderate Spender</v>
      </c>
      <c r="AF148" s="4" t="str" cm="1">
        <f t="array" ref="AF148">_xlfn.IFS(Table13[[#This Row],[Land_Size_SQM]]&gt;=730,"LARGE",Table13[[#This Row],[Land_Size_SQM]]&gt;=465,"MEDIUM",TRUE,"SMALL")</f>
        <v>MEDIUM</v>
      </c>
    </row>
    <row r="149" spans="1:32" x14ac:dyDescent="0.3">
      <c r="A149" t="s">
        <v>507</v>
      </c>
      <c r="B149" t="s">
        <v>565</v>
      </c>
      <c r="C149" t="s">
        <v>626</v>
      </c>
      <c r="D149">
        <v>51</v>
      </c>
      <c r="E149" t="s">
        <v>630</v>
      </c>
      <c r="F149">
        <v>865</v>
      </c>
      <c r="G149" s="4">
        <v>24183</v>
      </c>
      <c r="H149" s="4">
        <v>20918295</v>
      </c>
      <c r="I149" t="s">
        <v>664</v>
      </c>
      <c r="J149" t="s">
        <v>673</v>
      </c>
      <c r="K149" t="s">
        <v>675</v>
      </c>
      <c r="L149" t="s">
        <v>682</v>
      </c>
      <c r="M149" t="s">
        <v>686</v>
      </c>
      <c r="N149" t="s">
        <v>688</v>
      </c>
      <c r="O149" t="s">
        <v>694</v>
      </c>
      <c r="P149" s="4">
        <v>8118218</v>
      </c>
      <c r="Q149">
        <v>6</v>
      </c>
      <c r="R149" s="7">
        <v>4.04</v>
      </c>
      <c r="S149" s="8">
        <f>Table13[[#This Row],[Discount_%]]/100</f>
        <v>4.0399999999999998E-2</v>
      </c>
      <c r="T149" s="6" t="s">
        <v>938</v>
      </c>
      <c r="U149" t="s">
        <v>988</v>
      </c>
      <c r="V149">
        <v>2024</v>
      </c>
      <c r="W149" t="s">
        <v>995</v>
      </c>
      <c r="X149" t="s">
        <v>997</v>
      </c>
      <c r="Y149" t="s">
        <v>1001</v>
      </c>
      <c r="Z149">
        <v>1</v>
      </c>
      <c r="AA149">
        <v>50</v>
      </c>
      <c r="AB149" s="4">
        <f>Table13[[#This Row],[Total_Price]]*(1-Table13[[#This Row],[Discount 2]])</f>
        <v>20073195.881999999</v>
      </c>
      <c r="AC149" s="4" t="str" cm="1">
        <f t="array" ref="AC149">_xlfn.IFS(Table13[[#This Row],[Revenue]]&gt;=30000000,"High Value",Table13[[#This Row],[Revenue]]&gt;=10000000,"Moderate Value",TRUE,"Low Value")</f>
        <v>Moderate Value</v>
      </c>
      <c r="AD149" t="str">
        <f>IF(Table13[[#This Row],[Discount 2]]&gt;=5%, "YES", "NO")</f>
        <v>NO</v>
      </c>
      <c r="AE149" t="str" cm="1">
        <f t="array" ref="AE149">_xlfn.IFS(Table13[[#This Row],[Revenue]]&gt;=30000000,"High Spender",Table13[[#This Row],[Revenue]]&gt;=10000000,"Moderate Spender",TRUE,"Low Spender")</f>
        <v>Moderate Spender</v>
      </c>
      <c r="AF149" s="4" t="str" cm="1">
        <f t="array" ref="AF149">_xlfn.IFS(Table13[[#This Row],[Land_Size_SQM]]&gt;=730,"LARGE",Table13[[#This Row],[Land_Size_SQM]]&gt;=465,"MEDIUM",TRUE,"SMALL")</f>
        <v>LARGE</v>
      </c>
    </row>
    <row r="150" spans="1:32" x14ac:dyDescent="0.3">
      <c r="A150" t="s">
        <v>104</v>
      </c>
      <c r="B150" t="s">
        <v>560</v>
      </c>
      <c r="C150" t="s">
        <v>627</v>
      </c>
      <c r="D150">
        <v>61</v>
      </c>
      <c r="E150" t="s">
        <v>630</v>
      </c>
      <c r="F150">
        <v>740</v>
      </c>
      <c r="G150" s="4">
        <v>29437</v>
      </c>
      <c r="H150" s="4">
        <v>21783380</v>
      </c>
      <c r="I150" t="s">
        <v>639</v>
      </c>
      <c r="J150" t="s">
        <v>671</v>
      </c>
      <c r="K150" t="s">
        <v>675</v>
      </c>
      <c r="L150" t="s">
        <v>681</v>
      </c>
      <c r="M150" t="s">
        <v>686</v>
      </c>
      <c r="N150" t="s">
        <v>689</v>
      </c>
      <c r="O150" t="s">
        <v>693</v>
      </c>
      <c r="P150" s="4">
        <v>21783380</v>
      </c>
      <c r="Q150">
        <v>0</v>
      </c>
      <c r="R150" s="7">
        <v>8.17</v>
      </c>
      <c r="S150" s="8">
        <f>Table13[[#This Row],[Discount_%]]/100</f>
        <v>8.1699999999999995E-2</v>
      </c>
      <c r="T150" s="6" t="s">
        <v>764</v>
      </c>
      <c r="U150" t="s">
        <v>983</v>
      </c>
      <c r="V150">
        <v>2024</v>
      </c>
      <c r="W150" t="s">
        <v>993</v>
      </c>
      <c r="X150" t="s">
        <v>998</v>
      </c>
      <c r="Y150" t="s">
        <v>1000</v>
      </c>
      <c r="Z150">
        <v>2</v>
      </c>
      <c r="AA150">
        <v>18</v>
      </c>
      <c r="AB150" s="4">
        <f>Table13[[#This Row],[Total_Price]]*(1-Table13[[#This Row],[Discount 2]])</f>
        <v>20003677.853999998</v>
      </c>
      <c r="AC150" s="4" t="str" cm="1">
        <f t="array" ref="AC150">_xlfn.IFS(Table13[[#This Row],[Revenue]]&gt;=30000000,"High Value",Table13[[#This Row],[Revenue]]&gt;=10000000,"Moderate Value",TRUE,"Low Value")</f>
        <v>Moderate Value</v>
      </c>
      <c r="AD150" t="str">
        <f>IF(Table13[[#This Row],[Discount 2]]&gt;=5%, "YES", "NO")</f>
        <v>YES</v>
      </c>
      <c r="AE150" t="str" cm="1">
        <f t="array" ref="AE150">_xlfn.IFS(Table13[[#This Row],[Revenue]]&gt;=30000000,"High Spender",Table13[[#This Row],[Revenue]]&gt;=10000000,"Moderate Spender",TRUE,"Low Spender")</f>
        <v>Moderate Spender</v>
      </c>
      <c r="AF150" s="4" t="str" cm="1">
        <f t="array" ref="AF150">_xlfn.IFS(Table13[[#This Row],[Land_Size_SQM]]&gt;=730,"LARGE",Table13[[#This Row],[Land_Size_SQM]]&gt;=465,"MEDIUM",TRUE,"SMALL")</f>
        <v>LARGE</v>
      </c>
    </row>
    <row r="151" spans="1:32" x14ac:dyDescent="0.3">
      <c r="A151" t="s">
        <v>485</v>
      </c>
      <c r="B151" t="s">
        <v>592</v>
      </c>
      <c r="C151" t="s">
        <v>627</v>
      </c>
      <c r="D151">
        <v>62</v>
      </c>
      <c r="E151" t="s">
        <v>628</v>
      </c>
      <c r="F151">
        <v>733</v>
      </c>
      <c r="G151" s="4">
        <v>29190</v>
      </c>
      <c r="H151" s="4">
        <v>21396270</v>
      </c>
      <c r="I151" t="s">
        <v>636</v>
      </c>
      <c r="J151" t="s">
        <v>671</v>
      </c>
      <c r="K151" t="s">
        <v>664</v>
      </c>
      <c r="L151" t="s">
        <v>682</v>
      </c>
      <c r="M151" t="s">
        <v>683</v>
      </c>
      <c r="N151" t="s">
        <v>692</v>
      </c>
      <c r="O151" t="s">
        <v>694</v>
      </c>
      <c r="P151" s="4">
        <v>5749242</v>
      </c>
      <c r="Q151">
        <v>3</v>
      </c>
      <c r="R151" s="7">
        <v>7.33</v>
      </c>
      <c r="S151" s="8">
        <f>Table13[[#This Row],[Discount_%]]/100</f>
        <v>7.3300000000000004E-2</v>
      </c>
      <c r="T151" s="6" t="s">
        <v>853</v>
      </c>
      <c r="U151" t="s">
        <v>982</v>
      </c>
      <c r="V151">
        <v>2024</v>
      </c>
      <c r="W151" t="s">
        <v>995</v>
      </c>
      <c r="X151" t="s">
        <v>997</v>
      </c>
      <c r="Y151" t="s">
        <v>1002</v>
      </c>
      <c r="Z151">
        <v>2</v>
      </c>
      <c r="AA151">
        <v>29</v>
      </c>
      <c r="AB151" s="4">
        <f>Table13[[#This Row],[Total_Price]]*(1-Table13[[#This Row],[Discount 2]])</f>
        <v>19827923.408999998</v>
      </c>
      <c r="AC151" s="4" t="str" cm="1">
        <f t="array" ref="AC151">_xlfn.IFS(Table13[[#This Row],[Revenue]]&gt;=30000000,"High Value",Table13[[#This Row],[Revenue]]&gt;=10000000,"Moderate Value",TRUE,"Low Value")</f>
        <v>Moderate Value</v>
      </c>
      <c r="AD151" t="str">
        <f>IF(Table13[[#This Row],[Discount 2]]&gt;=5%, "YES", "NO")</f>
        <v>YES</v>
      </c>
      <c r="AE151" t="str" cm="1">
        <f t="array" ref="AE151">_xlfn.IFS(Table13[[#This Row],[Revenue]]&gt;=30000000,"High Spender",Table13[[#This Row],[Revenue]]&gt;=10000000,"Moderate Spender",TRUE,"Low Spender")</f>
        <v>Moderate Spender</v>
      </c>
      <c r="AF151" s="4" t="str" cm="1">
        <f t="array" ref="AF151">_xlfn.IFS(Table13[[#This Row],[Land_Size_SQM]]&gt;=730,"LARGE",Table13[[#This Row],[Land_Size_SQM]]&gt;=465,"MEDIUM",TRUE,"SMALL")</f>
        <v>LARGE</v>
      </c>
    </row>
    <row r="152" spans="1:32" x14ac:dyDescent="0.3">
      <c r="A152" t="s">
        <v>372</v>
      </c>
      <c r="B152" t="s">
        <v>564</v>
      </c>
      <c r="C152" t="s">
        <v>626</v>
      </c>
      <c r="D152">
        <v>43</v>
      </c>
      <c r="E152" t="s">
        <v>630</v>
      </c>
      <c r="F152">
        <v>525</v>
      </c>
      <c r="G152" s="4">
        <v>41529</v>
      </c>
      <c r="H152" s="4">
        <v>21802725</v>
      </c>
      <c r="I152" t="s">
        <v>650</v>
      </c>
      <c r="J152" t="s">
        <v>670</v>
      </c>
      <c r="K152" t="s">
        <v>678</v>
      </c>
      <c r="L152" t="s">
        <v>681</v>
      </c>
      <c r="M152" t="s">
        <v>685</v>
      </c>
      <c r="N152" t="s">
        <v>690</v>
      </c>
      <c r="O152" t="s">
        <v>693</v>
      </c>
      <c r="P152" s="4">
        <v>21802725</v>
      </c>
      <c r="Q152">
        <v>0</v>
      </c>
      <c r="R152" s="7">
        <v>9.08</v>
      </c>
      <c r="S152" s="8">
        <f>Table13[[#This Row],[Discount_%]]/100</f>
        <v>9.0800000000000006E-2</v>
      </c>
      <c r="T152" s="6" t="s">
        <v>768</v>
      </c>
      <c r="U152" t="s">
        <v>991</v>
      </c>
      <c r="V152">
        <v>2024</v>
      </c>
      <c r="W152" t="s">
        <v>994</v>
      </c>
      <c r="X152" t="s">
        <v>998</v>
      </c>
      <c r="Y152" t="s">
        <v>1002</v>
      </c>
      <c r="Z152">
        <v>4</v>
      </c>
      <c r="AA152">
        <v>36</v>
      </c>
      <c r="AB152" s="4">
        <f>Table13[[#This Row],[Total_Price]]*(1-Table13[[#This Row],[Discount 2]])</f>
        <v>19823037.57</v>
      </c>
      <c r="AC152" s="4" t="str" cm="1">
        <f t="array" ref="AC152">_xlfn.IFS(Table13[[#This Row],[Revenue]]&gt;=30000000,"High Value",Table13[[#This Row],[Revenue]]&gt;=10000000,"Moderate Value",TRUE,"Low Value")</f>
        <v>Moderate Value</v>
      </c>
      <c r="AD152" t="str">
        <f>IF(Table13[[#This Row],[Discount 2]]&gt;=5%, "YES", "NO")</f>
        <v>YES</v>
      </c>
      <c r="AE152" t="str" cm="1">
        <f t="array" ref="AE152">_xlfn.IFS(Table13[[#This Row],[Revenue]]&gt;=30000000,"High Spender",Table13[[#This Row],[Revenue]]&gt;=10000000,"Moderate Spender",TRUE,"Low Spender")</f>
        <v>Moderate Spender</v>
      </c>
      <c r="AF152" s="4" t="str" cm="1">
        <f t="array" ref="AF152">_xlfn.IFS(Table13[[#This Row],[Land_Size_SQM]]&gt;=730,"LARGE",Table13[[#This Row],[Land_Size_SQM]]&gt;=465,"MEDIUM",TRUE,"SMALL")</f>
        <v>MEDIUM</v>
      </c>
    </row>
    <row r="153" spans="1:32" x14ac:dyDescent="0.3">
      <c r="A153" t="s">
        <v>95</v>
      </c>
      <c r="B153" t="s">
        <v>538</v>
      </c>
      <c r="C153" t="s">
        <v>626</v>
      </c>
      <c r="D153">
        <v>30</v>
      </c>
      <c r="E153" t="s">
        <v>629</v>
      </c>
      <c r="F153">
        <v>520</v>
      </c>
      <c r="G153" s="4">
        <v>39732</v>
      </c>
      <c r="H153" s="4">
        <v>20660640</v>
      </c>
      <c r="I153" t="s">
        <v>661</v>
      </c>
      <c r="J153" t="s">
        <v>673</v>
      </c>
      <c r="K153" t="s">
        <v>676</v>
      </c>
      <c r="L153" t="s">
        <v>681</v>
      </c>
      <c r="M153" t="s">
        <v>687</v>
      </c>
      <c r="N153" t="s">
        <v>689</v>
      </c>
      <c r="O153" t="s">
        <v>694</v>
      </c>
      <c r="P153" s="4">
        <v>8529739</v>
      </c>
      <c r="Q153">
        <v>24</v>
      </c>
      <c r="R153" s="7">
        <v>4.18</v>
      </c>
      <c r="S153" s="8">
        <f>Table13[[#This Row],[Discount_%]]/100</f>
        <v>4.1799999999999997E-2</v>
      </c>
      <c r="T153" s="6" t="s">
        <v>758</v>
      </c>
      <c r="U153" t="s">
        <v>981</v>
      </c>
      <c r="V153">
        <v>2024</v>
      </c>
      <c r="W153" t="s">
        <v>995</v>
      </c>
      <c r="X153" t="s">
        <v>999</v>
      </c>
      <c r="Y153" t="s">
        <v>1000</v>
      </c>
      <c r="Z153">
        <v>4</v>
      </c>
      <c r="AA153">
        <v>38</v>
      </c>
      <c r="AB153" s="4">
        <f>Table13[[#This Row],[Total_Price]]*(1-Table13[[#This Row],[Discount 2]])</f>
        <v>19797025.248</v>
      </c>
      <c r="AC153" s="4" t="str" cm="1">
        <f t="array" ref="AC153">_xlfn.IFS(Table13[[#This Row],[Revenue]]&gt;=30000000,"High Value",Table13[[#This Row],[Revenue]]&gt;=10000000,"Moderate Value",TRUE,"Low Value")</f>
        <v>Moderate Value</v>
      </c>
      <c r="AD153" t="str">
        <f>IF(Table13[[#This Row],[Discount 2]]&gt;=5%, "YES", "NO")</f>
        <v>NO</v>
      </c>
      <c r="AE153" t="str" cm="1">
        <f t="array" ref="AE153">_xlfn.IFS(Table13[[#This Row],[Revenue]]&gt;=30000000,"High Spender",Table13[[#This Row],[Revenue]]&gt;=10000000,"Moderate Spender",TRUE,"Low Spender")</f>
        <v>Moderate Spender</v>
      </c>
      <c r="AF153" s="4" t="str" cm="1">
        <f t="array" ref="AF153">_xlfn.IFS(Table13[[#This Row],[Land_Size_SQM]]&gt;=730,"LARGE",Table13[[#This Row],[Land_Size_SQM]]&gt;=465,"MEDIUM",TRUE,"SMALL")</f>
        <v>MEDIUM</v>
      </c>
    </row>
    <row r="154" spans="1:32" x14ac:dyDescent="0.3">
      <c r="A154" t="s">
        <v>309</v>
      </c>
      <c r="B154" t="s">
        <v>574</v>
      </c>
      <c r="C154" t="s">
        <v>626</v>
      </c>
      <c r="D154">
        <v>48</v>
      </c>
      <c r="E154" t="s">
        <v>630</v>
      </c>
      <c r="F154">
        <v>750</v>
      </c>
      <c r="G154" s="4">
        <v>27926</v>
      </c>
      <c r="H154" s="4">
        <v>20944500</v>
      </c>
      <c r="I154" t="s">
        <v>641</v>
      </c>
      <c r="J154" t="s">
        <v>673</v>
      </c>
      <c r="K154" t="s">
        <v>675</v>
      </c>
      <c r="L154" t="s">
        <v>681</v>
      </c>
      <c r="M154" t="s">
        <v>687</v>
      </c>
      <c r="N154" t="s">
        <v>691</v>
      </c>
      <c r="O154" t="s">
        <v>693</v>
      </c>
      <c r="P154" s="4">
        <v>20944500</v>
      </c>
      <c r="Q154">
        <v>0</v>
      </c>
      <c r="R154" s="7">
        <v>5.58</v>
      </c>
      <c r="S154" s="8">
        <f>Table13[[#This Row],[Discount_%]]/100</f>
        <v>5.5800000000000002E-2</v>
      </c>
      <c r="T154" s="6" t="s">
        <v>905</v>
      </c>
      <c r="U154" t="s">
        <v>986</v>
      </c>
      <c r="V154">
        <v>2024</v>
      </c>
      <c r="W154" t="s">
        <v>996</v>
      </c>
      <c r="X154" t="s">
        <v>998</v>
      </c>
      <c r="Y154" t="s">
        <v>1002</v>
      </c>
      <c r="Z154">
        <v>5</v>
      </c>
      <c r="AA154">
        <v>4</v>
      </c>
      <c r="AB154" s="4">
        <f>Table13[[#This Row],[Total_Price]]*(1-Table13[[#This Row],[Discount 2]])</f>
        <v>19775796.900000002</v>
      </c>
      <c r="AC154" s="4" t="str" cm="1">
        <f t="array" ref="AC154">_xlfn.IFS(Table13[[#This Row],[Revenue]]&gt;=30000000,"High Value",Table13[[#This Row],[Revenue]]&gt;=10000000,"Moderate Value",TRUE,"Low Value")</f>
        <v>Moderate Value</v>
      </c>
      <c r="AD154" t="str">
        <f>IF(Table13[[#This Row],[Discount 2]]&gt;=5%, "YES", "NO")</f>
        <v>YES</v>
      </c>
      <c r="AE154" t="str" cm="1">
        <f t="array" ref="AE154">_xlfn.IFS(Table13[[#This Row],[Revenue]]&gt;=30000000,"High Spender",Table13[[#This Row],[Revenue]]&gt;=10000000,"Moderate Spender",TRUE,"Low Spender")</f>
        <v>Moderate Spender</v>
      </c>
      <c r="AF154" s="4" t="str" cm="1">
        <f t="array" ref="AF154">_xlfn.IFS(Table13[[#This Row],[Land_Size_SQM]]&gt;=730,"LARGE",Table13[[#This Row],[Land_Size_SQM]]&gt;=465,"MEDIUM",TRUE,"SMALL")</f>
        <v>LARGE</v>
      </c>
    </row>
    <row r="155" spans="1:32" x14ac:dyDescent="0.3">
      <c r="A155" t="s">
        <v>453</v>
      </c>
      <c r="B155" t="s">
        <v>585</v>
      </c>
      <c r="C155" t="s">
        <v>627</v>
      </c>
      <c r="D155">
        <v>26</v>
      </c>
      <c r="E155" t="s">
        <v>630</v>
      </c>
      <c r="F155">
        <v>691</v>
      </c>
      <c r="G155" s="4">
        <v>30308</v>
      </c>
      <c r="H155" s="4">
        <v>20942828</v>
      </c>
      <c r="I155" t="s">
        <v>631</v>
      </c>
      <c r="J155" t="s">
        <v>668</v>
      </c>
      <c r="K155" t="s">
        <v>664</v>
      </c>
      <c r="L155" t="s">
        <v>680</v>
      </c>
      <c r="M155" t="s">
        <v>687</v>
      </c>
      <c r="N155" t="s">
        <v>689</v>
      </c>
      <c r="O155" t="s">
        <v>693</v>
      </c>
      <c r="P155" s="4">
        <v>20942828</v>
      </c>
      <c r="Q155">
        <v>0</v>
      </c>
      <c r="R155" s="7">
        <v>5.93</v>
      </c>
      <c r="S155" s="8">
        <f>Table13[[#This Row],[Discount_%]]/100</f>
        <v>5.9299999999999999E-2</v>
      </c>
      <c r="T155" s="6" t="s">
        <v>732</v>
      </c>
      <c r="U155" t="s">
        <v>983</v>
      </c>
      <c r="V155">
        <v>2024</v>
      </c>
      <c r="W155" t="s">
        <v>994</v>
      </c>
      <c r="X155" t="s">
        <v>997</v>
      </c>
      <c r="Y155" t="s">
        <v>1000</v>
      </c>
      <c r="Z155">
        <v>1</v>
      </c>
      <c r="AA155">
        <v>50</v>
      </c>
      <c r="AB155" s="4">
        <f>Table13[[#This Row],[Total_Price]]*(1-Table13[[#This Row],[Discount 2]])</f>
        <v>19700918.299600001</v>
      </c>
      <c r="AC155" s="4" t="str" cm="1">
        <f t="array" ref="AC155">_xlfn.IFS(Table13[[#This Row],[Revenue]]&gt;=30000000,"High Value",Table13[[#This Row],[Revenue]]&gt;=10000000,"Moderate Value",TRUE,"Low Value")</f>
        <v>Moderate Value</v>
      </c>
      <c r="AD155" t="str">
        <f>IF(Table13[[#This Row],[Discount 2]]&gt;=5%, "YES", "NO")</f>
        <v>YES</v>
      </c>
      <c r="AE155" t="str" cm="1">
        <f t="array" ref="AE155">_xlfn.IFS(Table13[[#This Row],[Revenue]]&gt;=30000000,"High Spender",Table13[[#This Row],[Revenue]]&gt;=10000000,"Moderate Spender",TRUE,"Low Spender")</f>
        <v>Moderate Spender</v>
      </c>
      <c r="AF155" s="4" t="str" cm="1">
        <f t="array" ref="AF155">_xlfn.IFS(Table13[[#This Row],[Land_Size_SQM]]&gt;=730,"LARGE",Table13[[#This Row],[Land_Size_SQM]]&gt;=465,"MEDIUM",TRUE,"SMALL")</f>
        <v>MEDIUM</v>
      </c>
    </row>
    <row r="156" spans="1:32" x14ac:dyDescent="0.3">
      <c r="A156" t="s">
        <v>347</v>
      </c>
      <c r="B156" t="s">
        <v>613</v>
      </c>
      <c r="C156" t="s">
        <v>627</v>
      </c>
      <c r="D156">
        <v>44</v>
      </c>
      <c r="E156" t="s">
        <v>629</v>
      </c>
      <c r="F156">
        <v>574</v>
      </c>
      <c r="G156" s="4">
        <v>37037</v>
      </c>
      <c r="H156" s="4">
        <v>21259238</v>
      </c>
      <c r="I156" t="s">
        <v>662</v>
      </c>
      <c r="J156" t="s">
        <v>673</v>
      </c>
      <c r="K156" t="s">
        <v>676</v>
      </c>
      <c r="L156" t="s">
        <v>680</v>
      </c>
      <c r="M156" t="s">
        <v>687</v>
      </c>
      <c r="N156" t="s">
        <v>691</v>
      </c>
      <c r="O156" t="s">
        <v>694</v>
      </c>
      <c r="P156" s="4">
        <v>9616711</v>
      </c>
      <c r="Q156">
        <v>3</v>
      </c>
      <c r="R156" s="7">
        <v>7.6</v>
      </c>
      <c r="S156" s="8">
        <f>Table13[[#This Row],[Discount_%]]/100</f>
        <v>7.5999999999999998E-2</v>
      </c>
      <c r="T156" s="6" t="s">
        <v>926</v>
      </c>
      <c r="U156" t="s">
        <v>992</v>
      </c>
      <c r="V156">
        <v>2024</v>
      </c>
      <c r="W156" t="s">
        <v>993</v>
      </c>
      <c r="X156" t="s">
        <v>997</v>
      </c>
      <c r="Y156" t="s">
        <v>1001</v>
      </c>
      <c r="Z156">
        <v>3</v>
      </c>
      <c r="AA156">
        <v>32</v>
      </c>
      <c r="AB156" s="4">
        <f>Table13[[#This Row],[Total_Price]]*(1-Table13[[#This Row],[Discount 2]])</f>
        <v>19643535.912</v>
      </c>
      <c r="AC156" s="4" t="str" cm="1">
        <f t="array" ref="AC156">_xlfn.IFS(Table13[[#This Row],[Revenue]]&gt;=30000000,"High Value",Table13[[#This Row],[Revenue]]&gt;=10000000,"Moderate Value",TRUE,"Low Value")</f>
        <v>Moderate Value</v>
      </c>
      <c r="AD156" t="str">
        <f>IF(Table13[[#This Row],[Discount 2]]&gt;=5%, "YES", "NO")</f>
        <v>YES</v>
      </c>
      <c r="AE156" t="str" cm="1">
        <f t="array" ref="AE156">_xlfn.IFS(Table13[[#This Row],[Revenue]]&gt;=30000000,"High Spender",Table13[[#This Row],[Revenue]]&gt;=10000000,"Moderate Spender",TRUE,"Low Spender")</f>
        <v>Moderate Spender</v>
      </c>
      <c r="AF156" s="4" t="str" cm="1">
        <f t="array" ref="AF156">_xlfn.IFS(Table13[[#This Row],[Land_Size_SQM]]&gt;=730,"LARGE",Table13[[#This Row],[Land_Size_SQM]]&gt;=465,"MEDIUM",TRUE,"SMALL")</f>
        <v>MEDIUM</v>
      </c>
    </row>
    <row r="157" spans="1:32" x14ac:dyDescent="0.3">
      <c r="A157" t="s">
        <v>423</v>
      </c>
      <c r="B157" t="s">
        <v>552</v>
      </c>
      <c r="C157" t="s">
        <v>627</v>
      </c>
      <c r="D157">
        <v>51</v>
      </c>
      <c r="E157" t="s">
        <v>629</v>
      </c>
      <c r="F157">
        <v>523</v>
      </c>
      <c r="G157" s="4">
        <v>38258</v>
      </c>
      <c r="H157" s="4">
        <v>20008934</v>
      </c>
      <c r="I157" t="s">
        <v>661</v>
      </c>
      <c r="J157" t="s">
        <v>673</v>
      </c>
      <c r="K157" t="s">
        <v>674</v>
      </c>
      <c r="L157" t="s">
        <v>682</v>
      </c>
      <c r="M157" t="s">
        <v>687</v>
      </c>
      <c r="N157" t="s">
        <v>691</v>
      </c>
      <c r="O157" t="s">
        <v>693</v>
      </c>
      <c r="P157" s="4">
        <v>20008934</v>
      </c>
      <c r="Q157">
        <v>0</v>
      </c>
      <c r="R157" s="7">
        <v>2.68</v>
      </c>
      <c r="S157" s="8">
        <f>Table13[[#This Row],[Discount_%]]/100</f>
        <v>2.6800000000000001E-2</v>
      </c>
      <c r="T157" s="6" t="s">
        <v>855</v>
      </c>
      <c r="U157" t="s">
        <v>983</v>
      </c>
      <c r="V157">
        <v>2024</v>
      </c>
      <c r="W157" t="s">
        <v>995</v>
      </c>
      <c r="X157" t="s">
        <v>999</v>
      </c>
      <c r="Y157" t="s">
        <v>1000</v>
      </c>
      <c r="Z157">
        <v>3</v>
      </c>
      <c r="AA157">
        <v>47</v>
      </c>
      <c r="AB157" s="4">
        <f>Table13[[#This Row],[Total_Price]]*(1-Table13[[#This Row],[Discount 2]])</f>
        <v>19472694.568799999</v>
      </c>
      <c r="AC157" s="4" t="str" cm="1">
        <f t="array" ref="AC157">_xlfn.IFS(Table13[[#This Row],[Revenue]]&gt;=30000000,"High Value",Table13[[#This Row],[Revenue]]&gt;=10000000,"Moderate Value",TRUE,"Low Value")</f>
        <v>Moderate Value</v>
      </c>
      <c r="AD157" t="str">
        <f>IF(Table13[[#This Row],[Discount 2]]&gt;=5%, "YES", "NO")</f>
        <v>NO</v>
      </c>
      <c r="AE157" t="str" cm="1">
        <f t="array" ref="AE157">_xlfn.IFS(Table13[[#This Row],[Revenue]]&gt;=30000000,"High Spender",Table13[[#This Row],[Revenue]]&gt;=10000000,"Moderate Spender",TRUE,"Low Spender")</f>
        <v>Moderate Spender</v>
      </c>
      <c r="AF157" s="4" t="str" cm="1">
        <f t="array" ref="AF157">_xlfn.IFS(Table13[[#This Row],[Land_Size_SQM]]&gt;=730,"LARGE",Table13[[#This Row],[Land_Size_SQM]]&gt;=465,"MEDIUM",TRUE,"SMALL")</f>
        <v>MEDIUM</v>
      </c>
    </row>
    <row r="158" spans="1:32" x14ac:dyDescent="0.3">
      <c r="A158" t="s">
        <v>336</v>
      </c>
      <c r="B158" t="s">
        <v>596</v>
      </c>
      <c r="C158" t="s">
        <v>626</v>
      </c>
      <c r="D158">
        <v>46</v>
      </c>
      <c r="E158" t="s">
        <v>630</v>
      </c>
      <c r="F158">
        <v>551</v>
      </c>
      <c r="G158" s="4">
        <v>37063</v>
      </c>
      <c r="H158" s="4">
        <v>20421713</v>
      </c>
      <c r="I158" t="s">
        <v>667</v>
      </c>
      <c r="J158" t="s">
        <v>671</v>
      </c>
      <c r="K158" t="s">
        <v>664</v>
      </c>
      <c r="L158" t="s">
        <v>681</v>
      </c>
      <c r="M158" t="s">
        <v>687</v>
      </c>
      <c r="N158" t="s">
        <v>688</v>
      </c>
      <c r="O158" t="s">
        <v>693</v>
      </c>
      <c r="P158" s="4">
        <v>20421713</v>
      </c>
      <c r="Q158">
        <v>0</v>
      </c>
      <c r="R158" s="7">
        <v>4.6900000000000004</v>
      </c>
      <c r="S158" s="8">
        <f>Table13[[#This Row],[Discount_%]]/100</f>
        <v>4.6900000000000004E-2</v>
      </c>
      <c r="T158" s="6" t="s">
        <v>788</v>
      </c>
      <c r="U158" t="s">
        <v>986</v>
      </c>
      <c r="V158">
        <v>2024</v>
      </c>
      <c r="W158" t="s">
        <v>993</v>
      </c>
      <c r="X158" t="s">
        <v>997</v>
      </c>
      <c r="Y158" t="s">
        <v>1001</v>
      </c>
      <c r="Z158">
        <v>3</v>
      </c>
      <c r="AA158">
        <v>47</v>
      </c>
      <c r="AB158" s="4">
        <f>Table13[[#This Row],[Total_Price]]*(1-Table13[[#This Row],[Discount 2]])</f>
        <v>19463934.660299998</v>
      </c>
      <c r="AC158" s="4" t="str" cm="1">
        <f t="array" ref="AC158">_xlfn.IFS(Table13[[#This Row],[Revenue]]&gt;=30000000,"High Value",Table13[[#This Row],[Revenue]]&gt;=10000000,"Moderate Value",TRUE,"Low Value")</f>
        <v>Moderate Value</v>
      </c>
      <c r="AD158" t="str">
        <f>IF(Table13[[#This Row],[Discount 2]]&gt;=5%, "YES", "NO")</f>
        <v>NO</v>
      </c>
      <c r="AE158" t="str" cm="1">
        <f t="array" ref="AE158">_xlfn.IFS(Table13[[#This Row],[Revenue]]&gt;=30000000,"High Spender",Table13[[#This Row],[Revenue]]&gt;=10000000,"Moderate Spender",TRUE,"Low Spender")</f>
        <v>Moderate Spender</v>
      </c>
      <c r="AF158" s="4" t="str" cm="1">
        <f t="array" ref="AF158">_xlfn.IFS(Table13[[#This Row],[Land_Size_SQM]]&gt;=730,"LARGE",Table13[[#This Row],[Land_Size_SQM]]&gt;=465,"MEDIUM",TRUE,"SMALL")</f>
        <v>MEDIUM</v>
      </c>
    </row>
    <row r="159" spans="1:32" x14ac:dyDescent="0.3">
      <c r="A159" t="s">
        <v>90</v>
      </c>
      <c r="B159" t="s">
        <v>572</v>
      </c>
      <c r="C159" t="s">
        <v>627</v>
      </c>
      <c r="D159">
        <v>42</v>
      </c>
      <c r="E159" t="s">
        <v>629</v>
      </c>
      <c r="F159">
        <v>494</v>
      </c>
      <c r="G159" s="4">
        <v>41348</v>
      </c>
      <c r="H159" s="4">
        <v>20425912</v>
      </c>
      <c r="I159" t="s">
        <v>633</v>
      </c>
      <c r="J159" t="s">
        <v>668</v>
      </c>
      <c r="K159" t="s">
        <v>664</v>
      </c>
      <c r="L159" t="s">
        <v>681</v>
      </c>
      <c r="M159" t="s">
        <v>685</v>
      </c>
      <c r="N159" t="s">
        <v>690</v>
      </c>
      <c r="O159" t="s">
        <v>694</v>
      </c>
      <c r="P159" s="4">
        <v>4720023</v>
      </c>
      <c r="Q159">
        <v>12</v>
      </c>
      <c r="R159" s="7">
        <v>5.07</v>
      </c>
      <c r="S159" s="8">
        <f>Table13[[#This Row],[Discount_%]]/100</f>
        <v>5.0700000000000002E-2</v>
      </c>
      <c r="T159" s="6" t="s">
        <v>753</v>
      </c>
      <c r="U159" t="s">
        <v>987</v>
      </c>
      <c r="V159">
        <v>2024</v>
      </c>
      <c r="W159" t="s">
        <v>996</v>
      </c>
      <c r="X159" t="s">
        <v>998</v>
      </c>
      <c r="Y159" t="s">
        <v>1001</v>
      </c>
      <c r="Z159">
        <v>5</v>
      </c>
      <c r="AA159">
        <v>40</v>
      </c>
      <c r="AB159" s="4">
        <f>Table13[[#This Row],[Total_Price]]*(1-Table13[[#This Row],[Discount 2]])</f>
        <v>19390318.261599999</v>
      </c>
      <c r="AC159" s="4" t="str" cm="1">
        <f t="array" ref="AC159">_xlfn.IFS(Table13[[#This Row],[Revenue]]&gt;=30000000,"High Value",Table13[[#This Row],[Revenue]]&gt;=10000000,"Moderate Value",TRUE,"Low Value")</f>
        <v>Moderate Value</v>
      </c>
      <c r="AD159" t="str">
        <f>IF(Table13[[#This Row],[Discount 2]]&gt;=5%, "YES", "NO")</f>
        <v>YES</v>
      </c>
      <c r="AE159" t="str" cm="1">
        <f t="array" ref="AE159">_xlfn.IFS(Table13[[#This Row],[Revenue]]&gt;=30000000,"High Spender",Table13[[#This Row],[Revenue]]&gt;=10000000,"Moderate Spender",TRUE,"Low Spender")</f>
        <v>Moderate Spender</v>
      </c>
      <c r="AF159" s="4" t="str" cm="1">
        <f t="array" ref="AF159">_xlfn.IFS(Table13[[#This Row],[Land_Size_SQM]]&gt;=730,"LARGE",Table13[[#This Row],[Land_Size_SQM]]&gt;=465,"MEDIUM",TRUE,"SMALL")</f>
        <v>MEDIUM</v>
      </c>
    </row>
    <row r="160" spans="1:32" x14ac:dyDescent="0.3">
      <c r="A160" t="s">
        <v>58</v>
      </c>
      <c r="B160" t="s">
        <v>541</v>
      </c>
      <c r="C160" t="s">
        <v>626</v>
      </c>
      <c r="D160">
        <v>60</v>
      </c>
      <c r="E160" t="s">
        <v>630</v>
      </c>
      <c r="F160">
        <v>863</v>
      </c>
      <c r="G160" s="4">
        <v>24362</v>
      </c>
      <c r="H160" s="4">
        <v>21024406</v>
      </c>
      <c r="I160" t="s">
        <v>643</v>
      </c>
      <c r="J160" t="s">
        <v>671</v>
      </c>
      <c r="K160" t="s">
        <v>675</v>
      </c>
      <c r="L160" t="s">
        <v>682</v>
      </c>
      <c r="M160" t="s">
        <v>683</v>
      </c>
      <c r="N160" t="s">
        <v>691</v>
      </c>
      <c r="O160" t="s">
        <v>693</v>
      </c>
      <c r="P160" s="4">
        <v>21024406</v>
      </c>
      <c r="Q160">
        <v>0</v>
      </c>
      <c r="R160" s="7">
        <v>8.5</v>
      </c>
      <c r="S160" s="8">
        <f>Table13[[#This Row],[Discount_%]]/100</f>
        <v>8.5000000000000006E-2</v>
      </c>
      <c r="T160" s="6" t="s">
        <v>725</v>
      </c>
      <c r="U160" t="s">
        <v>986</v>
      </c>
      <c r="V160">
        <v>2024</v>
      </c>
      <c r="W160" t="s">
        <v>996</v>
      </c>
      <c r="X160" t="s">
        <v>997</v>
      </c>
      <c r="Y160" t="s">
        <v>1001</v>
      </c>
      <c r="Z160">
        <v>3</v>
      </c>
      <c r="AA160">
        <v>40</v>
      </c>
      <c r="AB160" s="4">
        <f>Table13[[#This Row],[Total_Price]]*(1-Table13[[#This Row],[Discount 2]])</f>
        <v>19237331.490000002</v>
      </c>
      <c r="AC160" s="4" t="str" cm="1">
        <f t="array" ref="AC160">_xlfn.IFS(Table13[[#This Row],[Revenue]]&gt;=30000000,"High Value",Table13[[#This Row],[Revenue]]&gt;=10000000,"Moderate Value",TRUE,"Low Value")</f>
        <v>Moderate Value</v>
      </c>
      <c r="AD160" t="str">
        <f>IF(Table13[[#This Row],[Discount 2]]&gt;=5%, "YES", "NO")</f>
        <v>YES</v>
      </c>
      <c r="AE160" t="str" cm="1">
        <f t="array" ref="AE160">_xlfn.IFS(Table13[[#This Row],[Revenue]]&gt;=30000000,"High Spender",Table13[[#This Row],[Revenue]]&gt;=10000000,"Moderate Spender",TRUE,"Low Spender")</f>
        <v>Moderate Spender</v>
      </c>
      <c r="AF160" s="4" t="str" cm="1">
        <f t="array" ref="AF160">_xlfn.IFS(Table13[[#This Row],[Land_Size_SQM]]&gt;=730,"LARGE",Table13[[#This Row],[Land_Size_SQM]]&gt;=465,"MEDIUM",TRUE,"SMALL")</f>
        <v>LARGE</v>
      </c>
    </row>
    <row r="161" spans="1:32" x14ac:dyDescent="0.3">
      <c r="A161" t="s">
        <v>268</v>
      </c>
      <c r="B161" t="s">
        <v>596</v>
      </c>
      <c r="C161" t="s">
        <v>627</v>
      </c>
      <c r="D161">
        <v>54</v>
      </c>
      <c r="E161" t="s">
        <v>628</v>
      </c>
      <c r="F161">
        <v>455</v>
      </c>
      <c r="G161" s="4">
        <v>42540</v>
      </c>
      <c r="H161" s="4">
        <v>19355700</v>
      </c>
      <c r="I161" t="s">
        <v>654</v>
      </c>
      <c r="J161" t="s">
        <v>669</v>
      </c>
      <c r="K161" t="s">
        <v>679</v>
      </c>
      <c r="L161" t="s">
        <v>681</v>
      </c>
      <c r="M161" t="s">
        <v>687</v>
      </c>
      <c r="N161" t="s">
        <v>692</v>
      </c>
      <c r="O161" t="s">
        <v>694</v>
      </c>
      <c r="P161" s="4">
        <v>8394210</v>
      </c>
      <c r="Q161">
        <v>6</v>
      </c>
      <c r="R161" s="7">
        <v>1.2</v>
      </c>
      <c r="S161" s="8">
        <f>Table13[[#This Row],[Discount_%]]/100</f>
        <v>1.2E-2</v>
      </c>
      <c r="T161" s="6" t="s">
        <v>770</v>
      </c>
      <c r="U161" t="s">
        <v>981</v>
      </c>
      <c r="V161">
        <v>2024</v>
      </c>
      <c r="W161" t="s">
        <v>994</v>
      </c>
      <c r="X161" t="s">
        <v>998</v>
      </c>
      <c r="Y161" t="s">
        <v>1001</v>
      </c>
      <c r="Z161">
        <v>3</v>
      </c>
      <c r="AA161">
        <v>32</v>
      </c>
      <c r="AB161" s="4">
        <f>Table13[[#This Row],[Total_Price]]*(1-Table13[[#This Row],[Discount 2]])</f>
        <v>19123431.600000001</v>
      </c>
      <c r="AC161" s="4" t="str" cm="1">
        <f t="array" ref="AC161">_xlfn.IFS(Table13[[#This Row],[Revenue]]&gt;=30000000,"High Value",Table13[[#This Row],[Revenue]]&gt;=10000000,"Moderate Value",TRUE,"Low Value")</f>
        <v>Moderate Value</v>
      </c>
      <c r="AD161" t="str">
        <f>IF(Table13[[#This Row],[Discount 2]]&gt;=5%, "YES", "NO")</f>
        <v>NO</v>
      </c>
      <c r="AE161" t="str" cm="1">
        <f t="array" ref="AE161">_xlfn.IFS(Table13[[#This Row],[Revenue]]&gt;=30000000,"High Spender",Table13[[#This Row],[Revenue]]&gt;=10000000,"Moderate Spender",TRUE,"Low Spender")</f>
        <v>Moderate Spender</v>
      </c>
      <c r="AF161" s="4" t="str" cm="1">
        <f t="array" ref="AF161">_xlfn.IFS(Table13[[#This Row],[Land_Size_SQM]]&gt;=730,"LARGE",Table13[[#This Row],[Land_Size_SQM]]&gt;=465,"MEDIUM",TRUE,"SMALL")</f>
        <v>SMALL</v>
      </c>
    </row>
    <row r="162" spans="1:32" x14ac:dyDescent="0.3">
      <c r="A162" t="s">
        <v>110</v>
      </c>
      <c r="B162" t="s">
        <v>542</v>
      </c>
      <c r="C162" t="s">
        <v>626</v>
      </c>
      <c r="D162">
        <v>37</v>
      </c>
      <c r="E162" t="s">
        <v>628</v>
      </c>
      <c r="F162">
        <v>727</v>
      </c>
      <c r="G162" s="4">
        <v>28098</v>
      </c>
      <c r="H162" s="4">
        <v>20427246</v>
      </c>
      <c r="I162" t="s">
        <v>646</v>
      </c>
      <c r="J162" t="s">
        <v>673</v>
      </c>
      <c r="K162" t="s">
        <v>677</v>
      </c>
      <c r="L162" t="s">
        <v>681</v>
      </c>
      <c r="M162" t="s">
        <v>684</v>
      </c>
      <c r="N162" t="s">
        <v>691</v>
      </c>
      <c r="O162" t="s">
        <v>694</v>
      </c>
      <c r="P162" s="4">
        <v>4309868</v>
      </c>
      <c r="Q162">
        <v>12</v>
      </c>
      <c r="R162" s="7">
        <v>6.47</v>
      </c>
      <c r="S162" s="8">
        <f>Table13[[#This Row],[Discount_%]]/100</f>
        <v>6.4699999999999994E-2</v>
      </c>
      <c r="T162" s="6" t="s">
        <v>720</v>
      </c>
      <c r="U162" t="s">
        <v>992</v>
      </c>
      <c r="V162">
        <v>2024</v>
      </c>
      <c r="W162" t="s">
        <v>995</v>
      </c>
      <c r="X162" t="s">
        <v>998</v>
      </c>
      <c r="Y162" t="s">
        <v>1002</v>
      </c>
      <c r="Z162">
        <v>2</v>
      </c>
      <c r="AA162">
        <v>32</v>
      </c>
      <c r="AB162" s="4">
        <f>Table13[[#This Row],[Total_Price]]*(1-Table13[[#This Row],[Discount 2]])</f>
        <v>19105603.183800001</v>
      </c>
      <c r="AC162" s="4" t="str" cm="1">
        <f t="array" ref="AC162">_xlfn.IFS(Table13[[#This Row],[Revenue]]&gt;=30000000,"High Value",Table13[[#This Row],[Revenue]]&gt;=10000000,"Moderate Value",TRUE,"Low Value")</f>
        <v>Moderate Value</v>
      </c>
      <c r="AD162" t="str">
        <f>IF(Table13[[#This Row],[Discount 2]]&gt;=5%, "YES", "NO")</f>
        <v>YES</v>
      </c>
      <c r="AE162" t="str" cm="1">
        <f t="array" ref="AE162">_xlfn.IFS(Table13[[#This Row],[Revenue]]&gt;=30000000,"High Spender",Table13[[#This Row],[Revenue]]&gt;=10000000,"Moderate Spender",TRUE,"Low Spender")</f>
        <v>Moderate Spender</v>
      </c>
      <c r="AF162" s="4" t="str" cm="1">
        <f t="array" ref="AF162">_xlfn.IFS(Table13[[#This Row],[Land_Size_SQM]]&gt;=730,"LARGE",Table13[[#This Row],[Land_Size_SQM]]&gt;=465,"MEDIUM",TRUE,"SMALL")</f>
        <v>MEDIUM</v>
      </c>
    </row>
    <row r="163" spans="1:32" x14ac:dyDescent="0.3">
      <c r="A163" t="s">
        <v>376</v>
      </c>
      <c r="B163" t="s">
        <v>547</v>
      </c>
      <c r="C163" t="s">
        <v>627</v>
      </c>
      <c r="D163">
        <v>40</v>
      </c>
      <c r="E163" t="s">
        <v>630</v>
      </c>
      <c r="F163">
        <v>582</v>
      </c>
      <c r="G163" s="4">
        <v>35588</v>
      </c>
      <c r="H163" s="4">
        <v>20712216</v>
      </c>
      <c r="I163" t="s">
        <v>633</v>
      </c>
      <c r="J163" t="s">
        <v>668</v>
      </c>
      <c r="K163" t="s">
        <v>676</v>
      </c>
      <c r="L163" t="s">
        <v>682</v>
      </c>
      <c r="M163" t="s">
        <v>683</v>
      </c>
      <c r="N163" t="s">
        <v>690</v>
      </c>
      <c r="O163" t="s">
        <v>693</v>
      </c>
      <c r="P163" s="4">
        <v>20712216</v>
      </c>
      <c r="Q163">
        <v>0</v>
      </c>
      <c r="R163" s="7">
        <v>8.4499999999999993</v>
      </c>
      <c r="S163" s="8">
        <f>Table13[[#This Row],[Discount_%]]/100</f>
        <v>8.4499999999999992E-2</v>
      </c>
      <c r="T163" s="6" t="s">
        <v>941</v>
      </c>
      <c r="U163" t="s">
        <v>987</v>
      </c>
      <c r="V163">
        <v>2024</v>
      </c>
      <c r="W163" t="s">
        <v>996</v>
      </c>
      <c r="X163" t="s">
        <v>999</v>
      </c>
      <c r="Y163" t="s">
        <v>1002</v>
      </c>
      <c r="Z163">
        <v>3</v>
      </c>
      <c r="AA163">
        <v>27</v>
      </c>
      <c r="AB163" s="4">
        <f>Table13[[#This Row],[Total_Price]]*(1-Table13[[#This Row],[Discount 2]])</f>
        <v>18962033.748</v>
      </c>
      <c r="AC163" s="4" t="str" cm="1">
        <f t="array" ref="AC163">_xlfn.IFS(Table13[[#This Row],[Revenue]]&gt;=30000000,"High Value",Table13[[#This Row],[Revenue]]&gt;=10000000,"Moderate Value",TRUE,"Low Value")</f>
        <v>Moderate Value</v>
      </c>
      <c r="AD163" t="str">
        <f>IF(Table13[[#This Row],[Discount 2]]&gt;=5%, "YES", "NO")</f>
        <v>YES</v>
      </c>
      <c r="AE163" t="str" cm="1">
        <f t="array" ref="AE163">_xlfn.IFS(Table13[[#This Row],[Revenue]]&gt;=30000000,"High Spender",Table13[[#This Row],[Revenue]]&gt;=10000000,"Moderate Spender",TRUE,"Low Spender")</f>
        <v>Moderate Spender</v>
      </c>
      <c r="AF163" s="4" t="str" cm="1">
        <f t="array" ref="AF163">_xlfn.IFS(Table13[[#This Row],[Land_Size_SQM]]&gt;=730,"LARGE",Table13[[#This Row],[Land_Size_SQM]]&gt;=465,"MEDIUM",TRUE,"SMALL")</f>
        <v>MEDIUM</v>
      </c>
    </row>
    <row r="164" spans="1:32" x14ac:dyDescent="0.3">
      <c r="A164" t="s">
        <v>38</v>
      </c>
      <c r="B164" t="s">
        <v>538</v>
      </c>
      <c r="C164" t="s">
        <v>626</v>
      </c>
      <c r="D164">
        <v>36</v>
      </c>
      <c r="E164" t="s">
        <v>630</v>
      </c>
      <c r="F164">
        <v>616</v>
      </c>
      <c r="G164" s="4">
        <v>33826</v>
      </c>
      <c r="H164" s="4">
        <v>20836816</v>
      </c>
      <c r="I164" t="s">
        <v>641</v>
      </c>
      <c r="J164" t="s">
        <v>673</v>
      </c>
      <c r="K164" t="s">
        <v>638</v>
      </c>
      <c r="L164" t="s">
        <v>681</v>
      </c>
      <c r="M164" t="s">
        <v>684</v>
      </c>
      <c r="N164" t="s">
        <v>692</v>
      </c>
      <c r="O164" t="s">
        <v>694</v>
      </c>
      <c r="P164" s="4">
        <v>9572332</v>
      </c>
      <c r="Q164">
        <v>6</v>
      </c>
      <c r="R164" s="7">
        <v>9.02</v>
      </c>
      <c r="S164" s="8">
        <f>Table13[[#This Row],[Discount_%]]/100</f>
        <v>9.0200000000000002E-2</v>
      </c>
      <c r="T164" s="6" t="s">
        <v>707</v>
      </c>
      <c r="U164" t="s">
        <v>987</v>
      </c>
      <c r="V164">
        <v>2024</v>
      </c>
      <c r="W164" t="s">
        <v>995</v>
      </c>
      <c r="X164" t="s">
        <v>999</v>
      </c>
      <c r="Y164" t="s">
        <v>1000</v>
      </c>
      <c r="Z164">
        <v>3</v>
      </c>
      <c r="AA164">
        <v>14</v>
      </c>
      <c r="AB164" s="4">
        <f>Table13[[#This Row],[Total_Price]]*(1-Table13[[#This Row],[Discount 2]])</f>
        <v>18957335.196799997</v>
      </c>
      <c r="AC164" s="4" t="str" cm="1">
        <f t="array" ref="AC164">_xlfn.IFS(Table13[[#This Row],[Revenue]]&gt;=30000000,"High Value",Table13[[#This Row],[Revenue]]&gt;=10000000,"Moderate Value",TRUE,"Low Value")</f>
        <v>Moderate Value</v>
      </c>
      <c r="AD164" t="str">
        <f>IF(Table13[[#This Row],[Discount 2]]&gt;=5%, "YES", "NO")</f>
        <v>YES</v>
      </c>
      <c r="AE164" t="str" cm="1">
        <f t="array" ref="AE164">_xlfn.IFS(Table13[[#This Row],[Revenue]]&gt;=30000000,"High Spender",Table13[[#This Row],[Revenue]]&gt;=10000000,"Moderate Spender",TRUE,"Low Spender")</f>
        <v>Moderate Spender</v>
      </c>
      <c r="AF164" s="4" t="str" cm="1">
        <f t="array" ref="AF164">_xlfn.IFS(Table13[[#This Row],[Land_Size_SQM]]&gt;=730,"LARGE",Table13[[#This Row],[Land_Size_SQM]]&gt;=465,"MEDIUM",TRUE,"SMALL")</f>
        <v>MEDIUM</v>
      </c>
    </row>
    <row r="165" spans="1:32" x14ac:dyDescent="0.3">
      <c r="A165" t="s">
        <v>59</v>
      </c>
      <c r="B165" t="s">
        <v>551</v>
      </c>
      <c r="C165" t="s">
        <v>627</v>
      </c>
      <c r="D165">
        <v>49</v>
      </c>
      <c r="E165" t="s">
        <v>629</v>
      </c>
      <c r="F165">
        <v>676</v>
      </c>
      <c r="G165" s="4">
        <v>30545</v>
      </c>
      <c r="H165" s="4">
        <v>20648420</v>
      </c>
      <c r="I165" t="s">
        <v>652</v>
      </c>
      <c r="J165" t="s">
        <v>672</v>
      </c>
      <c r="K165" t="s">
        <v>678</v>
      </c>
      <c r="L165" t="s">
        <v>682</v>
      </c>
      <c r="M165" t="s">
        <v>684</v>
      </c>
      <c r="N165" t="s">
        <v>690</v>
      </c>
      <c r="O165" t="s">
        <v>694</v>
      </c>
      <c r="P165" s="4">
        <v>9405643</v>
      </c>
      <c r="Q165">
        <v>12</v>
      </c>
      <c r="R165" s="7">
        <v>8.31</v>
      </c>
      <c r="S165" s="8">
        <f>Table13[[#This Row],[Discount_%]]/100</f>
        <v>8.3100000000000007E-2</v>
      </c>
      <c r="T165" s="6" t="s">
        <v>726</v>
      </c>
      <c r="U165" t="s">
        <v>981</v>
      </c>
      <c r="V165">
        <v>2024</v>
      </c>
      <c r="W165" t="s">
        <v>993</v>
      </c>
      <c r="X165" t="s">
        <v>998</v>
      </c>
      <c r="Y165" t="s">
        <v>1002</v>
      </c>
      <c r="Z165">
        <v>2</v>
      </c>
      <c r="AA165">
        <v>32</v>
      </c>
      <c r="AB165" s="4">
        <f>Table13[[#This Row],[Total_Price]]*(1-Table13[[#This Row],[Discount 2]])</f>
        <v>18932536.298</v>
      </c>
      <c r="AC165" s="4" t="str" cm="1">
        <f t="array" ref="AC165">_xlfn.IFS(Table13[[#This Row],[Revenue]]&gt;=30000000,"High Value",Table13[[#This Row],[Revenue]]&gt;=10000000,"Moderate Value",TRUE,"Low Value")</f>
        <v>Moderate Value</v>
      </c>
      <c r="AD165" t="str">
        <f>IF(Table13[[#This Row],[Discount 2]]&gt;=5%, "YES", "NO")</f>
        <v>YES</v>
      </c>
      <c r="AE165" t="str" cm="1">
        <f t="array" ref="AE165">_xlfn.IFS(Table13[[#This Row],[Revenue]]&gt;=30000000,"High Spender",Table13[[#This Row],[Revenue]]&gt;=10000000,"Moderate Spender",TRUE,"Low Spender")</f>
        <v>Moderate Spender</v>
      </c>
      <c r="AF165" s="4" t="str" cm="1">
        <f t="array" ref="AF165">_xlfn.IFS(Table13[[#This Row],[Land_Size_SQM]]&gt;=730,"LARGE",Table13[[#This Row],[Land_Size_SQM]]&gt;=465,"MEDIUM",TRUE,"SMALL")</f>
        <v>MEDIUM</v>
      </c>
    </row>
    <row r="166" spans="1:32" x14ac:dyDescent="0.3">
      <c r="A166" t="s">
        <v>26</v>
      </c>
      <c r="B166" t="s">
        <v>526</v>
      </c>
      <c r="C166" t="s">
        <v>626</v>
      </c>
      <c r="D166">
        <v>22</v>
      </c>
      <c r="E166" t="s">
        <v>628</v>
      </c>
      <c r="F166">
        <v>959</v>
      </c>
      <c r="G166" s="4">
        <v>20024</v>
      </c>
      <c r="H166" s="4">
        <v>19203016</v>
      </c>
      <c r="I166" t="s">
        <v>631</v>
      </c>
      <c r="J166" t="s">
        <v>668</v>
      </c>
      <c r="K166" t="s">
        <v>664</v>
      </c>
      <c r="L166" t="s">
        <v>680</v>
      </c>
      <c r="M166" t="s">
        <v>683</v>
      </c>
      <c r="N166" t="s">
        <v>688</v>
      </c>
      <c r="O166" t="s">
        <v>693</v>
      </c>
      <c r="P166" s="4">
        <v>19203016</v>
      </c>
      <c r="Q166">
        <v>0</v>
      </c>
      <c r="R166" s="7">
        <v>2.23</v>
      </c>
      <c r="S166" s="8">
        <f>Table13[[#This Row],[Discount_%]]/100</f>
        <v>2.23E-2</v>
      </c>
      <c r="T166" s="6" t="s">
        <v>695</v>
      </c>
      <c r="U166" t="s">
        <v>981</v>
      </c>
      <c r="V166">
        <v>2024</v>
      </c>
      <c r="W166" t="s">
        <v>993</v>
      </c>
      <c r="X166" t="s">
        <v>997</v>
      </c>
      <c r="Y166" t="s">
        <v>1000</v>
      </c>
      <c r="Z166">
        <v>5</v>
      </c>
      <c r="AA166">
        <v>27</v>
      </c>
      <c r="AB166" s="4">
        <f>Table13[[#This Row],[Total_Price]]*(1-Table13[[#This Row],[Discount 2]])</f>
        <v>18774788.7432</v>
      </c>
      <c r="AC166" s="4" t="str" cm="1">
        <f t="array" ref="AC166">_xlfn.IFS(Table13[[#This Row],[Revenue]]&gt;=30000000,"High Value",Table13[[#This Row],[Revenue]]&gt;=10000000,"Moderate Value",TRUE,"Low Value")</f>
        <v>Moderate Value</v>
      </c>
      <c r="AD166" t="str">
        <f>IF(Table13[[#This Row],[Discount 2]]&gt;=5%, "YES", "NO")</f>
        <v>NO</v>
      </c>
      <c r="AE166" t="str" cm="1">
        <f t="array" ref="AE166">_xlfn.IFS(Table13[[#This Row],[Revenue]]&gt;=30000000,"High Spender",Table13[[#This Row],[Revenue]]&gt;=10000000,"Moderate Spender",TRUE,"Low Spender")</f>
        <v>Moderate Spender</v>
      </c>
      <c r="AF166" s="4" t="str" cm="1">
        <f t="array" ref="AF166">_xlfn.IFS(Table13[[#This Row],[Land_Size_SQM]]&gt;=730,"LARGE",Table13[[#This Row],[Land_Size_SQM]]&gt;=465,"MEDIUM",TRUE,"SMALL")</f>
        <v>LARGE</v>
      </c>
    </row>
    <row r="167" spans="1:32" x14ac:dyDescent="0.3">
      <c r="A167" t="s">
        <v>433</v>
      </c>
      <c r="B167" t="s">
        <v>558</v>
      </c>
      <c r="C167" t="s">
        <v>627</v>
      </c>
      <c r="D167">
        <v>49</v>
      </c>
      <c r="E167" t="s">
        <v>630</v>
      </c>
      <c r="F167">
        <v>465</v>
      </c>
      <c r="G167" s="4">
        <v>43090</v>
      </c>
      <c r="H167" s="4">
        <v>20036850</v>
      </c>
      <c r="I167" t="s">
        <v>631</v>
      </c>
      <c r="J167" t="s">
        <v>668</v>
      </c>
      <c r="K167" t="s">
        <v>651</v>
      </c>
      <c r="L167" t="s">
        <v>680</v>
      </c>
      <c r="M167" t="s">
        <v>686</v>
      </c>
      <c r="N167" t="s">
        <v>692</v>
      </c>
      <c r="O167" t="s">
        <v>694</v>
      </c>
      <c r="P167" s="4">
        <v>4294295</v>
      </c>
      <c r="Q167">
        <v>3</v>
      </c>
      <c r="R167" s="7">
        <v>6.51</v>
      </c>
      <c r="S167" s="8">
        <f>Table13[[#This Row],[Discount_%]]/100</f>
        <v>6.5099999999999991E-2</v>
      </c>
      <c r="T167" s="6" t="s">
        <v>907</v>
      </c>
      <c r="U167" t="s">
        <v>987</v>
      </c>
      <c r="V167">
        <v>2024</v>
      </c>
      <c r="W167" t="s">
        <v>996</v>
      </c>
      <c r="X167" t="s">
        <v>998</v>
      </c>
      <c r="Y167" t="s">
        <v>1002</v>
      </c>
      <c r="Z167">
        <v>3</v>
      </c>
      <c r="AA167">
        <v>43</v>
      </c>
      <c r="AB167" s="4">
        <f>Table13[[#This Row],[Total_Price]]*(1-Table13[[#This Row],[Discount 2]])</f>
        <v>18732451.065000001</v>
      </c>
      <c r="AC167" s="4" t="str" cm="1">
        <f t="array" ref="AC167">_xlfn.IFS(Table13[[#This Row],[Revenue]]&gt;=30000000,"High Value",Table13[[#This Row],[Revenue]]&gt;=10000000,"Moderate Value",TRUE,"Low Value")</f>
        <v>Moderate Value</v>
      </c>
      <c r="AD167" t="str">
        <f>IF(Table13[[#This Row],[Discount 2]]&gt;=5%, "YES", "NO")</f>
        <v>YES</v>
      </c>
      <c r="AE167" t="str" cm="1">
        <f t="array" ref="AE167">_xlfn.IFS(Table13[[#This Row],[Revenue]]&gt;=30000000,"High Spender",Table13[[#This Row],[Revenue]]&gt;=10000000,"Moderate Spender",TRUE,"Low Spender")</f>
        <v>Moderate Spender</v>
      </c>
      <c r="AF167" s="4" t="str" cm="1">
        <f t="array" ref="AF167">_xlfn.IFS(Table13[[#This Row],[Land_Size_SQM]]&gt;=730,"LARGE",Table13[[#This Row],[Land_Size_SQM]]&gt;=465,"MEDIUM",TRUE,"SMALL")</f>
        <v>MEDIUM</v>
      </c>
    </row>
    <row r="168" spans="1:32" x14ac:dyDescent="0.3">
      <c r="A168" t="s">
        <v>101</v>
      </c>
      <c r="B168" t="s">
        <v>526</v>
      </c>
      <c r="C168" t="s">
        <v>626</v>
      </c>
      <c r="D168">
        <v>52</v>
      </c>
      <c r="E168" t="s">
        <v>630</v>
      </c>
      <c r="F168">
        <v>517</v>
      </c>
      <c r="G168" s="4">
        <v>38629</v>
      </c>
      <c r="H168" s="4">
        <v>19971193</v>
      </c>
      <c r="I168" t="s">
        <v>655</v>
      </c>
      <c r="J168" t="s">
        <v>672</v>
      </c>
      <c r="K168" t="s">
        <v>676</v>
      </c>
      <c r="L168" t="s">
        <v>680</v>
      </c>
      <c r="M168" t="s">
        <v>687</v>
      </c>
      <c r="N168" t="s">
        <v>690</v>
      </c>
      <c r="O168" t="s">
        <v>694</v>
      </c>
      <c r="P168" s="4">
        <v>8866320</v>
      </c>
      <c r="Q168">
        <v>12</v>
      </c>
      <c r="R168" s="7">
        <v>6.7</v>
      </c>
      <c r="S168" s="8">
        <f>Table13[[#This Row],[Discount_%]]/100</f>
        <v>6.7000000000000004E-2</v>
      </c>
      <c r="T168" s="6" t="s">
        <v>762</v>
      </c>
      <c r="U168" t="s">
        <v>984</v>
      </c>
      <c r="V168">
        <v>2024</v>
      </c>
      <c r="W168" t="s">
        <v>996</v>
      </c>
      <c r="X168" t="s">
        <v>999</v>
      </c>
      <c r="Y168" t="s">
        <v>1002</v>
      </c>
      <c r="Z168">
        <v>4</v>
      </c>
      <c r="AA168">
        <v>13</v>
      </c>
      <c r="AB168" s="4">
        <f>Table13[[#This Row],[Total_Price]]*(1-Table13[[#This Row],[Discount 2]])</f>
        <v>18633123.069000002</v>
      </c>
      <c r="AC168" s="4" t="str" cm="1">
        <f t="array" ref="AC168">_xlfn.IFS(Table13[[#This Row],[Revenue]]&gt;=30000000,"High Value",Table13[[#This Row],[Revenue]]&gt;=10000000,"Moderate Value",TRUE,"Low Value")</f>
        <v>Moderate Value</v>
      </c>
      <c r="AD168" t="str">
        <f>IF(Table13[[#This Row],[Discount 2]]&gt;=5%, "YES", "NO")</f>
        <v>YES</v>
      </c>
      <c r="AE168" t="str" cm="1">
        <f t="array" ref="AE168">_xlfn.IFS(Table13[[#This Row],[Revenue]]&gt;=30000000,"High Spender",Table13[[#This Row],[Revenue]]&gt;=10000000,"Moderate Spender",TRUE,"Low Spender")</f>
        <v>Moderate Spender</v>
      </c>
      <c r="AF168" s="4" t="str" cm="1">
        <f t="array" ref="AF168">_xlfn.IFS(Table13[[#This Row],[Land_Size_SQM]]&gt;=730,"LARGE",Table13[[#This Row],[Land_Size_SQM]]&gt;=465,"MEDIUM",TRUE,"SMALL")</f>
        <v>MEDIUM</v>
      </c>
    </row>
    <row r="169" spans="1:32" x14ac:dyDescent="0.3">
      <c r="A169" t="s">
        <v>219</v>
      </c>
      <c r="B169" t="s">
        <v>542</v>
      </c>
      <c r="C169" t="s">
        <v>626</v>
      </c>
      <c r="D169">
        <v>53</v>
      </c>
      <c r="E169" t="s">
        <v>628</v>
      </c>
      <c r="F169">
        <v>688</v>
      </c>
      <c r="G169" s="4">
        <v>27121</v>
      </c>
      <c r="H169" s="4">
        <v>18659248</v>
      </c>
      <c r="I169" t="s">
        <v>666</v>
      </c>
      <c r="J169" t="s">
        <v>670</v>
      </c>
      <c r="K169" t="s">
        <v>640</v>
      </c>
      <c r="L169" t="s">
        <v>680</v>
      </c>
      <c r="M169" t="s">
        <v>685</v>
      </c>
      <c r="N169" t="s">
        <v>688</v>
      </c>
      <c r="O169" t="s">
        <v>693</v>
      </c>
      <c r="P169" s="4">
        <v>18659248</v>
      </c>
      <c r="Q169">
        <v>0</v>
      </c>
      <c r="R169" s="7">
        <v>0.38</v>
      </c>
      <c r="S169" s="8">
        <f>Table13[[#This Row],[Discount_%]]/100</f>
        <v>3.8E-3</v>
      </c>
      <c r="T169" s="6" t="s">
        <v>819</v>
      </c>
      <c r="U169" t="s">
        <v>990</v>
      </c>
      <c r="V169">
        <v>2024</v>
      </c>
      <c r="W169" t="s">
        <v>996</v>
      </c>
      <c r="X169" t="s">
        <v>997</v>
      </c>
      <c r="Y169" t="s">
        <v>1002</v>
      </c>
      <c r="Z169">
        <v>3</v>
      </c>
      <c r="AA169">
        <v>9</v>
      </c>
      <c r="AB169" s="4">
        <f>Table13[[#This Row],[Total_Price]]*(1-Table13[[#This Row],[Discount 2]])</f>
        <v>18588342.8576</v>
      </c>
      <c r="AC169" s="4" t="str" cm="1">
        <f t="array" ref="AC169">_xlfn.IFS(Table13[[#This Row],[Revenue]]&gt;=30000000,"High Value",Table13[[#This Row],[Revenue]]&gt;=10000000,"Moderate Value",TRUE,"Low Value")</f>
        <v>Moderate Value</v>
      </c>
      <c r="AD169" t="str">
        <f>IF(Table13[[#This Row],[Discount 2]]&gt;=5%, "YES", "NO")</f>
        <v>NO</v>
      </c>
      <c r="AE169" t="str" cm="1">
        <f t="array" ref="AE169">_xlfn.IFS(Table13[[#This Row],[Revenue]]&gt;=30000000,"High Spender",Table13[[#This Row],[Revenue]]&gt;=10000000,"Moderate Spender",TRUE,"Low Spender")</f>
        <v>Moderate Spender</v>
      </c>
      <c r="AF169" s="4" t="str" cm="1">
        <f t="array" ref="AF169">_xlfn.IFS(Table13[[#This Row],[Land_Size_SQM]]&gt;=730,"LARGE",Table13[[#This Row],[Land_Size_SQM]]&gt;=465,"MEDIUM",TRUE,"SMALL")</f>
        <v>MEDIUM</v>
      </c>
    </row>
    <row r="170" spans="1:32" x14ac:dyDescent="0.3">
      <c r="A170" t="s">
        <v>439</v>
      </c>
      <c r="B170" t="s">
        <v>602</v>
      </c>
      <c r="C170" t="s">
        <v>627</v>
      </c>
      <c r="D170">
        <v>65</v>
      </c>
      <c r="E170" t="s">
        <v>628</v>
      </c>
      <c r="F170">
        <v>547</v>
      </c>
      <c r="G170" s="4">
        <v>37454</v>
      </c>
      <c r="H170" s="4">
        <v>20487338</v>
      </c>
      <c r="I170" t="s">
        <v>650</v>
      </c>
      <c r="J170" t="s">
        <v>670</v>
      </c>
      <c r="K170" t="s">
        <v>640</v>
      </c>
      <c r="L170" t="s">
        <v>682</v>
      </c>
      <c r="M170" t="s">
        <v>687</v>
      </c>
      <c r="N170" t="s">
        <v>692</v>
      </c>
      <c r="O170" t="s">
        <v>693</v>
      </c>
      <c r="P170" s="4">
        <v>20487338</v>
      </c>
      <c r="Q170">
        <v>0</v>
      </c>
      <c r="R170" s="7">
        <v>9.58</v>
      </c>
      <c r="S170" s="8">
        <f>Table13[[#This Row],[Discount_%]]/100</f>
        <v>9.5799999999999996E-2</v>
      </c>
      <c r="T170" s="6" t="s">
        <v>837</v>
      </c>
      <c r="U170" t="s">
        <v>989</v>
      </c>
      <c r="V170">
        <v>2024</v>
      </c>
      <c r="W170" t="s">
        <v>993</v>
      </c>
      <c r="X170" t="s">
        <v>997</v>
      </c>
      <c r="Y170" t="s">
        <v>1001</v>
      </c>
      <c r="Z170">
        <v>1</v>
      </c>
      <c r="AA170">
        <v>13</v>
      </c>
      <c r="AB170" s="4">
        <f>Table13[[#This Row],[Total_Price]]*(1-Table13[[#This Row],[Discount 2]])</f>
        <v>18524651.0196</v>
      </c>
      <c r="AC170" s="4" t="str" cm="1">
        <f t="array" ref="AC170">_xlfn.IFS(Table13[[#This Row],[Revenue]]&gt;=30000000,"High Value",Table13[[#This Row],[Revenue]]&gt;=10000000,"Moderate Value",TRUE,"Low Value")</f>
        <v>Moderate Value</v>
      </c>
      <c r="AD170" t="str">
        <f>IF(Table13[[#This Row],[Discount 2]]&gt;=5%, "YES", "NO")</f>
        <v>YES</v>
      </c>
      <c r="AE170" t="str" cm="1">
        <f t="array" ref="AE170">_xlfn.IFS(Table13[[#This Row],[Revenue]]&gt;=30000000,"High Spender",Table13[[#This Row],[Revenue]]&gt;=10000000,"Moderate Spender",TRUE,"Low Spender")</f>
        <v>Moderate Spender</v>
      </c>
      <c r="AF170" s="4" t="str" cm="1">
        <f t="array" ref="AF170">_xlfn.IFS(Table13[[#This Row],[Land_Size_SQM]]&gt;=730,"LARGE",Table13[[#This Row],[Land_Size_SQM]]&gt;=465,"MEDIUM",TRUE,"SMALL")</f>
        <v>MEDIUM</v>
      </c>
    </row>
    <row r="171" spans="1:32" x14ac:dyDescent="0.3">
      <c r="A171" t="s">
        <v>190</v>
      </c>
      <c r="B171" t="s">
        <v>533</v>
      </c>
      <c r="C171" t="s">
        <v>627</v>
      </c>
      <c r="D171">
        <v>26</v>
      </c>
      <c r="E171" t="s">
        <v>630</v>
      </c>
      <c r="F171">
        <v>893</v>
      </c>
      <c r="G171" s="4">
        <v>21584</v>
      </c>
      <c r="H171" s="4">
        <v>19274512</v>
      </c>
      <c r="I171" t="s">
        <v>647</v>
      </c>
      <c r="J171" t="s">
        <v>670</v>
      </c>
      <c r="K171" t="s">
        <v>664</v>
      </c>
      <c r="L171" t="s">
        <v>680</v>
      </c>
      <c r="M171" t="s">
        <v>683</v>
      </c>
      <c r="N171" t="s">
        <v>689</v>
      </c>
      <c r="O171" t="s">
        <v>694</v>
      </c>
      <c r="P171" s="4">
        <v>4034630</v>
      </c>
      <c r="Q171">
        <v>6</v>
      </c>
      <c r="R171" s="7">
        <v>4.04</v>
      </c>
      <c r="S171" s="8">
        <f>Table13[[#This Row],[Discount_%]]/100</f>
        <v>4.0399999999999998E-2</v>
      </c>
      <c r="T171" s="6" t="s">
        <v>823</v>
      </c>
      <c r="U171" t="s">
        <v>989</v>
      </c>
      <c r="V171">
        <v>2024</v>
      </c>
      <c r="W171" t="s">
        <v>993</v>
      </c>
      <c r="X171" t="s">
        <v>999</v>
      </c>
      <c r="Y171" t="s">
        <v>1000</v>
      </c>
      <c r="Z171">
        <v>2</v>
      </c>
      <c r="AA171">
        <v>13</v>
      </c>
      <c r="AB171" s="4">
        <f>Table13[[#This Row],[Total_Price]]*(1-Table13[[#This Row],[Discount 2]])</f>
        <v>18495821.7152</v>
      </c>
      <c r="AC171" s="4" t="str" cm="1">
        <f t="array" ref="AC171">_xlfn.IFS(Table13[[#This Row],[Revenue]]&gt;=30000000,"High Value",Table13[[#This Row],[Revenue]]&gt;=10000000,"Moderate Value",TRUE,"Low Value")</f>
        <v>Moderate Value</v>
      </c>
      <c r="AD171" t="str">
        <f>IF(Table13[[#This Row],[Discount 2]]&gt;=5%, "YES", "NO")</f>
        <v>NO</v>
      </c>
      <c r="AE171" t="str" cm="1">
        <f t="array" ref="AE171">_xlfn.IFS(Table13[[#This Row],[Revenue]]&gt;=30000000,"High Spender",Table13[[#This Row],[Revenue]]&gt;=10000000,"Moderate Spender",TRUE,"Low Spender")</f>
        <v>Moderate Spender</v>
      </c>
      <c r="AF171" s="4" t="str" cm="1">
        <f t="array" ref="AF171">_xlfn.IFS(Table13[[#This Row],[Land_Size_SQM]]&gt;=730,"LARGE",Table13[[#This Row],[Land_Size_SQM]]&gt;=465,"MEDIUM",TRUE,"SMALL")</f>
        <v>LARGE</v>
      </c>
    </row>
    <row r="172" spans="1:32" x14ac:dyDescent="0.3">
      <c r="A172" t="s">
        <v>466</v>
      </c>
      <c r="B172" t="s">
        <v>549</v>
      </c>
      <c r="C172" t="s">
        <v>627</v>
      </c>
      <c r="D172">
        <v>31</v>
      </c>
      <c r="E172" t="s">
        <v>630</v>
      </c>
      <c r="F172">
        <v>636</v>
      </c>
      <c r="G172" s="4">
        <v>31566</v>
      </c>
      <c r="H172" s="4">
        <v>20075976</v>
      </c>
      <c r="I172" t="s">
        <v>665</v>
      </c>
      <c r="J172" t="s">
        <v>672</v>
      </c>
      <c r="K172" t="s">
        <v>651</v>
      </c>
      <c r="L172" t="s">
        <v>680</v>
      </c>
      <c r="M172" t="s">
        <v>687</v>
      </c>
      <c r="N172" t="s">
        <v>689</v>
      </c>
      <c r="O172" t="s">
        <v>694</v>
      </c>
      <c r="P172" s="4">
        <v>6478233</v>
      </c>
      <c r="Q172">
        <v>24</v>
      </c>
      <c r="R172" s="7">
        <v>8.0500000000000007</v>
      </c>
      <c r="S172" s="8">
        <f>Table13[[#This Row],[Discount_%]]/100</f>
        <v>8.0500000000000002E-2</v>
      </c>
      <c r="T172" s="6" t="s">
        <v>826</v>
      </c>
      <c r="U172" t="s">
        <v>982</v>
      </c>
      <c r="V172">
        <v>2024</v>
      </c>
      <c r="W172" t="s">
        <v>994</v>
      </c>
      <c r="X172" t="s">
        <v>999</v>
      </c>
      <c r="Y172" t="s">
        <v>1002</v>
      </c>
      <c r="Z172">
        <v>5</v>
      </c>
      <c r="AA172">
        <v>33</v>
      </c>
      <c r="AB172" s="4">
        <f>Table13[[#This Row],[Total_Price]]*(1-Table13[[#This Row],[Discount 2]])</f>
        <v>18459859.932</v>
      </c>
      <c r="AC172" s="4" t="str" cm="1">
        <f t="array" ref="AC172">_xlfn.IFS(Table13[[#This Row],[Revenue]]&gt;=30000000,"High Value",Table13[[#This Row],[Revenue]]&gt;=10000000,"Moderate Value",TRUE,"Low Value")</f>
        <v>Moderate Value</v>
      </c>
      <c r="AD172" t="str">
        <f>IF(Table13[[#This Row],[Discount 2]]&gt;=5%, "YES", "NO")</f>
        <v>YES</v>
      </c>
      <c r="AE172" t="str" cm="1">
        <f t="array" ref="AE172">_xlfn.IFS(Table13[[#This Row],[Revenue]]&gt;=30000000,"High Spender",Table13[[#This Row],[Revenue]]&gt;=10000000,"Moderate Spender",TRUE,"Low Spender")</f>
        <v>Moderate Spender</v>
      </c>
      <c r="AF172" s="4" t="str" cm="1">
        <f t="array" ref="AF172">_xlfn.IFS(Table13[[#This Row],[Land_Size_SQM]]&gt;=730,"LARGE",Table13[[#This Row],[Land_Size_SQM]]&gt;=465,"MEDIUM",TRUE,"SMALL")</f>
        <v>MEDIUM</v>
      </c>
    </row>
    <row r="173" spans="1:32" x14ac:dyDescent="0.3">
      <c r="A173" t="s">
        <v>316</v>
      </c>
      <c r="B173" t="s">
        <v>535</v>
      </c>
      <c r="C173" t="s">
        <v>627</v>
      </c>
      <c r="D173">
        <v>50</v>
      </c>
      <c r="E173" t="s">
        <v>629</v>
      </c>
      <c r="F173">
        <v>537</v>
      </c>
      <c r="G173" s="4">
        <v>36540</v>
      </c>
      <c r="H173" s="4">
        <v>19621980</v>
      </c>
      <c r="I173" t="s">
        <v>649</v>
      </c>
      <c r="J173" t="s">
        <v>669</v>
      </c>
      <c r="K173" t="s">
        <v>677</v>
      </c>
      <c r="L173" t="s">
        <v>682</v>
      </c>
      <c r="M173" t="s">
        <v>686</v>
      </c>
      <c r="N173" t="s">
        <v>690</v>
      </c>
      <c r="O173" t="s">
        <v>694</v>
      </c>
      <c r="P173" s="4">
        <v>8020462</v>
      </c>
      <c r="Q173">
        <v>6</v>
      </c>
      <c r="R173" s="7">
        <v>6.12</v>
      </c>
      <c r="S173" s="8">
        <f>Table13[[#This Row],[Discount_%]]/100</f>
        <v>6.1200000000000004E-2</v>
      </c>
      <c r="T173" s="6" t="s">
        <v>910</v>
      </c>
      <c r="U173" t="s">
        <v>981</v>
      </c>
      <c r="V173">
        <v>2024</v>
      </c>
      <c r="W173" t="s">
        <v>995</v>
      </c>
      <c r="X173" t="s">
        <v>997</v>
      </c>
      <c r="Y173" t="s">
        <v>1002</v>
      </c>
      <c r="Z173">
        <v>3</v>
      </c>
      <c r="AA173">
        <v>34</v>
      </c>
      <c r="AB173" s="4">
        <f>Table13[[#This Row],[Total_Price]]*(1-Table13[[#This Row],[Discount 2]])</f>
        <v>18421114.824000001</v>
      </c>
      <c r="AC173" s="4" t="str" cm="1">
        <f t="array" ref="AC173">_xlfn.IFS(Table13[[#This Row],[Revenue]]&gt;=30000000,"High Value",Table13[[#This Row],[Revenue]]&gt;=10000000,"Moderate Value",TRUE,"Low Value")</f>
        <v>Moderate Value</v>
      </c>
      <c r="AD173" t="str">
        <f>IF(Table13[[#This Row],[Discount 2]]&gt;=5%, "YES", "NO")</f>
        <v>YES</v>
      </c>
      <c r="AE173" t="str" cm="1">
        <f t="array" ref="AE173">_xlfn.IFS(Table13[[#This Row],[Revenue]]&gt;=30000000,"High Spender",Table13[[#This Row],[Revenue]]&gt;=10000000,"Moderate Spender",TRUE,"Low Spender")</f>
        <v>Moderate Spender</v>
      </c>
      <c r="AF173" s="4" t="str" cm="1">
        <f t="array" ref="AF173">_xlfn.IFS(Table13[[#This Row],[Land_Size_SQM]]&gt;=730,"LARGE",Table13[[#This Row],[Land_Size_SQM]]&gt;=465,"MEDIUM",TRUE,"SMALL")</f>
        <v>MEDIUM</v>
      </c>
    </row>
    <row r="174" spans="1:32" x14ac:dyDescent="0.3">
      <c r="A174" t="s">
        <v>395</v>
      </c>
      <c r="B174" t="s">
        <v>543</v>
      </c>
      <c r="C174" t="s">
        <v>626</v>
      </c>
      <c r="D174">
        <v>33</v>
      </c>
      <c r="E174" t="s">
        <v>629</v>
      </c>
      <c r="F174">
        <v>457</v>
      </c>
      <c r="G174" s="4">
        <v>42957</v>
      </c>
      <c r="H174" s="4">
        <v>19631349</v>
      </c>
      <c r="I174" t="s">
        <v>632</v>
      </c>
      <c r="J174" t="s">
        <v>669</v>
      </c>
      <c r="K174" t="s">
        <v>640</v>
      </c>
      <c r="L174" t="s">
        <v>682</v>
      </c>
      <c r="M174" t="s">
        <v>684</v>
      </c>
      <c r="N174" t="s">
        <v>690</v>
      </c>
      <c r="O174" t="s">
        <v>694</v>
      </c>
      <c r="P174" s="4">
        <v>9114226</v>
      </c>
      <c r="Q174">
        <v>6</v>
      </c>
      <c r="R174" s="7">
        <v>6.28</v>
      </c>
      <c r="S174" s="8">
        <f>Table13[[#This Row],[Discount_%]]/100</f>
        <v>6.2800000000000009E-2</v>
      </c>
      <c r="T174" s="6" t="s">
        <v>905</v>
      </c>
      <c r="U174" t="s">
        <v>986</v>
      </c>
      <c r="V174">
        <v>2024</v>
      </c>
      <c r="W174" t="s">
        <v>995</v>
      </c>
      <c r="X174" t="s">
        <v>997</v>
      </c>
      <c r="Y174" t="s">
        <v>1001</v>
      </c>
      <c r="Z174">
        <v>1</v>
      </c>
      <c r="AA174">
        <v>34</v>
      </c>
      <c r="AB174" s="4">
        <f>Table13[[#This Row],[Total_Price]]*(1-Table13[[#This Row],[Discount 2]])</f>
        <v>18398500.2828</v>
      </c>
      <c r="AC174" s="4" t="str" cm="1">
        <f t="array" ref="AC174">_xlfn.IFS(Table13[[#This Row],[Revenue]]&gt;=30000000,"High Value",Table13[[#This Row],[Revenue]]&gt;=10000000,"Moderate Value",TRUE,"Low Value")</f>
        <v>Moderate Value</v>
      </c>
      <c r="AD174" t="str">
        <f>IF(Table13[[#This Row],[Discount 2]]&gt;=5%, "YES", "NO")</f>
        <v>YES</v>
      </c>
      <c r="AE174" t="str" cm="1">
        <f t="array" ref="AE174">_xlfn.IFS(Table13[[#This Row],[Revenue]]&gt;=30000000,"High Spender",Table13[[#This Row],[Revenue]]&gt;=10000000,"Moderate Spender",TRUE,"Low Spender")</f>
        <v>Moderate Spender</v>
      </c>
      <c r="AF174" s="4" t="str" cm="1">
        <f t="array" ref="AF174">_xlfn.IFS(Table13[[#This Row],[Land_Size_SQM]]&gt;=730,"LARGE",Table13[[#This Row],[Land_Size_SQM]]&gt;=465,"MEDIUM",TRUE,"SMALL")</f>
        <v>SMALL</v>
      </c>
    </row>
    <row r="175" spans="1:32" x14ac:dyDescent="0.3">
      <c r="A175" t="s">
        <v>231</v>
      </c>
      <c r="B175" t="s">
        <v>594</v>
      </c>
      <c r="C175" t="s">
        <v>626</v>
      </c>
      <c r="D175">
        <v>65</v>
      </c>
      <c r="E175" t="s">
        <v>629</v>
      </c>
      <c r="F175">
        <v>411</v>
      </c>
      <c r="G175" s="4">
        <v>44899</v>
      </c>
      <c r="H175" s="4">
        <v>18453489</v>
      </c>
      <c r="I175" t="s">
        <v>667</v>
      </c>
      <c r="J175" t="s">
        <v>671</v>
      </c>
      <c r="K175" t="s">
        <v>675</v>
      </c>
      <c r="L175" t="s">
        <v>681</v>
      </c>
      <c r="M175" t="s">
        <v>684</v>
      </c>
      <c r="N175" t="s">
        <v>689</v>
      </c>
      <c r="O175" t="s">
        <v>694</v>
      </c>
      <c r="P175" s="4">
        <v>5702179</v>
      </c>
      <c r="Q175">
        <v>12</v>
      </c>
      <c r="R175" s="7">
        <v>0.54</v>
      </c>
      <c r="S175" s="8">
        <f>Table13[[#This Row],[Discount_%]]/100</f>
        <v>5.4000000000000003E-3</v>
      </c>
      <c r="T175" s="6" t="s">
        <v>850</v>
      </c>
      <c r="U175" t="s">
        <v>990</v>
      </c>
      <c r="V175">
        <v>2024</v>
      </c>
      <c r="W175" t="s">
        <v>993</v>
      </c>
      <c r="X175" t="s">
        <v>997</v>
      </c>
      <c r="Y175" t="s">
        <v>1000</v>
      </c>
      <c r="Z175">
        <v>1</v>
      </c>
      <c r="AA175">
        <v>22</v>
      </c>
      <c r="AB175" s="4">
        <f>Table13[[#This Row],[Total_Price]]*(1-Table13[[#This Row],[Discount 2]])</f>
        <v>18353840.159400001</v>
      </c>
      <c r="AC175" s="4" t="str" cm="1">
        <f t="array" ref="AC175">_xlfn.IFS(Table13[[#This Row],[Revenue]]&gt;=30000000,"High Value",Table13[[#This Row],[Revenue]]&gt;=10000000,"Moderate Value",TRUE,"Low Value")</f>
        <v>Moderate Value</v>
      </c>
      <c r="AD175" t="str">
        <f>IF(Table13[[#This Row],[Discount 2]]&gt;=5%, "YES", "NO")</f>
        <v>NO</v>
      </c>
      <c r="AE175" t="str" cm="1">
        <f t="array" ref="AE175">_xlfn.IFS(Table13[[#This Row],[Revenue]]&gt;=30000000,"High Spender",Table13[[#This Row],[Revenue]]&gt;=10000000,"Moderate Spender",TRUE,"Low Spender")</f>
        <v>Moderate Spender</v>
      </c>
      <c r="AF175" s="4" t="str" cm="1">
        <f t="array" ref="AF175">_xlfn.IFS(Table13[[#This Row],[Land_Size_SQM]]&gt;=730,"LARGE",Table13[[#This Row],[Land_Size_SQM]]&gt;=465,"MEDIUM",TRUE,"SMALL")</f>
        <v>SMALL</v>
      </c>
    </row>
    <row r="176" spans="1:32" x14ac:dyDescent="0.3">
      <c r="A176" t="s">
        <v>516</v>
      </c>
      <c r="B176" t="s">
        <v>579</v>
      </c>
      <c r="C176" t="s">
        <v>626</v>
      </c>
      <c r="D176">
        <v>50</v>
      </c>
      <c r="E176" t="s">
        <v>629</v>
      </c>
      <c r="F176">
        <v>488</v>
      </c>
      <c r="G176" s="4">
        <v>38145</v>
      </c>
      <c r="H176" s="4">
        <v>18614760</v>
      </c>
      <c r="I176" t="s">
        <v>636</v>
      </c>
      <c r="J176" t="s">
        <v>671</v>
      </c>
      <c r="K176" t="s">
        <v>674</v>
      </c>
      <c r="L176" t="s">
        <v>680</v>
      </c>
      <c r="M176" t="s">
        <v>687</v>
      </c>
      <c r="N176" t="s">
        <v>689</v>
      </c>
      <c r="O176" t="s">
        <v>694</v>
      </c>
      <c r="P176" s="4">
        <v>8729784</v>
      </c>
      <c r="Q176">
        <v>3</v>
      </c>
      <c r="R176" s="7">
        <v>1.71</v>
      </c>
      <c r="S176" s="8">
        <f>Table13[[#This Row],[Discount_%]]/100</f>
        <v>1.7100000000000001E-2</v>
      </c>
      <c r="T176" s="6" t="s">
        <v>721</v>
      </c>
      <c r="U176" t="s">
        <v>991</v>
      </c>
      <c r="V176">
        <v>2024</v>
      </c>
      <c r="W176" t="s">
        <v>996</v>
      </c>
      <c r="X176" t="s">
        <v>997</v>
      </c>
      <c r="Y176" t="s">
        <v>1000</v>
      </c>
      <c r="Z176">
        <v>2</v>
      </c>
      <c r="AA176">
        <v>25</v>
      </c>
      <c r="AB176" s="4">
        <f>Table13[[#This Row],[Total_Price]]*(1-Table13[[#This Row],[Discount 2]])</f>
        <v>18296447.603999998</v>
      </c>
      <c r="AC176" s="4" t="str" cm="1">
        <f t="array" ref="AC176">_xlfn.IFS(Table13[[#This Row],[Revenue]]&gt;=30000000,"High Value",Table13[[#This Row],[Revenue]]&gt;=10000000,"Moderate Value",TRUE,"Low Value")</f>
        <v>Moderate Value</v>
      </c>
      <c r="AD176" t="str">
        <f>IF(Table13[[#This Row],[Discount 2]]&gt;=5%, "YES", "NO")</f>
        <v>NO</v>
      </c>
      <c r="AE176" t="str" cm="1">
        <f t="array" ref="AE176">_xlfn.IFS(Table13[[#This Row],[Revenue]]&gt;=30000000,"High Spender",Table13[[#This Row],[Revenue]]&gt;=10000000,"Moderate Spender",TRUE,"Low Spender")</f>
        <v>Moderate Spender</v>
      </c>
      <c r="AF176" s="4" t="str" cm="1">
        <f t="array" ref="AF176">_xlfn.IFS(Table13[[#This Row],[Land_Size_SQM]]&gt;=730,"LARGE",Table13[[#This Row],[Land_Size_SQM]]&gt;=465,"MEDIUM",TRUE,"SMALL")</f>
        <v>MEDIUM</v>
      </c>
    </row>
    <row r="177" spans="1:32" x14ac:dyDescent="0.3">
      <c r="A177" t="s">
        <v>133</v>
      </c>
      <c r="B177" t="s">
        <v>566</v>
      </c>
      <c r="C177" t="s">
        <v>627</v>
      </c>
      <c r="D177">
        <v>31</v>
      </c>
      <c r="E177" t="s">
        <v>629</v>
      </c>
      <c r="F177">
        <v>366</v>
      </c>
      <c r="G177" s="4">
        <v>49914</v>
      </c>
      <c r="H177" s="4">
        <v>18268524</v>
      </c>
      <c r="I177" t="s">
        <v>649</v>
      </c>
      <c r="J177" t="s">
        <v>669</v>
      </c>
      <c r="K177" t="s">
        <v>651</v>
      </c>
      <c r="L177" t="s">
        <v>682</v>
      </c>
      <c r="M177" t="s">
        <v>684</v>
      </c>
      <c r="N177" t="s">
        <v>691</v>
      </c>
      <c r="O177" t="s">
        <v>694</v>
      </c>
      <c r="P177" s="4">
        <v>7592023</v>
      </c>
      <c r="Q177">
        <v>12</v>
      </c>
      <c r="R177" s="7">
        <v>0.14000000000000001</v>
      </c>
      <c r="S177" s="8">
        <f>Table13[[#This Row],[Discount_%]]/100</f>
        <v>1.4000000000000002E-3</v>
      </c>
      <c r="T177" s="6" t="s">
        <v>784</v>
      </c>
      <c r="U177" t="s">
        <v>982</v>
      </c>
      <c r="V177">
        <v>2024</v>
      </c>
      <c r="W177" t="s">
        <v>994</v>
      </c>
      <c r="X177" t="s">
        <v>999</v>
      </c>
      <c r="Y177" t="s">
        <v>1002</v>
      </c>
      <c r="Z177">
        <v>1</v>
      </c>
      <c r="AA177">
        <v>12</v>
      </c>
      <c r="AB177" s="4">
        <f>Table13[[#This Row],[Total_Price]]*(1-Table13[[#This Row],[Discount 2]])</f>
        <v>18242948.066399999</v>
      </c>
      <c r="AC177" s="4" t="str" cm="1">
        <f t="array" ref="AC177">_xlfn.IFS(Table13[[#This Row],[Revenue]]&gt;=30000000,"High Value",Table13[[#This Row],[Revenue]]&gt;=10000000,"Moderate Value",TRUE,"Low Value")</f>
        <v>Moderate Value</v>
      </c>
      <c r="AD177" t="str">
        <f>IF(Table13[[#This Row],[Discount 2]]&gt;=5%, "YES", "NO")</f>
        <v>NO</v>
      </c>
      <c r="AE177" t="str" cm="1">
        <f t="array" ref="AE177">_xlfn.IFS(Table13[[#This Row],[Revenue]]&gt;=30000000,"High Spender",Table13[[#This Row],[Revenue]]&gt;=10000000,"Moderate Spender",TRUE,"Low Spender")</f>
        <v>Moderate Spender</v>
      </c>
      <c r="AF177" s="4" t="str" cm="1">
        <f t="array" ref="AF177">_xlfn.IFS(Table13[[#This Row],[Land_Size_SQM]]&gt;=730,"LARGE",Table13[[#This Row],[Land_Size_SQM]]&gt;=465,"MEDIUM",TRUE,"SMALL")</f>
        <v>SMALL</v>
      </c>
    </row>
    <row r="178" spans="1:32" x14ac:dyDescent="0.3">
      <c r="A178" t="s">
        <v>82</v>
      </c>
      <c r="B178" t="s">
        <v>531</v>
      </c>
      <c r="C178" t="s">
        <v>627</v>
      </c>
      <c r="D178">
        <v>35</v>
      </c>
      <c r="E178" t="s">
        <v>629</v>
      </c>
      <c r="F178">
        <v>917</v>
      </c>
      <c r="G178" s="4">
        <v>21804</v>
      </c>
      <c r="H178" s="4">
        <v>19994268</v>
      </c>
      <c r="I178" t="s">
        <v>649</v>
      </c>
      <c r="J178" t="s">
        <v>669</v>
      </c>
      <c r="K178" t="s">
        <v>678</v>
      </c>
      <c r="L178" t="s">
        <v>680</v>
      </c>
      <c r="M178" t="s">
        <v>684</v>
      </c>
      <c r="N178" t="s">
        <v>691</v>
      </c>
      <c r="O178" t="s">
        <v>694</v>
      </c>
      <c r="P178" s="4">
        <v>4837275</v>
      </c>
      <c r="Q178">
        <v>3</v>
      </c>
      <c r="R178" s="7">
        <v>9.4600000000000009</v>
      </c>
      <c r="S178" s="8">
        <f>Table13[[#This Row],[Discount_%]]/100</f>
        <v>9.4600000000000004E-2</v>
      </c>
      <c r="T178" s="6" t="s">
        <v>733</v>
      </c>
      <c r="U178" t="s">
        <v>982</v>
      </c>
      <c r="V178">
        <v>2024</v>
      </c>
      <c r="W178" t="s">
        <v>994</v>
      </c>
      <c r="X178" t="s">
        <v>997</v>
      </c>
      <c r="Y178" t="s">
        <v>1001</v>
      </c>
      <c r="Z178">
        <v>5</v>
      </c>
      <c r="AA178">
        <v>27</v>
      </c>
      <c r="AB178" s="4">
        <f>Table13[[#This Row],[Total_Price]]*(1-Table13[[#This Row],[Discount 2]])</f>
        <v>18102810.247200001</v>
      </c>
      <c r="AC178" s="4" t="str" cm="1">
        <f t="array" ref="AC178">_xlfn.IFS(Table13[[#This Row],[Revenue]]&gt;=30000000,"High Value",Table13[[#This Row],[Revenue]]&gt;=10000000,"Moderate Value",TRUE,"Low Value")</f>
        <v>Moderate Value</v>
      </c>
      <c r="AD178" t="str">
        <f>IF(Table13[[#This Row],[Discount 2]]&gt;=5%, "YES", "NO")</f>
        <v>YES</v>
      </c>
      <c r="AE178" t="str" cm="1">
        <f t="array" ref="AE178">_xlfn.IFS(Table13[[#This Row],[Revenue]]&gt;=30000000,"High Spender",Table13[[#This Row],[Revenue]]&gt;=10000000,"Moderate Spender",TRUE,"Low Spender")</f>
        <v>Moderate Spender</v>
      </c>
      <c r="AF178" s="4" t="str" cm="1">
        <f t="array" ref="AF178">_xlfn.IFS(Table13[[#This Row],[Land_Size_SQM]]&gt;=730,"LARGE",Table13[[#This Row],[Land_Size_SQM]]&gt;=465,"MEDIUM",TRUE,"SMALL")</f>
        <v>LARGE</v>
      </c>
    </row>
    <row r="179" spans="1:32" x14ac:dyDescent="0.3">
      <c r="A179" t="s">
        <v>331</v>
      </c>
      <c r="B179" t="s">
        <v>547</v>
      </c>
      <c r="C179" t="s">
        <v>626</v>
      </c>
      <c r="D179">
        <v>28</v>
      </c>
      <c r="E179" t="s">
        <v>630</v>
      </c>
      <c r="F179">
        <v>506</v>
      </c>
      <c r="G179" s="4">
        <v>39373</v>
      </c>
      <c r="H179" s="4">
        <v>19922738</v>
      </c>
      <c r="I179" t="s">
        <v>654</v>
      </c>
      <c r="J179" t="s">
        <v>669</v>
      </c>
      <c r="K179" t="s">
        <v>651</v>
      </c>
      <c r="L179" t="s">
        <v>680</v>
      </c>
      <c r="M179" t="s">
        <v>687</v>
      </c>
      <c r="N179" t="s">
        <v>692</v>
      </c>
      <c r="O179" t="s">
        <v>694</v>
      </c>
      <c r="P179" s="4">
        <v>8274658</v>
      </c>
      <c r="Q179">
        <v>24</v>
      </c>
      <c r="R179" s="7">
        <v>9.15</v>
      </c>
      <c r="S179" s="8">
        <f>Table13[[#This Row],[Discount_%]]/100</f>
        <v>9.1499999999999998E-2</v>
      </c>
      <c r="T179" s="6" t="s">
        <v>919</v>
      </c>
      <c r="U179" t="s">
        <v>981</v>
      </c>
      <c r="V179">
        <v>2024</v>
      </c>
      <c r="W179" t="s">
        <v>993</v>
      </c>
      <c r="X179" t="s">
        <v>999</v>
      </c>
      <c r="Y179" t="s">
        <v>1001</v>
      </c>
      <c r="Z179">
        <v>5</v>
      </c>
      <c r="AA179">
        <v>23</v>
      </c>
      <c r="AB179" s="4">
        <f>Table13[[#This Row],[Total_Price]]*(1-Table13[[#This Row],[Discount 2]])</f>
        <v>18099807.473000001</v>
      </c>
      <c r="AC179" s="4" t="str" cm="1">
        <f t="array" ref="AC179">_xlfn.IFS(Table13[[#This Row],[Revenue]]&gt;=30000000,"High Value",Table13[[#This Row],[Revenue]]&gt;=10000000,"Moderate Value",TRUE,"Low Value")</f>
        <v>Moderate Value</v>
      </c>
      <c r="AD179" t="str">
        <f>IF(Table13[[#This Row],[Discount 2]]&gt;=5%, "YES", "NO")</f>
        <v>YES</v>
      </c>
      <c r="AE179" t="str" cm="1">
        <f t="array" ref="AE179">_xlfn.IFS(Table13[[#This Row],[Revenue]]&gt;=30000000,"High Spender",Table13[[#This Row],[Revenue]]&gt;=10000000,"Moderate Spender",TRUE,"Low Spender")</f>
        <v>Moderate Spender</v>
      </c>
      <c r="AF179" s="4" t="str" cm="1">
        <f t="array" ref="AF179">_xlfn.IFS(Table13[[#This Row],[Land_Size_SQM]]&gt;=730,"LARGE",Table13[[#This Row],[Land_Size_SQM]]&gt;=465,"MEDIUM",TRUE,"SMALL")</f>
        <v>MEDIUM</v>
      </c>
    </row>
    <row r="180" spans="1:32" x14ac:dyDescent="0.3">
      <c r="A180" t="s">
        <v>214</v>
      </c>
      <c r="B180" t="s">
        <v>609</v>
      </c>
      <c r="C180" t="s">
        <v>627</v>
      </c>
      <c r="D180">
        <v>53</v>
      </c>
      <c r="E180" t="s">
        <v>628</v>
      </c>
      <c r="F180">
        <v>855</v>
      </c>
      <c r="G180" s="4">
        <v>23308</v>
      </c>
      <c r="H180" s="4">
        <v>19928340</v>
      </c>
      <c r="I180" t="s">
        <v>646</v>
      </c>
      <c r="J180" t="s">
        <v>673</v>
      </c>
      <c r="K180" t="s">
        <v>677</v>
      </c>
      <c r="L180" t="s">
        <v>680</v>
      </c>
      <c r="M180" t="s">
        <v>686</v>
      </c>
      <c r="N180" t="s">
        <v>691</v>
      </c>
      <c r="O180" t="s">
        <v>694</v>
      </c>
      <c r="P180" s="4">
        <v>7908280</v>
      </c>
      <c r="Q180">
        <v>12</v>
      </c>
      <c r="R180" s="7">
        <v>9.52</v>
      </c>
      <c r="S180" s="8">
        <f>Table13[[#This Row],[Discount_%]]/100</f>
        <v>9.5199999999999993E-2</v>
      </c>
      <c r="T180" s="6" t="s">
        <v>751</v>
      </c>
      <c r="U180" t="s">
        <v>983</v>
      </c>
      <c r="V180">
        <v>2024</v>
      </c>
      <c r="W180" t="s">
        <v>994</v>
      </c>
      <c r="X180" t="s">
        <v>997</v>
      </c>
      <c r="Y180" t="s">
        <v>1000</v>
      </c>
      <c r="Z180">
        <v>1</v>
      </c>
      <c r="AA180">
        <v>42</v>
      </c>
      <c r="AB180" s="4">
        <f>Table13[[#This Row],[Total_Price]]*(1-Table13[[#This Row],[Discount 2]])</f>
        <v>18031162.032000002</v>
      </c>
      <c r="AC180" s="4" t="str" cm="1">
        <f t="array" ref="AC180">_xlfn.IFS(Table13[[#This Row],[Revenue]]&gt;=30000000,"High Value",Table13[[#This Row],[Revenue]]&gt;=10000000,"Moderate Value",TRUE,"Low Value")</f>
        <v>Moderate Value</v>
      </c>
      <c r="AD180" t="str">
        <f>IF(Table13[[#This Row],[Discount 2]]&gt;=5%, "YES", "NO")</f>
        <v>YES</v>
      </c>
      <c r="AE180" t="str" cm="1">
        <f t="array" ref="AE180">_xlfn.IFS(Table13[[#This Row],[Revenue]]&gt;=30000000,"High Spender",Table13[[#This Row],[Revenue]]&gt;=10000000,"Moderate Spender",TRUE,"Low Spender")</f>
        <v>Moderate Spender</v>
      </c>
      <c r="AF180" s="4" t="str" cm="1">
        <f t="array" ref="AF180">_xlfn.IFS(Table13[[#This Row],[Land_Size_SQM]]&gt;=730,"LARGE",Table13[[#This Row],[Land_Size_SQM]]&gt;=465,"MEDIUM",TRUE,"SMALL")</f>
        <v>LARGE</v>
      </c>
    </row>
    <row r="181" spans="1:32" x14ac:dyDescent="0.3">
      <c r="A181" t="s">
        <v>50</v>
      </c>
      <c r="B181" t="s">
        <v>545</v>
      </c>
      <c r="C181" t="s">
        <v>627</v>
      </c>
      <c r="D181">
        <v>29</v>
      </c>
      <c r="E181" t="s">
        <v>629</v>
      </c>
      <c r="F181">
        <v>666</v>
      </c>
      <c r="G181" s="4">
        <v>29160</v>
      </c>
      <c r="H181" s="4">
        <v>19420560</v>
      </c>
      <c r="I181" t="s">
        <v>647</v>
      </c>
      <c r="J181" t="s">
        <v>670</v>
      </c>
      <c r="K181" t="s">
        <v>676</v>
      </c>
      <c r="L181" t="s">
        <v>682</v>
      </c>
      <c r="M181" t="s">
        <v>685</v>
      </c>
      <c r="N181" t="s">
        <v>689</v>
      </c>
      <c r="O181" t="s">
        <v>693</v>
      </c>
      <c r="P181" s="4">
        <v>19420560</v>
      </c>
      <c r="Q181">
        <v>0</v>
      </c>
      <c r="R181" s="7">
        <v>7.18</v>
      </c>
      <c r="S181" s="8">
        <f>Table13[[#This Row],[Discount_%]]/100</f>
        <v>7.1800000000000003E-2</v>
      </c>
      <c r="T181" s="6" t="s">
        <v>718</v>
      </c>
      <c r="U181" t="s">
        <v>991</v>
      </c>
      <c r="V181">
        <v>2024</v>
      </c>
      <c r="W181" t="s">
        <v>995</v>
      </c>
      <c r="X181" t="s">
        <v>999</v>
      </c>
      <c r="Y181" t="s">
        <v>1000</v>
      </c>
      <c r="Z181">
        <v>5</v>
      </c>
      <c r="AA181">
        <v>30</v>
      </c>
      <c r="AB181" s="4">
        <f>Table13[[#This Row],[Total_Price]]*(1-Table13[[#This Row],[Discount 2]])</f>
        <v>18026163.791999999</v>
      </c>
      <c r="AC181" s="4" t="str" cm="1">
        <f t="array" ref="AC181">_xlfn.IFS(Table13[[#This Row],[Revenue]]&gt;=30000000,"High Value",Table13[[#This Row],[Revenue]]&gt;=10000000,"Moderate Value",TRUE,"Low Value")</f>
        <v>Moderate Value</v>
      </c>
      <c r="AD181" t="str">
        <f>IF(Table13[[#This Row],[Discount 2]]&gt;=5%, "YES", "NO")</f>
        <v>YES</v>
      </c>
      <c r="AE181" t="str" cm="1">
        <f t="array" ref="AE181">_xlfn.IFS(Table13[[#This Row],[Revenue]]&gt;=30000000,"High Spender",Table13[[#This Row],[Revenue]]&gt;=10000000,"Moderate Spender",TRUE,"Low Spender")</f>
        <v>Moderate Spender</v>
      </c>
      <c r="AF181" s="4" t="str" cm="1">
        <f t="array" ref="AF181">_xlfn.IFS(Table13[[#This Row],[Land_Size_SQM]]&gt;=730,"LARGE",Table13[[#This Row],[Land_Size_SQM]]&gt;=465,"MEDIUM",TRUE,"SMALL")</f>
        <v>MEDIUM</v>
      </c>
    </row>
    <row r="182" spans="1:32" x14ac:dyDescent="0.3">
      <c r="A182" t="s">
        <v>367</v>
      </c>
      <c r="B182" t="s">
        <v>555</v>
      </c>
      <c r="C182" t="s">
        <v>626</v>
      </c>
      <c r="D182">
        <v>56</v>
      </c>
      <c r="E182" t="s">
        <v>628</v>
      </c>
      <c r="F182">
        <v>792</v>
      </c>
      <c r="G182" s="4">
        <v>24465</v>
      </c>
      <c r="H182" s="4">
        <v>19376280</v>
      </c>
      <c r="I182" t="s">
        <v>635</v>
      </c>
      <c r="J182" t="s">
        <v>668</v>
      </c>
      <c r="K182" t="s">
        <v>640</v>
      </c>
      <c r="L182" t="s">
        <v>681</v>
      </c>
      <c r="M182" t="s">
        <v>683</v>
      </c>
      <c r="N182" t="s">
        <v>690</v>
      </c>
      <c r="O182" t="s">
        <v>694</v>
      </c>
      <c r="P182" s="4">
        <v>7324373</v>
      </c>
      <c r="Q182">
        <v>24</v>
      </c>
      <c r="R182" s="7">
        <v>6.97</v>
      </c>
      <c r="S182" s="8">
        <f>Table13[[#This Row],[Discount_%]]/100</f>
        <v>6.9699999999999998E-2</v>
      </c>
      <c r="T182" s="6" t="s">
        <v>937</v>
      </c>
      <c r="U182" t="s">
        <v>985</v>
      </c>
      <c r="V182">
        <v>2024</v>
      </c>
      <c r="W182" t="s">
        <v>996</v>
      </c>
      <c r="X182" t="s">
        <v>998</v>
      </c>
      <c r="Y182" t="s">
        <v>1002</v>
      </c>
      <c r="Z182">
        <v>3</v>
      </c>
      <c r="AA182">
        <v>50</v>
      </c>
      <c r="AB182" s="4">
        <f>Table13[[#This Row],[Total_Price]]*(1-Table13[[#This Row],[Discount 2]])</f>
        <v>18025753.284000002</v>
      </c>
      <c r="AC182" s="4" t="str" cm="1">
        <f t="array" ref="AC182">_xlfn.IFS(Table13[[#This Row],[Revenue]]&gt;=30000000,"High Value",Table13[[#This Row],[Revenue]]&gt;=10000000,"Moderate Value",TRUE,"Low Value")</f>
        <v>Moderate Value</v>
      </c>
      <c r="AD182" t="str">
        <f>IF(Table13[[#This Row],[Discount 2]]&gt;=5%, "YES", "NO")</f>
        <v>YES</v>
      </c>
      <c r="AE182" t="str" cm="1">
        <f t="array" ref="AE182">_xlfn.IFS(Table13[[#This Row],[Revenue]]&gt;=30000000,"High Spender",Table13[[#This Row],[Revenue]]&gt;=10000000,"Moderate Spender",TRUE,"Low Spender")</f>
        <v>Moderate Spender</v>
      </c>
      <c r="AF182" s="4" t="str" cm="1">
        <f t="array" ref="AF182">_xlfn.IFS(Table13[[#This Row],[Land_Size_SQM]]&gt;=730,"LARGE",Table13[[#This Row],[Land_Size_SQM]]&gt;=465,"MEDIUM",TRUE,"SMALL")</f>
        <v>LARGE</v>
      </c>
    </row>
    <row r="183" spans="1:32" x14ac:dyDescent="0.3">
      <c r="A183" t="s">
        <v>220</v>
      </c>
      <c r="B183" t="s">
        <v>575</v>
      </c>
      <c r="C183" t="s">
        <v>626</v>
      </c>
      <c r="D183">
        <v>53</v>
      </c>
      <c r="E183" t="s">
        <v>629</v>
      </c>
      <c r="F183">
        <v>802</v>
      </c>
      <c r="G183" s="4">
        <v>22061</v>
      </c>
      <c r="H183" s="4">
        <v>17692922</v>
      </c>
      <c r="I183" t="s">
        <v>661</v>
      </c>
      <c r="J183" t="s">
        <v>673</v>
      </c>
      <c r="K183" t="s">
        <v>675</v>
      </c>
      <c r="L183" t="s">
        <v>682</v>
      </c>
      <c r="M183" t="s">
        <v>687</v>
      </c>
      <c r="N183" t="s">
        <v>691</v>
      </c>
      <c r="O183" t="s">
        <v>693</v>
      </c>
      <c r="P183" s="4">
        <v>17692922</v>
      </c>
      <c r="Q183">
        <v>0</v>
      </c>
      <c r="R183" s="7">
        <v>0.65</v>
      </c>
      <c r="S183" s="8">
        <f>Table13[[#This Row],[Discount_%]]/100</f>
        <v>6.5000000000000006E-3</v>
      </c>
      <c r="T183" s="6" t="s">
        <v>842</v>
      </c>
      <c r="U183" t="s">
        <v>988</v>
      </c>
      <c r="V183">
        <v>2024</v>
      </c>
      <c r="W183" t="s">
        <v>996</v>
      </c>
      <c r="X183" t="s">
        <v>998</v>
      </c>
      <c r="Y183" t="s">
        <v>1002</v>
      </c>
      <c r="Z183">
        <v>3</v>
      </c>
      <c r="AA183">
        <v>49</v>
      </c>
      <c r="AB183" s="4">
        <f>Table13[[#This Row],[Total_Price]]*(1-Table13[[#This Row],[Discount 2]])</f>
        <v>17577918.006999999</v>
      </c>
      <c r="AC183" s="4" t="str" cm="1">
        <f t="array" ref="AC183">_xlfn.IFS(Table13[[#This Row],[Revenue]]&gt;=30000000,"High Value",Table13[[#This Row],[Revenue]]&gt;=10000000,"Moderate Value",TRUE,"Low Value")</f>
        <v>Moderate Value</v>
      </c>
      <c r="AD183" t="str">
        <f>IF(Table13[[#This Row],[Discount 2]]&gt;=5%, "YES", "NO")</f>
        <v>NO</v>
      </c>
      <c r="AE183" t="str" cm="1">
        <f t="array" ref="AE183">_xlfn.IFS(Table13[[#This Row],[Revenue]]&gt;=30000000,"High Spender",Table13[[#This Row],[Revenue]]&gt;=10000000,"Moderate Spender",TRUE,"Low Spender")</f>
        <v>Moderate Spender</v>
      </c>
      <c r="AF183" s="4" t="str" cm="1">
        <f t="array" ref="AF183">_xlfn.IFS(Table13[[#This Row],[Land_Size_SQM]]&gt;=730,"LARGE",Table13[[#This Row],[Land_Size_SQM]]&gt;=465,"MEDIUM",TRUE,"SMALL")</f>
        <v>LARGE</v>
      </c>
    </row>
    <row r="184" spans="1:32" x14ac:dyDescent="0.3">
      <c r="A184" t="s">
        <v>94</v>
      </c>
      <c r="B184" t="s">
        <v>534</v>
      </c>
      <c r="C184" t="s">
        <v>626</v>
      </c>
      <c r="D184">
        <v>54</v>
      </c>
      <c r="E184" t="s">
        <v>629</v>
      </c>
      <c r="F184">
        <v>982</v>
      </c>
      <c r="G184" s="4">
        <v>18745</v>
      </c>
      <c r="H184" s="4">
        <v>18407590</v>
      </c>
      <c r="I184" t="s">
        <v>648</v>
      </c>
      <c r="J184" t="s">
        <v>671</v>
      </c>
      <c r="K184" t="s">
        <v>638</v>
      </c>
      <c r="L184" t="s">
        <v>680</v>
      </c>
      <c r="M184" t="s">
        <v>686</v>
      </c>
      <c r="N184" t="s">
        <v>692</v>
      </c>
      <c r="O184" t="s">
        <v>694</v>
      </c>
      <c r="P184" s="4">
        <v>4344105</v>
      </c>
      <c r="Q184">
        <v>12</v>
      </c>
      <c r="R184" s="7">
        <v>4.97</v>
      </c>
      <c r="S184" s="8">
        <f>Table13[[#This Row],[Discount_%]]/100</f>
        <v>4.9699999999999994E-2</v>
      </c>
      <c r="T184" s="6" t="s">
        <v>757</v>
      </c>
      <c r="U184" t="s">
        <v>989</v>
      </c>
      <c r="V184">
        <v>2024</v>
      </c>
      <c r="W184" t="s">
        <v>994</v>
      </c>
      <c r="X184" t="s">
        <v>999</v>
      </c>
      <c r="Y184" t="s">
        <v>1002</v>
      </c>
      <c r="Z184">
        <v>1</v>
      </c>
      <c r="AA184">
        <v>28</v>
      </c>
      <c r="AB184" s="4">
        <f>Table13[[#This Row],[Total_Price]]*(1-Table13[[#This Row],[Discount 2]])</f>
        <v>17492732.776999999</v>
      </c>
      <c r="AC184" s="4" t="str" cm="1">
        <f t="array" ref="AC184">_xlfn.IFS(Table13[[#This Row],[Revenue]]&gt;=30000000,"High Value",Table13[[#This Row],[Revenue]]&gt;=10000000,"Moderate Value",TRUE,"Low Value")</f>
        <v>Moderate Value</v>
      </c>
      <c r="AD184" t="str">
        <f>IF(Table13[[#This Row],[Discount 2]]&gt;=5%, "YES", "NO")</f>
        <v>NO</v>
      </c>
      <c r="AE184" t="str" cm="1">
        <f t="array" ref="AE184">_xlfn.IFS(Table13[[#This Row],[Revenue]]&gt;=30000000,"High Spender",Table13[[#This Row],[Revenue]]&gt;=10000000,"Moderate Spender",TRUE,"Low Spender")</f>
        <v>Moderate Spender</v>
      </c>
      <c r="AF184" s="4" t="str" cm="1">
        <f t="array" ref="AF184">_xlfn.IFS(Table13[[#This Row],[Land_Size_SQM]]&gt;=730,"LARGE",Table13[[#This Row],[Land_Size_SQM]]&gt;=465,"MEDIUM",TRUE,"SMALL")</f>
        <v>LARGE</v>
      </c>
    </row>
    <row r="185" spans="1:32" x14ac:dyDescent="0.3">
      <c r="A185" t="s">
        <v>74</v>
      </c>
      <c r="B185" t="s">
        <v>540</v>
      </c>
      <c r="C185" t="s">
        <v>626</v>
      </c>
      <c r="D185">
        <v>20</v>
      </c>
      <c r="E185" t="s">
        <v>629</v>
      </c>
      <c r="F185">
        <v>804</v>
      </c>
      <c r="G185" s="4">
        <v>23757</v>
      </c>
      <c r="H185" s="4">
        <v>19100628</v>
      </c>
      <c r="I185" t="s">
        <v>641</v>
      </c>
      <c r="J185" t="s">
        <v>673</v>
      </c>
      <c r="K185" t="s">
        <v>675</v>
      </c>
      <c r="L185" t="s">
        <v>680</v>
      </c>
      <c r="M185" t="s">
        <v>684</v>
      </c>
      <c r="N185" t="s">
        <v>688</v>
      </c>
      <c r="O185" t="s">
        <v>693</v>
      </c>
      <c r="P185" s="4">
        <v>19100628</v>
      </c>
      <c r="Q185">
        <v>0</v>
      </c>
      <c r="R185" s="7">
        <v>8.74</v>
      </c>
      <c r="S185" s="8">
        <f>Table13[[#This Row],[Discount_%]]/100</f>
        <v>8.7400000000000005E-2</v>
      </c>
      <c r="T185" s="6" t="s">
        <v>738</v>
      </c>
      <c r="U185" t="s">
        <v>989</v>
      </c>
      <c r="V185">
        <v>2024</v>
      </c>
      <c r="W185" t="s">
        <v>993</v>
      </c>
      <c r="X185" t="s">
        <v>998</v>
      </c>
      <c r="Y185" t="s">
        <v>1002</v>
      </c>
      <c r="Z185">
        <v>3</v>
      </c>
      <c r="AA185">
        <v>40</v>
      </c>
      <c r="AB185" s="4">
        <f>Table13[[#This Row],[Total_Price]]*(1-Table13[[#This Row],[Discount 2]])</f>
        <v>17431233.112799998</v>
      </c>
      <c r="AC185" s="4" t="str" cm="1">
        <f t="array" ref="AC185">_xlfn.IFS(Table13[[#This Row],[Revenue]]&gt;=30000000,"High Value",Table13[[#This Row],[Revenue]]&gt;=10000000,"Moderate Value",TRUE,"Low Value")</f>
        <v>Moderate Value</v>
      </c>
      <c r="AD185" t="str">
        <f>IF(Table13[[#This Row],[Discount 2]]&gt;=5%, "YES", "NO")</f>
        <v>YES</v>
      </c>
      <c r="AE185" t="str" cm="1">
        <f t="array" ref="AE185">_xlfn.IFS(Table13[[#This Row],[Revenue]]&gt;=30000000,"High Spender",Table13[[#This Row],[Revenue]]&gt;=10000000,"Moderate Spender",TRUE,"Low Spender")</f>
        <v>Moderate Spender</v>
      </c>
      <c r="AF185" s="4" t="str" cm="1">
        <f t="array" ref="AF185">_xlfn.IFS(Table13[[#This Row],[Land_Size_SQM]]&gt;=730,"LARGE",Table13[[#This Row],[Land_Size_SQM]]&gt;=465,"MEDIUM",TRUE,"SMALL")</f>
        <v>LARGE</v>
      </c>
    </row>
    <row r="186" spans="1:32" x14ac:dyDescent="0.3">
      <c r="A186" t="s">
        <v>108</v>
      </c>
      <c r="B186" t="s">
        <v>540</v>
      </c>
      <c r="C186" t="s">
        <v>627</v>
      </c>
      <c r="D186">
        <v>44</v>
      </c>
      <c r="E186" t="s">
        <v>630</v>
      </c>
      <c r="F186">
        <v>446</v>
      </c>
      <c r="G186" s="4">
        <v>39399</v>
      </c>
      <c r="H186" s="4">
        <v>17571954</v>
      </c>
      <c r="I186" t="s">
        <v>642</v>
      </c>
      <c r="J186" t="s">
        <v>673</v>
      </c>
      <c r="K186" t="s">
        <v>651</v>
      </c>
      <c r="L186" t="s">
        <v>680</v>
      </c>
      <c r="M186" t="s">
        <v>684</v>
      </c>
      <c r="N186" t="s">
        <v>690</v>
      </c>
      <c r="O186" t="s">
        <v>694</v>
      </c>
      <c r="P186" s="4">
        <v>7016681</v>
      </c>
      <c r="Q186">
        <v>6</v>
      </c>
      <c r="R186" s="7">
        <v>0.86</v>
      </c>
      <c r="S186" s="8">
        <f>Table13[[#This Row],[Discount_%]]/100</f>
        <v>8.6E-3</v>
      </c>
      <c r="T186" s="6" t="s">
        <v>768</v>
      </c>
      <c r="U186" t="s">
        <v>991</v>
      </c>
      <c r="V186">
        <v>2024</v>
      </c>
      <c r="W186" t="s">
        <v>994</v>
      </c>
      <c r="X186" t="s">
        <v>997</v>
      </c>
      <c r="Y186" t="s">
        <v>1000</v>
      </c>
      <c r="Z186">
        <v>3</v>
      </c>
      <c r="AA186">
        <v>5</v>
      </c>
      <c r="AB186" s="4">
        <f>Table13[[#This Row],[Total_Price]]*(1-Table13[[#This Row],[Discount 2]])</f>
        <v>17420835.195599999</v>
      </c>
      <c r="AC186" s="4" t="str" cm="1">
        <f t="array" ref="AC186">_xlfn.IFS(Table13[[#This Row],[Revenue]]&gt;=30000000,"High Value",Table13[[#This Row],[Revenue]]&gt;=10000000,"Moderate Value",TRUE,"Low Value")</f>
        <v>Moderate Value</v>
      </c>
      <c r="AD186" t="str">
        <f>IF(Table13[[#This Row],[Discount 2]]&gt;=5%, "YES", "NO")</f>
        <v>NO</v>
      </c>
      <c r="AE186" t="str" cm="1">
        <f t="array" ref="AE186">_xlfn.IFS(Table13[[#This Row],[Revenue]]&gt;=30000000,"High Spender",Table13[[#This Row],[Revenue]]&gt;=10000000,"Moderate Spender",TRUE,"Low Spender")</f>
        <v>Moderate Spender</v>
      </c>
      <c r="AF186" s="4" t="str" cm="1">
        <f t="array" ref="AF186">_xlfn.IFS(Table13[[#This Row],[Land_Size_SQM]]&gt;=730,"LARGE",Table13[[#This Row],[Land_Size_SQM]]&gt;=465,"MEDIUM",TRUE,"SMALL")</f>
        <v>SMALL</v>
      </c>
    </row>
    <row r="187" spans="1:32" x14ac:dyDescent="0.3">
      <c r="A187" t="s">
        <v>416</v>
      </c>
      <c r="B187" t="s">
        <v>598</v>
      </c>
      <c r="C187" t="s">
        <v>627</v>
      </c>
      <c r="D187">
        <v>47</v>
      </c>
      <c r="E187" t="s">
        <v>629</v>
      </c>
      <c r="F187">
        <v>656</v>
      </c>
      <c r="G187" s="4">
        <v>27433</v>
      </c>
      <c r="H187" s="4">
        <v>17996048</v>
      </c>
      <c r="I187" t="s">
        <v>640</v>
      </c>
      <c r="J187" t="s">
        <v>672</v>
      </c>
      <c r="K187" t="s">
        <v>678</v>
      </c>
      <c r="L187" t="s">
        <v>681</v>
      </c>
      <c r="M187" t="s">
        <v>685</v>
      </c>
      <c r="N187" t="s">
        <v>689</v>
      </c>
      <c r="O187" t="s">
        <v>694</v>
      </c>
      <c r="P187" s="4">
        <v>6639050</v>
      </c>
      <c r="Q187">
        <v>12</v>
      </c>
      <c r="R187" s="7">
        <v>4.2300000000000004</v>
      </c>
      <c r="S187" s="8">
        <f>Table13[[#This Row],[Discount_%]]/100</f>
        <v>4.2300000000000004E-2</v>
      </c>
      <c r="T187" s="6" t="s">
        <v>807</v>
      </c>
      <c r="U187" t="s">
        <v>989</v>
      </c>
      <c r="V187">
        <v>2024</v>
      </c>
      <c r="W187" t="s">
        <v>994</v>
      </c>
      <c r="X187" t="s">
        <v>998</v>
      </c>
      <c r="Y187" t="s">
        <v>1001</v>
      </c>
      <c r="Z187">
        <v>2</v>
      </c>
      <c r="AA187">
        <v>42</v>
      </c>
      <c r="AB187" s="4">
        <f>Table13[[#This Row],[Total_Price]]*(1-Table13[[#This Row],[Discount 2]])</f>
        <v>17234815.169599999</v>
      </c>
      <c r="AC187" s="4" t="str" cm="1">
        <f t="array" ref="AC187">_xlfn.IFS(Table13[[#This Row],[Revenue]]&gt;=30000000,"High Value",Table13[[#This Row],[Revenue]]&gt;=10000000,"Moderate Value",TRUE,"Low Value")</f>
        <v>Moderate Value</v>
      </c>
      <c r="AD187" t="str">
        <f>IF(Table13[[#This Row],[Discount 2]]&gt;=5%, "YES", "NO")</f>
        <v>NO</v>
      </c>
      <c r="AE187" t="str" cm="1">
        <f t="array" ref="AE187">_xlfn.IFS(Table13[[#This Row],[Revenue]]&gt;=30000000,"High Spender",Table13[[#This Row],[Revenue]]&gt;=10000000,"Moderate Spender",TRUE,"Low Spender")</f>
        <v>Moderate Spender</v>
      </c>
      <c r="AF187" s="4" t="str" cm="1">
        <f t="array" ref="AF187">_xlfn.IFS(Table13[[#This Row],[Land_Size_SQM]]&gt;=730,"LARGE",Table13[[#This Row],[Land_Size_SQM]]&gt;=465,"MEDIUM",TRUE,"SMALL")</f>
        <v>MEDIUM</v>
      </c>
    </row>
    <row r="188" spans="1:32" x14ac:dyDescent="0.3">
      <c r="A188" t="s">
        <v>252</v>
      </c>
      <c r="B188" t="s">
        <v>614</v>
      </c>
      <c r="C188" t="s">
        <v>626</v>
      </c>
      <c r="D188">
        <v>36</v>
      </c>
      <c r="E188" t="s">
        <v>629</v>
      </c>
      <c r="F188">
        <v>730</v>
      </c>
      <c r="G188" s="4">
        <v>25674</v>
      </c>
      <c r="H188" s="4">
        <v>18742020</v>
      </c>
      <c r="I188" t="s">
        <v>662</v>
      </c>
      <c r="J188" t="s">
        <v>673</v>
      </c>
      <c r="K188" t="s">
        <v>679</v>
      </c>
      <c r="L188" t="s">
        <v>682</v>
      </c>
      <c r="M188" t="s">
        <v>686</v>
      </c>
      <c r="N188" t="s">
        <v>688</v>
      </c>
      <c r="O188" t="s">
        <v>694</v>
      </c>
      <c r="P188" s="4">
        <v>8909405</v>
      </c>
      <c r="Q188">
        <v>24</v>
      </c>
      <c r="R188" s="7">
        <v>8.82</v>
      </c>
      <c r="S188" s="8">
        <f>Table13[[#This Row],[Discount_%]]/100</f>
        <v>8.8200000000000001E-2</v>
      </c>
      <c r="T188" s="6" t="s">
        <v>713</v>
      </c>
      <c r="U188" t="s">
        <v>988</v>
      </c>
      <c r="V188">
        <v>2024</v>
      </c>
      <c r="W188" t="s">
        <v>995</v>
      </c>
      <c r="X188" t="s">
        <v>997</v>
      </c>
      <c r="Y188" t="s">
        <v>1002</v>
      </c>
      <c r="Z188">
        <v>3</v>
      </c>
      <c r="AA188">
        <v>38</v>
      </c>
      <c r="AB188" s="4">
        <f>Table13[[#This Row],[Total_Price]]*(1-Table13[[#This Row],[Discount 2]])</f>
        <v>17088973.835999999</v>
      </c>
      <c r="AC188" s="4" t="str" cm="1">
        <f t="array" ref="AC188">_xlfn.IFS(Table13[[#This Row],[Revenue]]&gt;=30000000,"High Value",Table13[[#This Row],[Revenue]]&gt;=10000000,"Moderate Value",TRUE,"Low Value")</f>
        <v>Moderate Value</v>
      </c>
      <c r="AD188" t="str">
        <f>IF(Table13[[#This Row],[Discount 2]]&gt;=5%, "YES", "NO")</f>
        <v>YES</v>
      </c>
      <c r="AE188" t="str" cm="1">
        <f t="array" ref="AE188">_xlfn.IFS(Table13[[#This Row],[Revenue]]&gt;=30000000,"High Spender",Table13[[#This Row],[Revenue]]&gt;=10000000,"Moderate Spender",TRUE,"Low Spender")</f>
        <v>Moderate Spender</v>
      </c>
      <c r="AF188" s="4" t="str" cm="1">
        <f t="array" ref="AF188">_xlfn.IFS(Table13[[#This Row],[Land_Size_SQM]]&gt;=730,"LARGE",Table13[[#This Row],[Land_Size_SQM]]&gt;=465,"MEDIUM",TRUE,"SMALL")</f>
        <v>LARGE</v>
      </c>
    </row>
    <row r="189" spans="1:32" x14ac:dyDescent="0.3">
      <c r="A189" t="s">
        <v>239</v>
      </c>
      <c r="B189" t="s">
        <v>604</v>
      </c>
      <c r="C189" t="s">
        <v>627</v>
      </c>
      <c r="D189">
        <v>22</v>
      </c>
      <c r="E189" t="s">
        <v>628</v>
      </c>
      <c r="F189">
        <v>485</v>
      </c>
      <c r="G189" s="4">
        <v>38477</v>
      </c>
      <c r="H189" s="4">
        <v>18661345</v>
      </c>
      <c r="I189" t="s">
        <v>663</v>
      </c>
      <c r="J189" t="s">
        <v>670</v>
      </c>
      <c r="K189" t="s">
        <v>640</v>
      </c>
      <c r="L189" t="s">
        <v>681</v>
      </c>
      <c r="M189" t="s">
        <v>686</v>
      </c>
      <c r="N189" t="s">
        <v>689</v>
      </c>
      <c r="O189" t="s">
        <v>694</v>
      </c>
      <c r="P189" s="4">
        <v>4633214</v>
      </c>
      <c r="Q189">
        <v>6</v>
      </c>
      <c r="R189" s="7">
        <v>8.4600000000000009</v>
      </c>
      <c r="S189" s="8">
        <f>Table13[[#This Row],[Discount_%]]/100</f>
        <v>8.4600000000000009E-2</v>
      </c>
      <c r="T189" s="6" t="s">
        <v>856</v>
      </c>
      <c r="U189" t="s">
        <v>988</v>
      </c>
      <c r="V189">
        <v>2024</v>
      </c>
      <c r="W189" t="s">
        <v>994</v>
      </c>
      <c r="X189" t="s">
        <v>998</v>
      </c>
      <c r="Y189" t="s">
        <v>1001</v>
      </c>
      <c r="Z189">
        <v>5</v>
      </c>
      <c r="AA189">
        <v>23</v>
      </c>
      <c r="AB189" s="4">
        <f>Table13[[#This Row],[Total_Price]]*(1-Table13[[#This Row],[Discount 2]])</f>
        <v>17082595.213</v>
      </c>
      <c r="AC189" s="4" t="str" cm="1">
        <f t="array" ref="AC189">_xlfn.IFS(Table13[[#This Row],[Revenue]]&gt;=30000000,"High Value",Table13[[#This Row],[Revenue]]&gt;=10000000,"Moderate Value",TRUE,"Low Value")</f>
        <v>Moderate Value</v>
      </c>
      <c r="AD189" t="str">
        <f>IF(Table13[[#This Row],[Discount 2]]&gt;=5%, "YES", "NO")</f>
        <v>YES</v>
      </c>
      <c r="AE189" t="str" cm="1">
        <f t="array" ref="AE189">_xlfn.IFS(Table13[[#This Row],[Revenue]]&gt;=30000000,"High Spender",Table13[[#This Row],[Revenue]]&gt;=10000000,"Moderate Spender",TRUE,"Low Spender")</f>
        <v>Moderate Spender</v>
      </c>
      <c r="AF189" s="4" t="str" cm="1">
        <f t="array" ref="AF189">_xlfn.IFS(Table13[[#This Row],[Land_Size_SQM]]&gt;=730,"LARGE",Table13[[#This Row],[Land_Size_SQM]]&gt;=465,"MEDIUM",TRUE,"SMALL")</f>
        <v>MEDIUM</v>
      </c>
    </row>
    <row r="190" spans="1:32" x14ac:dyDescent="0.3">
      <c r="A190" t="s">
        <v>277</v>
      </c>
      <c r="B190" t="s">
        <v>573</v>
      </c>
      <c r="C190" t="s">
        <v>626</v>
      </c>
      <c r="D190">
        <v>60</v>
      </c>
      <c r="E190" t="s">
        <v>629</v>
      </c>
      <c r="F190">
        <v>478</v>
      </c>
      <c r="G190" s="4">
        <v>37949</v>
      </c>
      <c r="H190" s="4">
        <v>18139622</v>
      </c>
      <c r="I190" t="s">
        <v>666</v>
      </c>
      <c r="J190" t="s">
        <v>670</v>
      </c>
      <c r="K190" t="s">
        <v>675</v>
      </c>
      <c r="L190" t="s">
        <v>682</v>
      </c>
      <c r="M190" t="s">
        <v>686</v>
      </c>
      <c r="N190" t="s">
        <v>691</v>
      </c>
      <c r="O190" t="s">
        <v>694</v>
      </c>
      <c r="P190" s="4">
        <v>8904063</v>
      </c>
      <c r="Q190">
        <v>6</v>
      </c>
      <c r="R190" s="7">
        <v>6.98</v>
      </c>
      <c r="S190" s="8">
        <f>Table13[[#This Row],[Discount_%]]/100</f>
        <v>6.9800000000000001E-2</v>
      </c>
      <c r="T190" s="6" t="s">
        <v>879</v>
      </c>
      <c r="U190" t="s">
        <v>987</v>
      </c>
      <c r="V190">
        <v>2024</v>
      </c>
      <c r="W190" t="s">
        <v>994</v>
      </c>
      <c r="X190" t="s">
        <v>998</v>
      </c>
      <c r="Y190" t="s">
        <v>1002</v>
      </c>
      <c r="Z190">
        <v>5</v>
      </c>
      <c r="AA190">
        <v>15</v>
      </c>
      <c r="AB190" s="4">
        <f>Table13[[#This Row],[Total_Price]]*(1-Table13[[#This Row],[Discount 2]])</f>
        <v>16873476.384399999</v>
      </c>
      <c r="AC190" s="4" t="str" cm="1">
        <f t="array" ref="AC190">_xlfn.IFS(Table13[[#This Row],[Revenue]]&gt;=30000000,"High Value",Table13[[#This Row],[Revenue]]&gt;=10000000,"Moderate Value",TRUE,"Low Value")</f>
        <v>Moderate Value</v>
      </c>
      <c r="AD190" t="str">
        <f>IF(Table13[[#This Row],[Discount 2]]&gt;=5%, "YES", "NO")</f>
        <v>YES</v>
      </c>
      <c r="AE190" t="str" cm="1">
        <f t="array" ref="AE190">_xlfn.IFS(Table13[[#This Row],[Revenue]]&gt;=30000000,"High Spender",Table13[[#This Row],[Revenue]]&gt;=10000000,"Moderate Spender",TRUE,"Low Spender")</f>
        <v>Moderate Spender</v>
      </c>
      <c r="AF190" s="4" t="str" cm="1">
        <f t="array" ref="AF190">_xlfn.IFS(Table13[[#This Row],[Land_Size_SQM]]&gt;=730,"LARGE",Table13[[#This Row],[Land_Size_SQM]]&gt;=465,"MEDIUM",TRUE,"SMALL")</f>
        <v>MEDIUM</v>
      </c>
    </row>
    <row r="191" spans="1:32" x14ac:dyDescent="0.3">
      <c r="A191" t="s">
        <v>287</v>
      </c>
      <c r="B191" t="s">
        <v>564</v>
      </c>
      <c r="C191" t="s">
        <v>627</v>
      </c>
      <c r="D191">
        <v>59</v>
      </c>
      <c r="E191" t="s">
        <v>630</v>
      </c>
      <c r="F191">
        <v>575</v>
      </c>
      <c r="G191" s="4">
        <v>31758</v>
      </c>
      <c r="H191" s="4">
        <v>18260850</v>
      </c>
      <c r="I191" t="s">
        <v>657</v>
      </c>
      <c r="J191" t="s">
        <v>671</v>
      </c>
      <c r="K191" t="s">
        <v>675</v>
      </c>
      <c r="L191" t="s">
        <v>682</v>
      </c>
      <c r="M191" t="s">
        <v>683</v>
      </c>
      <c r="N191" t="s">
        <v>690</v>
      </c>
      <c r="O191" t="s">
        <v>693</v>
      </c>
      <c r="P191" s="4">
        <v>18260850</v>
      </c>
      <c r="Q191">
        <v>0</v>
      </c>
      <c r="R191" s="7">
        <v>7.76</v>
      </c>
      <c r="S191" s="8">
        <f>Table13[[#This Row],[Discount_%]]/100</f>
        <v>7.7600000000000002E-2</v>
      </c>
      <c r="T191" s="6" t="s">
        <v>886</v>
      </c>
      <c r="U191" t="s">
        <v>986</v>
      </c>
      <c r="V191">
        <v>2024</v>
      </c>
      <c r="W191" t="s">
        <v>993</v>
      </c>
      <c r="X191" t="s">
        <v>997</v>
      </c>
      <c r="Y191" t="s">
        <v>1001</v>
      </c>
      <c r="Z191">
        <v>4</v>
      </c>
      <c r="AA191">
        <v>13</v>
      </c>
      <c r="AB191" s="4">
        <f>Table13[[#This Row],[Total_Price]]*(1-Table13[[#This Row],[Discount 2]])</f>
        <v>16843808.039999999</v>
      </c>
      <c r="AC191" s="4" t="str" cm="1">
        <f t="array" ref="AC191">_xlfn.IFS(Table13[[#This Row],[Revenue]]&gt;=30000000,"High Value",Table13[[#This Row],[Revenue]]&gt;=10000000,"Moderate Value",TRUE,"Low Value")</f>
        <v>Moderate Value</v>
      </c>
      <c r="AD191" t="str">
        <f>IF(Table13[[#This Row],[Discount 2]]&gt;=5%, "YES", "NO")</f>
        <v>YES</v>
      </c>
      <c r="AE191" t="str" cm="1">
        <f t="array" ref="AE191">_xlfn.IFS(Table13[[#This Row],[Revenue]]&gt;=30000000,"High Spender",Table13[[#This Row],[Revenue]]&gt;=10000000,"Moderate Spender",TRUE,"Low Spender")</f>
        <v>Moderate Spender</v>
      </c>
      <c r="AF191" s="4" t="str" cm="1">
        <f t="array" ref="AF191">_xlfn.IFS(Table13[[#This Row],[Land_Size_SQM]]&gt;=730,"LARGE",Table13[[#This Row],[Land_Size_SQM]]&gt;=465,"MEDIUM",TRUE,"SMALL")</f>
        <v>MEDIUM</v>
      </c>
    </row>
    <row r="192" spans="1:32" x14ac:dyDescent="0.3">
      <c r="A192" t="s">
        <v>393</v>
      </c>
      <c r="B192" t="s">
        <v>570</v>
      </c>
      <c r="C192" t="s">
        <v>626</v>
      </c>
      <c r="D192">
        <v>36</v>
      </c>
      <c r="E192" t="s">
        <v>628</v>
      </c>
      <c r="F192">
        <v>829</v>
      </c>
      <c r="G192" s="4">
        <v>21629</v>
      </c>
      <c r="H192" s="4">
        <v>17930441</v>
      </c>
      <c r="I192" t="s">
        <v>635</v>
      </c>
      <c r="J192" t="s">
        <v>668</v>
      </c>
      <c r="K192" t="s">
        <v>638</v>
      </c>
      <c r="L192" t="s">
        <v>681</v>
      </c>
      <c r="M192" t="s">
        <v>686</v>
      </c>
      <c r="N192" t="s">
        <v>691</v>
      </c>
      <c r="O192" t="s">
        <v>694</v>
      </c>
      <c r="P192" s="4">
        <v>4671375</v>
      </c>
      <c r="Q192">
        <v>24</v>
      </c>
      <c r="R192" s="7">
        <v>6.35</v>
      </c>
      <c r="S192" s="8">
        <f>Table13[[#This Row],[Discount_%]]/100</f>
        <v>6.3500000000000001E-2</v>
      </c>
      <c r="T192" s="6" t="s">
        <v>724</v>
      </c>
      <c r="U192" t="s">
        <v>981</v>
      </c>
      <c r="V192">
        <v>2024</v>
      </c>
      <c r="W192" t="s">
        <v>996</v>
      </c>
      <c r="X192" t="s">
        <v>997</v>
      </c>
      <c r="Y192" t="s">
        <v>1001</v>
      </c>
      <c r="Z192">
        <v>1</v>
      </c>
      <c r="AA192">
        <v>46</v>
      </c>
      <c r="AB192" s="4">
        <f>Table13[[#This Row],[Total_Price]]*(1-Table13[[#This Row],[Discount 2]])</f>
        <v>16791857.9965</v>
      </c>
      <c r="AC192" s="4" t="str" cm="1">
        <f t="array" ref="AC192">_xlfn.IFS(Table13[[#This Row],[Revenue]]&gt;=30000000,"High Value",Table13[[#This Row],[Revenue]]&gt;=10000000,"Moderate Value",TRUE,"Low Value")</f>
        <v>Moderate Value</v>
      </c>
      <c r="AD192" t="str">
        <f>IF(Table13[[#This Row],[Discount 2]]&gt;=5%, "YES", "NO")</f>
        <v>YES</v>
      </c>
      <c r="AE192" t="str" cm="1">
        <f t="array" ref="AE192">_xlfn.IFS(Table13[[#This Row],[Revenue]]&gt;=30000000,"High Spender",Table13[[#This Row],[Revenue]]&gt;=10000000,"Moderate Spender",TRUE,"Low Spender")</f>
        <v>Moderate Spender</v>
      </c>
      <c r="AF192" s="4" t="str" cm="1">
        <f t="array" ref="AF192">_xlfn.IFS(Table13[[#This Row],[Land_Size_SQM]]&gt;=730,"LARGE",Table13[[#This Row],[Land_Size_SQM]]&gt;=465,"MEDIUM",TRUE,"SMALL")</f>
        <v>LARGE</v>
      </c>
    </row>
    <row r="193" spans="1:32" x14ac:dyDescent="0.3">
      <c r="A193" t="s">
        <v>198</v>
      </c>
      <c r="B193" t="s">
        <v>575</v>
      </c>
      <c r="C193" t="s">
        <v>627</v>
      </c>
      <c r="D193">
        <v>31</v>
      </c>
      <c r="E193" t="s">
        <v>629</v>
      </c>
      <c r="F193">
        <v>378</v>
      </c>
      <c r="G193" s="4">
        <v>48345</v>
      </c>
      <c r="H193" s="4">
        <v>18274410</v>
      </c>
      <c r="I193" t="s">
        <v>634</v>
      </c>
      <c r="J193" t="s">
        <v>670</v>
      </c>
      <c r="K193" t="s">
        <v>651</v>
      </c>
      <c r="L193" t="s">
        <v>680</v>
      </c>
      <c r="M193" t="s">
        <v>686</v>
      </c>
      <c r="N193" t="s">
        <v>691</v>
      </c>
      <c r="O193" t="s">
        <v>694</v>
      </c>
      <c r="P193" s="4">
        <v>7303542</v>
      </c>
      <c r="Q193">
        <v>6</v>
      </c>
      <c r="R193" s="7">
        <v>8.14</v>
      </c>
      <c r="S193" s="8">
        <f>Table13[[#This Row],[Discount_%]]/100</f>
        <v>8.14E-2</v>
      </c>
      <c r="T193" s="6" t="s">
        <v>828</v>
      </c>
      <c r="U193" t="s">
        <v>991</v>
      </c>
      <c r="V193">
        <v>2024</v>
      </c>
      <c r="W193" t="s">
        <v>993</v>
      </c>
      <c r="X193" t="s">
        <v>999</v>
      </c>
      <c r="Y193" t="s">
        <v>1001</v>
      </c>
      <c r="Z193">
        <v>3</v>
      </c>
      <c r="AA193">
        <v>40</v>
      </c>
      <c r="AB193" s="4">
        <f>Table13[[#This Row],[Total_Price]]*(1-Table13[[#This Row],[Discount 2]])</f>
        <v>16786873.026000001</v>
      </c>
      <c r="AC193" s="4" t="str" cm="1">
        <f t="array" ref="AC193">_xlfn.IFS(Table13[[#This Row],[Revenue]]&gt;=30000000,"High Value",Table13[[#This Row],[Revenue]]&gt;=10000000,"Moderate Value",TRUE,"Low Value")</f>
        <v>Moderate Value</v>
      </c>
      <c r="AD193" t="str">
        <f>IF(Table13[[#This Row],[Discount 2]]&gt;=5%, "YES", "NO")</f>
        <v>YES</v>
      </c>
      <c r="AE193" t="str" cm="1">
        <f t="array" ref="AE193">_xlfn.IFS(Table13[[#This Row],[Revenue]]&gt;=30000000,"High Spender",Table13[[#This Row],[Revenue]]&gt;=10000000,"Moderate Spender",TRUE,"Low Spender")</f>
        <v>Moderate Spender</v>
      </c>
      <c r="AF193" s="4" t="str" cm="1">
        <f t="array" ref="AF193">_xlfn.IFS(Table13[[#This Row],[Land_Size_SQM]]&gt;=730,"LARGE",Table13[[#This Row],[Land_Size_SQM]]&gt;=465,"MEDIUM",TRUE,"SMALL")</f>
        <v>SMALL</v>
      </c>
    </row>
    <row r="194" spans="1:32" x14ac:dyDescent="0.3">
      <c r="A194" t="s">
        <v>92</v>
      </c>
      <c r="B194" t="s">
        <v>573</v>
      </c>
      <c r="C194" t="s">
        <v>627</v>
      </c>
      <c r="D194">
        <v>23</v>
      </c>
      <c r="E194" t="s">
        <v>628</v>
      </c>
      <c r="F194">
        <v>585</v>
      </c>
      <c r="G194" s="4">
        <v>29514</v>
      </c>
      <c r="H194" s="4">
        <v>17265690</v>
      </c>
      <c r="I194" t="s">
        <v>644</v>
      </c>
      <c r="J194" t="s">
        <v>668</v>
      </c>
      <c r="K194" t="s">
        <v>679</v>
      </c>
      <c r="L194" t="s">
        <v>680</v>
      </c>
      <c r="M194" t="s">
        <v>686</v>
      </c>
      <c r="N194" t="s">
        <v>689</v>
      </c>
      <c r="O194" t="s">
        <v>694</v>
      </c>
      <c r="P194" s="4">
        <v>4268472</v>
      </c>
      <c r="Q194">
        <v>12</v>
      </c>
      <c r="R194" s="7">
        <v>3.12</v>
      </c>
      <c r="S194" s="8">
        <f>Table13[[#This Row],[Discount_%]]/100</f>
        <v>3.1200000000000002E-2</v>
      </c>
      <c r="T194" s="6" t="s">
        <v>755</v>
      </c>
      <c r="U194" t="s">
        <v>982</v>
      </c>
      <c r="V194">
        <v>2024</v>
      </c>
      <c r="W194" t="s">
        <v>993</v>
      </c>
      <c r="X194" t="s">
        <v>998</v>
      </c>
      <c r="Y194" t="s">
        <v>1002</v>
      </c>
      <c r="Z194">
        <v>4</v>
      </c>
      <c r="AA194">
        <v>32</v>
      </c>
      <c r="AB194" s="4">
        <f>Table13[[#This Row],[Total_Price]]*(1-Table13[[#This Row],[Discount 2]])</f>
        <v>16727000.471999999</v>
      </c>
      <c r="AC194" s="4" t="str" cm="1">
        <f t="array" ref="AC194">_xlfn.IFS(Table13[[#This Row],[Revenue]]&gt;=30000000,"High Value",Table13[[#This Row],[Revenue]]&gt;=10000000,"Moderate Value",TRUE,"Low Value")</f>
        <v>Moderate Value</v>
      </c>
      <c r="AD194" t="str">
        <f>IF(Table13[[#This Row],[Discount 2]]&gt;=5%, "YES", "NO")</f>
        <v>NO</v>
      </c>
      <c r="AE194" t="str" cm="1">
        <f t="array" ref="AE194">_xlfn.IFS(Table13[[#This Row],[Revenue]]&gt;=30000000,"High Spender",Table13[[#This Row],[Revenue]]&gt;=10000000,"Moderate Spender",TRUE,"Low Spender")</f>
        <v>Moderate Spender</v>
      </c>
      <c r="AF194" s="4" t="str" cm="1">
        <f t="array" ref="AF194">_xlfn.IFS(Table13[[#This Row],[Land_Size_SQM]]&gt;=730,"LARGE",Table13[[#This Row],[Land_Size_SQM]]&gt;=465,"MEDIUM",TRUE,"SMALL")</f>
        <v>MEDIUM</v>
      </c>
    </row>
    <row r="195" spans="1:32" x14ac:dyDescent="0.3">
      <c r="A195" t="s">
        <v>438</v>
      </c>
      <c r="B195" t="s">
        <v>534</v>
      </c>
      <c r="C195" t="s">
        <v>626</v>
      </c>
      <c r="D195">
        <v>48</v>
      </c>
      <c r="E195" t="s">
        <v>629</v>
      </c>
      <c r="F195">
        <v>786</v>
      </c>
      <c r="G195" s="4">
        <v>22296</v>
      </c>
      <c r="H195" s="4">
        <v>17524656</v>
      </c>
      <c r="I195" t="s">
        <v>661</v>
      </c>
      <c r="J195" t="s">
        <v>673</v>
      </c>
      <c r="K195" t="s">
        <v>678</v>
      </c>
      <c r="L195" t="s">
        <v>681</v>
      </c>
      <c r="M195" t="s">
        <v>683</v>
      </c>
      <c r="N195" t="s">
        <v>690</v>
      </c>
      <c r="O195" t="s">
        <v>694</v>
      </c>
      <c r="P195" s="4">
        <v>7612795</v>
      </c>
      <c r="Q195">
        <v>12</v>
      </c>
      <c r="R195" s="7">
        <v>4.75</v>
      </c>
      <c r="S195" s="8">
        <f>Table13[[#This Row],[Discount_%]]/100</f>
        <v>4.7500000000000001E-2</v>
      </c>
      <c r="T195" s="6" t="s">
        <v>948</v>
      </c>
      <c r="U195" t="s">
        <v>983</v>
      </c>
      <c r="V195">
        <v>2024</v>
      </c>
      <c r="W195" t="s">
        <v>993</v>
      </c>
      <c r="X195" t="s">
        <v>997</v>
      </c>
      <c r="Y195" t="s">
        <v>1001</v>
      </c>
      <c r="Z195">
        <v>5</v>
      </c>
      <c r="AA195">
        <v>27</v>
      </c>
      <c r="AB195" s="4">
        <f>Table13[[#This Row],[Total_Price]]*(1-Table13[[#This Row],[Discount 2]])</f>
        <v>16692234.84</v>
      </c>
      <c r="AC195" s="4" t="str" cm="1">
        <f t="array" ref="AC195">_xlfn.IFS(Table13[[#This Row],[Revenue]]&gt;=30000000,"High Value",Table13[[#This Row],[Revenue]]&gt;=10000000,"Moderate Value",TRUE,"Low Value")</f>
        <v>Moderate Value</v>
      </c>
      <c r="AD195" t="str">
        <f>IF(Table13[[#This Row],[Discount 2]]&gt;=5%, "YES", "NO")</f>
        <v>NO</v>
      </c>
      <c r="AE195" t="str" cm="1">
        <f t="array" ref="AE195">_xlfn.IFS(Table13[[#This Row],[Revenue]]&gt;=30000000,"High Spender",Table13[[#This Row],[Revenue]]&gt;=10000000,"Moderate Spender",TRUE,"Low Spender")</f>
        <v>Moderate Spender</v>
      </c>
      <c r="AF195" s="4" t="str" cm="1">
        <f t="array" ref="AF195">_xlfn.IFS(Table13[[#This Row],[Land_Size_SQM]]&gt;=730,"LARGE",Table13[[#This Row],[Land_Size_SQM]]&gt;=465,"MEDIUM",TRUE,"SMALL")</f>
        <v>LARGE</v>
      </c>
    </row>
    <row r="196" spans="1:32" x14ac:dyDescent="0.3">
      <c r="A196" t="s">
        <v>278</v>
      </c>
      <c r="B196" t="s">
        <v>585</v>
      </c>
      <c r="C196" t="s">
        <v>626</v>
      </c>
      <c r="D196">
        <v>54</v>
      </c>
      <c r="E196" t="s">
        <v>628</v>
      </c>
      <c r="F196">
        <v>574</v>
      </c>
      <c r="G196" s="4">
        <v>29014</v>
      </c>
      <c r="H196" s="4">
        <v>16654036</v>
      </c>
      <c r="I196" t="s">
        <v>661</v>
      </c>
      <c r="J196" t="s">
        <v>673</v>
      </c>
      <c r="K196" t="s">
        <v>677</v>
      </c>
      <c r="L196" t="s">
        <v>682</v>
      </c>
      <c r="M196" t="s">
        <v>684</v>
      </c>
      <c r="N196" t="s">
        <v>691</v>
      </c>
      <c r="O196" t="s">
        <v>694</v>
      </c>
      <c r="P196" s="4">
        <v>4847521</v>
      </c>
      <c r="Q196">
        <v>6</v>
      </c>
      <c r="R196" s="7">
        <v>0</v>
      </c>
      <c r="S196" s="8">
        <f>Table13[[#This Row],[Discount_%]]/100</f>
        <v>0</v>
      </c>
      <c r="T196" s="6" t="s">
        <v>880</v>
      </c>
      <c r="U196" t="s">
        <v>987</v>
      </c>
      <c r="V196">
        <v>2024</v>
      </c>
      <c r="W196" t="s">
        <v>994</v>
      </c>
      <c r="X196" t="s">
        <v>999</v>
      </c>
      <c r="Y196" t="s">
        <v>1002</v>
      </c>
      <c r="Z196">
        <v>3</v>
      </c>
      <c r="AA196">
        <v>39</v>
      </c>
      <c r="AB196" s="4">
        <f>Table13[[#This Row],[Total_Price]]*(1-Table13[[#This Row],[Discount 2]])</f>
        <v>16654036</v>
      </c>
      <c r="AC196" s="4" t="str" cm="1">
        <f t="array" ref="AC196">_xlfn.IFS(Table13[[#This Row],[Revenue]]&gt;=30000000,"High Value",Table13[[#This Row],[Revenue]]&gt;=10000000,"Moderate Value",TRUE,"Low Value")</f>
        <v>Moderate Value</v>
      </c>
      <c r="AD196" t="str">
        <f>IF(Table13[[#This Row],[Discount 2]]&gt;=5%, "YES", "NO")</f>
        <v>NO</v>
      </c>
      <c r="AE196" t="str" cm="1">
        <f t="array" ref="AE196">_xlfn.IFS(Table13[[#This Row],[Revenue]]&gt;=30000000,"High Spender",Table13[[#This Row],[Revenue]]&gt;=10000000,"Moderate Spender",TRUE,"Low Spender")</f>
        <v>Moderate Spender</v>
      </c>
      <c r="AF196" s="4" t="str" cm="1">
        <f t="array" ref="AF196">_xlfn.IFS(Table13[[#This Row],[Land_Size_SQM]]&gt;=730,"LARGE",Table13[[#This Row],[Land_Size_SQM]]&gt;=465,"MEDIUM",TRUE,"SMALL")</f>
        <v>MEDIUM</v>
      </c>
    </row>
    <row r="197" spans="1:32" x14ac:dyDescent="0.3">
      <c r="A197" t="s">
        <v>303</v>
      </c>
      <c r="B197" t="s">
        <v>584</v>
      </c>
      <c r="C197" t="s">
        <v>626</v>
      </c>
      <c r="D197">
        <v>44</v>
      </c>
      <c r="E197" t="s">
        <v>628</v>
      </c>
      <c r="F197">
        <v>840</v>
      </c>
      <c r="G197" s="4">
        <v>21813</v>
      </c>
      <c r="H197" s="4">
        <v>18322920</v>
      </c>
      <c r="I197" t="s">
        <v>635</v>
      </c>
      <c r="J197" t="s">
        <v>668</v>
      </c>
      <c r="K197" t="s">
        <v>651</v>
      </c>
      <c r="L197" t="s">
        <v>682</v>
      </c>
      <c r="M197" t="s">
        <v>687</v>
      </c>
      <c r="N197" t="s">
        <v>688</v>
      </c>
      <c r="O197" t="s">
        <v>693</v>
      </c>
      <c r="P197" s="4">
        <v>18322920</v>
      </c>
      <c r="Q197">
        <v>0</v>
      </c>
      <c r="R197" s="7">
        <v>9.9600000000000009</v>
      </c>
      <c r="S197" s="8">
        <f>Table13[[#This Row],[Discount_%]]/100</f>
        <v>9.9600000000000008E-2</v>
      </c>
      <c r="T197" s="6" t="s">
        <v>900</v>
      </c>
      <c r="U197" t="s">
        <v>986</v>
      </c>
      <c r="V197">
        <v>2024</v>
      </c>
      <c r="W197" t="s">
        <v>996</v>
      </c>
      <c r="X197" t="s">
        <v>998</v>
      </c>
      <c r="Y197" t="s">
        <v>1002</v>
      </c>
      <c r="Z197">
        <v>2</v>
      </c>
      <c r="AA197">
        <v>6</v>
      </c>
      <c r="AB197" s="4">
        <f>Table13[[#This Row],[Total_Price]]*(1-Table13[[#This Row],[Discount 2]])</f>
        <v>16497957.168</v>
      </c>
      <c r="AC197" s="4" t="str" cm="1">
        <f t="array" ref="AC197">_xlfn.IFS(Table13[[#This Row],[Revenue]]&gt;=30000000,"High Value",Table13[[#This Row],[Revenue]]&gt;=10000000,"Moderate Value",TRUE,"Low Value")</f>
        <v>Moderate Value</v>
      </c>
      <c r="AD197" t="str">
        <f>IF(Table13[[#This Row],[Discount 2]]&gt;=5%, "YES", "NO")</f>
        <v>YES</v>
      </c>
      <c r="AE197" t="str" cm="1">
        <f t="array" ref="AE197">_xlfn.IFS(Table13[[#This Row],[Revenue]]&gt;=30000000,"High Spender",Table13[[#This Row],[Revenue]]&gt;=10000000,"Moderate Spender",TRUE,"Low Spender")</f>
        <v>Moderate Spender</v>
      </c>
      <c r="AF197" s="4" t="str" cm="1">
        <f t="array" ref="AF197">_xlfn.IFS(Table13[[#This Row],[Land_Size_SQM]]&gt;=730,"LARGE",Table13[[#This Row],[Land_Size_SQM]]&gt;=465,"MEDIUM",TRUE,"SMALL")</f>
        <v>LARGE</v>
      </c>
    </row>
    <row r="198" spans="1:32" x14ac:dyDescent="0.3">
      <c r="A198" t="s">
        <v>166</v>
      </c>
      <c r="B198" t="s">
        <v>566</v>
      </c>
      <c r="C198" t="s">
        <v>627</v>
      </c>
      <c r="D198">
        <v>63</v>
      </c>
      <c r="E198" t="s">
        <v>628</v>
      </c>
      <c r="F198">
        <v>560</v>
      </c>
      <c r="G198" s="4">
        <v>32006</v>
      </c>
      <c r="H198" s="4">
        <v>17923360</v>
      </c>
      <c r="I198" t="s">
        <v>638</v>
      </c>
      <c r="J198" t="s">
        <v>672</v>
      </c>
      <c r="K198" t="s">
        <v>651</v>
      </c>
      <c r="L198" t="s">
        <v>681</v>
      </c>
      <c r="M198" t="s">
        <v>685</v>
      </c>
      <c r="N198" t="s">
        <v>688</v>
      </c>
      <c r="O198" t="s">
        <v>693</v>
      </c>
      <c r="P198" s="4">
        <v>17923360</v>
      </c>
      <c r="Q198">
        <v>0</v>
      </c>
      <c r="R198" s="7">
        <v>8.14</v>
      </c>
      <c r="S198" s="8">
        <f>Table13[[#This Row],[Discount_%]]/100</f>
        <v>8.14E-2</v>
      </c>
      <c r="T198" s="6" t="s">
        <v>806</v>
      </c>
      <c r="U198" t="s">
        <v>984</v>
      </c>
      <c r="V198">
        <v>2024</v>
      </c>
      <c r="W198" t="s">
        <v>994</v>
      </c>
      <c r="X198" t="s">
        <v>999</v>
      </c>
      <c r="Y198" t="s">
        <v>1000</v>
      </c>
      <c r="Z198">
        <v>3</v>
      </c>
      <c r="AA198">
        <v>45</v>
      </c>
      <c r="AB198" s="4">
        <f>Table13[[#This Row],[Total_Price]]*(1-Table13[[#This Row],[Discount 2]])</f>
        <v>16464398.495999999</v>
      </c>
      <c r="AC198" s="4" t="str" cm="1">
        <f t="array" ref="AC198">_xlfn.IFS(Table13[[#This Row],[Revenue]]&gt;=30000000,"High Value",Table13[[#This Row],[Revenue]]&gt;=10000000,"Moderate Value",TRUE,"Low Value")</f>
        <v>Moderate Value</v>
      </c>
      <c r="AD198" t="str">
        <f>IF(Table13[[#This Row],[Discount 2]]&gt;=5%, "YES", "NO")</f>
        <v>YES</v>
      </c>
      <c r="AE198" t="str" cm="1">
        <f t="array" ref="AE198">_xlfn.IFS(Table13[[#This Row],[Revenue]]&gt;=30000000,"High Spender",Table13[[#This Row],[Revenue]]&gt;=10000000,"Moderate Spender",TRUE,"Low Spender")</f>
        <v>Moderate Spender</v>
      </c>
      <c r="AF198" s="4" t="str" cm="1">
        <f t="array" ref="AF198">_xlfn.IFS(Table13[[#This Row],[Land_Size_SQM]]&gt;=730,"LARGE",Table13[[#This Row],[Land_Size_SQM]]&gt;=465,"MEDIUM",TRUE,"SMALL")</f>
        <v>MEDIUM</v>
      </c>
    </row>
    <row r="199" spans="1:32" x14ac:dyDescent="0.3">
      <c r="A199" t="s">
        <v>144</v>
      </c>
      <c r="B199" t="s">
        <v>591</v>
      </c>
      <c r="C199" t="s">
        <v>626</v>
      </c>
      <c r="D199">
        <v>63</v>
      </c>
      <c r="E199" t="s">
        <v>629</v>
      </c>
      <c r="F199">
        <v>660</v>
      </c>
      <c r="G199" s="4">
        <v>26318</v>
      </c>
      <c r="H199" s="4">
        <v>17369880</v>
      </c>
      <c r="I199" t="s">
        <v>636</v>
      </c>
      <c r="J199" t="s">
        <v>671</v>
      </c>
      <c r="K199" t="s">
        <v>676</v>
      </c>
      <c r="L199" t="s">
        <v>682</v>
      </c>
      <c r="M199" t="s">
        <v>685</v>
      </c>
      <c r="N199" t="s">
        <v>689</v>
      </c>
      <c r="O199" t="s">
        <v>693</v>
      </c>
      <c r="P199" s="4">
        <v>17369880</v>
      </c>
      <c r="Q199">
        <v>0</v>
      </c>
      <c r="R199" s="7">
        <v>5.36</v>
      </c>
      <c r="S199" s="8">
        <f>Table13[[#This Row],[Discount_%]]/100</f>
        <v>5.3600000000000002E-2</v>
      </c>
      <c r="T199" s="6" t="s">
        <v>794</v>
      </c>
      <c r="U199" t="s">
        <v>990</v>
      </c>
      <c r="V199">
        <v>2024</v>
      </c>
      <c r="W199" t="s">
        <v>996</v>
      </c>
      <c r="X199" t="s">
        <v>997</v>
      </c>
      <c r="Y199" t="s">
        <v>1001</v>
      </c>
      <c r="Z199">
        <v>5</v>
      </c>
      <c r="AA199">
        <v>14</v>
      </c>
      <c r="AB199" s="4">
        <f>Table13[[#This Row],[Total_Price]]*(1-Table13[[#This Row],[Discount 2]])</f>
        <v>16438854.432</v>
      </c>
      <c r="AC199" s="4" t="str" cm="1">
        <f t="array" ref="AC199">_xlfn.IFS(Table13[[#This Row],[Revenue]]&gt;=30000000,"High Value",Table13[[#This Row],[Revenue]]&gt;=10000000,"Moderate Value",TRUE,"Low Value")</f>
        <v>Moderate Value</v>
      </c>
      <c r="AD199" t="str">
        <f>IF(Table13[[#This Row],[Discount 2]]&gt;=5%, "YES", "NO")</f>
        <v>YES</v>
      </c>
      <c r="AE199" t="str" cm="1">
        <f t="array" ref="AE199">_xlfn.IFS(Table13[[#This Row],[Revenue]]&gt;=30000000,"High Spender",Table13[[#This Row],[Revenue]]&gt;=10000000,"Moderate Spender",TRUE,"Low Spender")</f>
        <v>Moderate Spender</v>
      </c>
      <c r="AF199" s="4" t="str" cm="1">
        <f t="array" ref="AF199">_xlfn.IFS(Table13[[#This Row],[Land_Size_SQM]]&gt;=730,"LARGE",Table13[[#This Row],[Land_Size_SQM]]&gt;=465,"MEDIUM",TRUE,"SMALL")</f>
        <v>MEDIUM</v>
      </c>
    </row>
    <row r="200" spans="1:32" x14ac:dyDescent="0.3">
      <c r="A200" t="s">
        <v>178</v>
      </c>
      <c r="B200" t="s">
        <v>583</v>
      </c>
      <c r="C200" t="s">
        <v>627</v>
      </c>
      <c r="D200">
        <v>45</v>
      </c>
      <c r="E200" t="s">
        <v>630</v>
      </c>
      <c r="F200">
        <v>454</v>
      </c>
      <c r="G200" s="4">
        <v>38267</v>
      </c>
      <c r="H200" s="4">
        <v>17373218</v>
      </c>
      <c r="I200" t="s">
        <v>651</v>
      </c>
      <c r="J200" t="s">
        <v>669</v>
      </c>
      <c r="K200" t="s">
        <v>676</v>
      </c>
      <c r="L200" t="s">
        <v>682</v>
      </c>
      <c r="M200" t="s">
        <v>685</v>
      </c>
      <c r="N200" t="s">
        <v>688</v>
      </c>
      <c r="O200" t="s">
        <v>694</v>
      </c>
      <c r="P200" s="4">
        <v>7893828</v>
      </c>
      <c r="Q200">
        <v>3</v>
      </c>
      <c r="R200" s="7">
        <v>6.58</v>
      </c>
      <c r="S200" s="8">
        <f>Table13[[#This Row],[Discount_%]]/100</f>
        <v>6.5799999999999997E-2</v>
      </c>
      <c r="T200" s="6" t="s">
        <v>815</v>
      </c>
      <c r="U200" t="s">
        <v>982</v>
      </c>
      <c r="V200">
        <v>2024</v>
      </c>
      <c r="W200" t="s">
        <v>995</v>
      </c>
      <c r="X200" t="s">
        <v>998</v>
      </c>
      <c r="Y200" t="s">
        <v>1000</v>
      </c>
      <c r="Z200">
        <v>2</v>
      </c>
      <c r="AA200">
        <v>32</v>
      </c>
      <c r="AB200" s="4">
        <f>Table13[[#This Row],[Total_Price]]*(1-Table13[[#This Row],[Discount 2]])</f>
        <v>16230060.2556</v>
      </c>
      <c r="AC200" s="4" t="str" cm="1">
        <f t="array" ref="AC200">_xlfn.IFS(Table13[[#This Row],[Revenue]]&gt;=30000000,"High Value",Table13[[#This Row],[Revenue]]&gt;=10000000,"Moderate Value",TRUE,"Low Value")</f>
        <v>Moderate Value</v>
      </c>
      <c r="AD200" t="str">
        <f>IF(Table13[[#This Row],[Discount 2]]&gt;=5%, "YES", "NO")</f>
        <v>YES</v>
      </c>
      <c r="AE200" t="str" cm="1">
        <f t="array" ref="AE200">_xlfn.IFS(Table13[[#This Row],[Revenue]]&gt;=30000000,"High Spender",Table13[[#This Row],[Revenue]]&gt;=10000000,"Moderate Spender",TRUE,"Low Spender")</f>
        <v>Moderate Spender</v>
      </c>
      <c r="AF200" s="4" t="str" cm="1">
        <f t="array" ref="AF200">_xlfn.IFS(Table13[[#This Row],[Land_Size_SQM]]&gt;=730,"LARGE",Table13[[#This Row],[Land_Size_SQM]]&gt;=465,"MEDIUM",TRUE,"SMALL")</f>
        <v>SMALL</v>
      </c>
    </row>
    <row r="201" spans="1:32" x14ac:dyDescent="0.3">
      <c r="A201" t="s">
        <v>112</v>
      </c>
      <c r="B201" t="s">
        <v>578</v>
      </c>
      <c r="C201" t="s">
        <v>626</v>
      </c>
      <c r="D201">
        <v>60</v>
      </c>
      <c r="E201" t="s">
        <v>628</v>
      </c>
      <c r="F201">
        <v>370</v>
      </c>
      <c r="G201" s="4">
        <v>47204</v>
      </c>
      <c r="H201" s="4">
        <v>17465480</v>
      </c>
      <c r="I201" t="s">
        <v>655</v>
      </c>
      <c r="J201" t="s">
        <v>672</v>
      </c>
      <c r="K201" t="s">
        <v>640</v>
      </c>
      <c r="L201" t="s">
        <v>680</v>
      </c>
      <c r="M201" t="s">
        <v>684</v>
      </c>
      <c r="N201" t="s">
        <v>690</v>
      </c>
      <c r="O201" t="s">
        <v>694</v>
      </c>
      <c r="P201" s="4">
        <v>5835896</v>
      </c>
      <c r="Q201">
        <v>12</v>
      </c>
      <c r="R201" s="7">
        <v>7.27</v>
      </c>
      <c r="S201" s="8">
        <f>Table13[[#This Row],[Discount_%]]/100</f>
        <v>7.2700000000000001E-2</v>
      </c>
      <c r="T201" s="6" t="s">
        <v>771</v>
      </c>
      <c r="U201" t="s">
        <v>982</v>
      </c>
      <c r="V201">
        <v>2024</v>
      </c>
      <c r="W201" t="s">
        <v>996</v>
      </c>
      <c r="X201" t="s">
        <v>999</v>
      </c>
      <c r="Y201" t="s">
        <v>1000</v>
      </c>
      <c r="Z201">
        <v>5</v>
      </c>
      <c r="AA201">
        <v>44</v>
      </c>
      <c r="AB201" s="4">
        <f>Table13[[#This Row],[Total_Price]]*(1-Table13[[#This Row],[Discount 2]])</f>
        <v>16195739.604</v>
      </c>
      <c r="AC201" s="4" t="str" cm="1">
        <f t="array" ref="AC201">_xlfn.IFS(Table13[[#This Row],[Revenue]]&gt;=30000000,"High Value",Table13[[#This Row],[Revenue]]&gt;=10000000,"Moderate Value",TRUE,"Low Value")</f>
        <v>Moderate Value</v>
      </c>
      <c r="AD201" t="str">
        <f>IF(Table13[[#This Row],[Discount 2]]&gt;=5%, "YES", "NO")</f>
        <v>YES</v>
      </c>
      <c r="AE201" t="str" cm="1">
        <f t="array" ref="AE201">_xlfn.IFS(Table13[[#This Row],[Revenue]]&gt;=30000000,"High Spender",Table13[[#This Row],[Revenue]]&gt;=10000000,"Moderate Spender",TRUE,"Low Spender")</f>
        <v>Moderate Spender</v>
      </c>
      <c r="AF201" s="4" t="str" cm="1">
        <f t="array" ref="AF201">_xlfn.IFS(Table13[[#This Row],[Land_Size_SQM]]&gt;=730,"LARGE",Table13[[#This Row],[Land_Size_SQM]]&gt;=465,"MEDIUM",TRUE,"SMALL")</f>
        <v>SMALL</v>
      </c>
    </row>
    <row r="202" spans="1:32" x14ac:dyDescent="0.3">
      <c r="A202" t="s">
        <v>238</v>
      </c>
      <c r="B202" t="s">
        <v>598</v>
      </c>
      <c r="C202" t="s">
        <v>627</v>
      </c>
      <c r="D202">
        <v>32</v>
      </c>
      <c r="E202" t="s">
        <v>630</v>
      </c>
      <c r="F202">
        <v>407</v>
      </c>
      <c r="G202" s="4">
        <v>42669</v>
      </c>
      <c r="H202" s="4">
        <v>17366283</v>
      </c>
      <c r="I202" t="s">
        <v>662</v>
      </c>
      <c r="J202" t="s">
        <v>673</v>
      </c>
      <c r="K202" t="s">
        <v>677</v>
      </c>
      <c r="L202" t="s">
        <v>681</v>
      </c>
      <c r="M202" t="s">
        <v>683</v>
      </c>
      <c r="N202" t="s">
        <v>689</v>
      </c>
      <c r="O202" t="s">
        <v>694</v>
      </c>
      <c r="P202" s="4">
        <v>8221996</v>
      </c>
      <c r="Q202">
        <v>6</v>
      </c>
      <c r="R202" s="7">
        <v>7.05</v>
      </c>
      <c r="S202" s="8">
        <f>Table13[[#This Row],[Discount_%]]/100</f>
        <v>7.0499999999999993E-2</v>
      </c>
      <c r="T202" s="6" t="s">
        <v>855</v>
      </c>
      <c r="U202" t="s">
        <v>983</v>
      </c>
      <c r="V202">
        <v>2024</v>
      </c>
      <c r="W202" t="s">
        <v>996</v>
      </c>
      <c r="X202" t="s">
        <v>999</v>
      </c>
      <c r="Y202" t="s">
        <v>1001</v>
      </c>
      <c r="Z202">
        <v>5</v>
      </c>
      <c r="AA202">
        <v>8</v>
      </c>
      <c r="AB202" s="4">
        <f>Table13[[#This Row],[Total_Price]]*(1-Table13[[#This Row],[Discount 2]])</f>
        <v>16141960.0485</v>
      </c>
      <c r="AC202" s="4" t="str" cm="1">
        <f t="array" ref="AC202">_xlfn.IFS(Table13[[#This Row],[Revenue]]&gt;=30000000,"High Value",Table13[[#This Row],[Revenue]]&gt;=10000000,"Moderate Value",TRUE,"Low Value")</f>
        <v>Moderate Value</v>
      </c>
      <c r="AD202" t="str">
        <f>IF(Table13[[#This Row],[Discount 2]]&gt;=5%, "YES", "NO")</f>
        <v>YES</v>
      </c>
      <c r="AE202" t="str" cm="1">
        <f t="array" ref="AE202">_xlfn.IFS(Table13[[#This Row],[Revenue]]&gt;=30000000,"High Spender",Table13[[#This Row],[Revenue]]&gt;=10000000,"Moderate Spender",TRUE,"Low Spender")</f>
        <v>Moderate Spender</v>
      </c>
      <c r="AF202" s="4" t="str" cm="1">
        <f t="array" ref="AF202">_xlfn.IFS(Table13[[#This Row],[Land_Size_SQM]]&gt;=730,"LARGE",Table13[[#This Row],[Land_Size_SQM]]&gt;=465,"MEDIUM",TRUE,"SMALL")</f>
        <v>SMALL</v>
      </c>
    </row>
    <row r="203" spans="1:32" x14ac:dyDescent="0.3">
      <c r="A203" t="s">
        <v>215</v>
      </c>
      <c r="B203" t="s">
        <v>530</v>
      </c>
      <c r="C203" t="s">
        <v>626</v>
      </c>
      <c r="D203">
        <v>62</v>
      </c>
      <c r="E203" t="s">
        <v>630</v>
      </c>
      <c r="F203">
        <v>628</v>
      </c>
      <c r="G203" s="4">
        <v>28515</v>
      </c>
      <c r="H203" s="4">
        <v>17907420</v>
      </c>
      <c r="I203" t="s">
        <v>645</v>
      </c>
      <c r="J203" t="s">
        <v>670</v>
      </c>
      <c r="K203" t="s">
        <v>677</v>
      </c>
      <c r="L203" t="s">
        <v>682</v>
      </c>
      <c r="M203" t="s">
        <v>687</v>
      </c>
      <c r="N203" t="s">
        <v>688</v>
      </c>
      <c r="O203" t="s">
        <v>694</v>
      </c>
      <c r="P203" s="4">
        <v>6713619</v>
      </c>
      <c r="Q203">
        <v>3</v>
      </c>
      <c r="R203" s="7">
        <v>9.9499999999999993</v>
      </c>
      <c r="S203" s="8">
        <f>Table13[[#This Row],[Discount_%]]/100</f>
        <v>9.9499999999999991E-2</v>
      </c>
      <c r="T203" s="6" t="s">
        <v>794</v>
      </c>
      <c r="U203" t="s">
        <v>990</v>
      </c>
      <c r="V203">
        <v>2024</v>
      </c>
      <c r="W203" t="s">
        <v>996</v>
      </c>
      <c r="X203" t="s">
        <v>998</v>
      </c>
      <c r="Y203" t="s">
        <v>1000</v>
      </c>
      <c r="Z203">
        <v>4</v>
      </c>
      <c r="AA203">
        <v>9</v>
      </c>
      <c r="AB203" s="4">
        <f>Table13[[#This Row],[Total_Price]]*(1-Table13[[#This Row],[Discount 2]])</f>
        <v>16125631.709999999</v>
      </c>
      <c r="AC203" s="4" t="str" cm="1">
        <f t="array" ref="AC203">_xlfn.IFS(Table13[[#This Row],[Revenue]]&gt;=30000000,"High Value",Table13[[#This Row],[Revenue]]&gt;=10000000,"Moderate Value",TRUE,"Low Value")</f>
        <v>Moderate Value</v>
      </c>
      <c r="AD203" t="str">
        <f>IF(Table13[[#This Row],[Discount 2]]&gt;=5%, "YES", "NO")</f>
        <v>YES</v>
      </c>
      <c r="AE203" t="str" cm="1">
        <f t="array" ref="AE203">_xlfn.IFS(Table13[[#This Row],[Revenue]]&gt;=30000000,"High Spender",Table13[[#This Row],[Revenue]]&gt;=10000000,"Moderate Spender",TRUE,"Low Spender")</f>
        <v>Moderate Spender</v>
      </c>
      <c r="AF203" s="4" t="str" cm="1">
        <f t="array" ref="AF203">_xlfn.IFS(Table13[[#This Row],[Land_Size_SQM]]&gt;=730,"LARGE",Table13[[#This Row],[Land_Size_SQM]]&gt;=465,"MEDIUM",TRUE,"SMALL")</f>
        <v>MEDIUM</v>
      </c>
    </row>
    <row r="204" spans="1:32" x14ac:dyDescent="0.3">
      <c r="A204" t="s">
        <v>218</v>
      </c>
      <c r="B204" t="s">
        <v>559</v>
      </c>
      <c r="C204" t="s">
        <v>626</v>
      </c>
      <c r="D204">
        <v>33</v>
      </c>
      <c r="E204" t="s">
        <v>628</v>
      </c>
      <c r="F204">
        <v>699</v>
      </c>
      <c r="G204" s="4">
        <v>23799</v>
      </c>
      <c r="H204" s="4">
        <v>16635501</v>
      </c>
      <c r="I204" t="s">
        <v>653</v>
      </c>
      <c r="J204" t="s">
        <v>668</v>
      </c>
      <c r="K204" t="s">
        <v>676</v>
      </c>
      <c r="L204" t="s">
        <v>682</v>
      </c>
      <c r="M204" t="s">
        <v>683</v>
      </c>
      <c r="N204" t="s">
        <v>691</v>
      </c>
      <c r="O204" t="s">
        <v>693</v>
      </c>
      <c r="P204" s="4">
        <v>16635501</v>
      </c>
      <c r="Q204">
        <v>0</v>
      </c>
      <c r="R204" s="7">
        <v>3.13</v>
      </c>
      <c r="S204" s="8">
        <f>Table13[[#This Row],[Discount_%]]/100</f>
        <v>3.1300000000000001E-2</v>
      </c>
      <c r="T204" s="6" t="s">
        <v>841</v>
      </c>
      <c r="U204" t="s">
        <v>988</v>
      </c>
      <c r="V204">
        <v>2024</v>
      </c>
      <c r="W204" t="s">
        <v>993</v>
      </c>
      <c r="X204" t="s">
        <v>999</v>
      </c>
      <c r="Y204" t="s">
        <v>1001</v>
      </c>
      <c r="Z204">
        <v>4</v>
      </c>
      <c r="AA204">
        <v>41</v>
      </c>
      <c r="AB204" s="4">
        <f>Table13[[#This Row],[Total_Price]]*(1-Table13[[#This Row],[Discount 2]])</f>
        <v>16114809.818700001</v>
      </c>
      <c r="AC204" s="4" t="str" cm="1">
        <f t="array" ref="AC204">_xlfn.IFS(Table13[[#This Row],[Revenue]]&gt;=30000000,"High Value",Table13[[#This Row],[Revenue]]&gt;=10000000,"Moderate Value",TRUE,"Low Value")</f>
        <v>Moderate Value</v>
      </c>
      <c r="AD204" t="str">
        <f>IF(Table13[[#This Row],[Discount 2]]&gt;=5%, "YES", "NO")</f>
        <v>NO</v>
      </c>
      <c r="AE204" t="str" cm="1">
        <f t="array" ref="AE204">_xlfn.IFS(Table13[[#This Row],[Revenue]]&gt;=30000000,"High Spender",Table13[[#This Row],[Revenue]]&gt;=10000000,"Moderate Spender",TRUE,"Low Spender")</f>
        <v>Moderate Spender</v>
      </c>
      <c r="AF204" s="4" t="str" cm="1">
        <f t="array" ref="AF204">_xlfn.IFS(Table13[[#This Row],[Land_Size_SQM]]&gt;=730,"LARGE",Table13[[#This Row],[Land_Size_SQM]]&gt;=465,"MEDIUM",TRUE,"SMALL")</f>
        <v>MEDIUM</v>
      </c>
    </row>
    <row r="205" spans="1:32" x14ac:dyDescent="0.3">
      <c r="A205" t="s">
        <v>271</v>
      </c>
      <c r="B205" t="s">
        <v>616</v>
      </c>
      <c r="C205" t="s">
        <v>626</v>
      </c>
      <c r="D205">
        <v>35</v>
      </c>
      <c r="E205" t="s">
        <v>629</v>
      </c>
      <c r="F205">
        <v>573</v>
      </c>
      <c r="G205" s="4">
        <v>28253</v>
      </c>
      <c r="H205" s="4">
        <v>16188969</v>
      </c>
      <c r="I205" t="s">
        <v>634</v>
      </c>
      <c r="J205" t="s">
        <v>670</v>
      </c>
      <c r="K205" t="s">
        <v>651</v>
      </c>
      <c r="L205" t="s">
        <v>681</v>
      </c>
      <c r="M205" t="s">
        <v>684</v>
      </c>
      <c r="N205" t="s">
        <v>688</v>
      </c>
      <c r="O205" t="s">
        <v>694</v>
      </c>
      <c r="P205" s="4">
        <v>4111460</v>
      </c>
      <c r="Q205">
        <v>24</v>
      </c>
      <c r="R205" s="7">
        <v>1.31</v>
      </c>
      <c r="S205" s="8">
        <f>Table13[[#This Row],[Discount_%]]/100</f>
        <v>1.3100000000000001E-2</v>
      </c>
      <c r="T205" s="6" t="s">
        <v>875</v>
      </c>
      <c r="U205" t="s">
        <v>985</v>
      </c>
      <c r="V205">
        <v>2024</v>
      </c>
      <c r="W205" t="s">
        <v>996</v>
      </c>
      <c r="X205" t="s">
        <v>997</v>
      </c>
      <c r="Y205" t="s">
        <v>1000</v>
      </c>
      <c r="Z205">
        <v>4</v>
      </c>
      <c r="AA205">
        <v>1</v>
      </c>
      <c r="AB205" s="4">
        <f>Table13[[#This Row],[Total_Price]]*(1-Table13[[#This Row],[Discount 2]])</f>
        <v>15976893.506100001</v>
      </c>
      <c r="AC205" s="4" t="str" cm="1">
        <f t="array" ref="AC205">_xlfn.IFS(Table13[[#This Row],[Revenue]]&gt;=30000000,"High Value",Table13[[#This Row],[Revenue]]&gt;=10000000,"Moderate Value",TRUE,"Low Value")</f>
        <v>Moderate Value</v>
      </c>
      <c r="AD205" t="str">
        <f>IF(Table13[[#This Row],[Discount 2]]&gt;=5%, "YES", "NO")</f>
        <v>NO</v>
      </c>
      <c r="AE205" t="str" cm="1">
        <f t="array" ref="AE205">_xlfn.IFS(Table13[[#This Row],[Revenue]]&gt;=30000000,"High Spender",Table13[[#This Row],[Revenue]]&gt;=10000000,"Moderate Spender",TRUE,"Low Spender")</f>
        <v>Moderate Spender</v>
      </c>
      <c r="AF205" s="4" t="str" cm="1">
        <f t="array" ref="AF205">_xlfn.IFS(Table13[[#This Row],[Land_Size_SQM]]&gt;=730,"LARGE",Table13[[#This Row],[Land_Size_SQM]]&gt;=465,"MEDIUM",TRUE,"SMALL")</f>
        <v>MEDIUM</v>
      </c>
    </row>
    <row r="206" spans="1:32" x14ac:dyDescent="0.3">
      <c r="A206" t="s">
        <v>148</v>
      </c>
      <c r="B206" t="s">
        <v>588</v>
      </c>
      <c r="C206" t="s">
        <v>627</v>
      </c>
      <c r="D206">
        <v>24</v>
      </c>
      <c r="E206" t="s">
        <v>629</v>
      </c>
      <c r="F206">
        <v>343</v>
      </c>
      <c r="G206" s="4">
        <v>49206</v>
      </c>
      <c r="H206" s="4">
        <v>16877658</v>
      </c>
      <c r="I206" t="s">
        <v>651</v>
      </c>
      <c r="J206" t="s">
        <v>669</v>
      </c>
      <c r="K206" t="s">
        <v>638</v>
      </c>
      <c r="L206" t="s">
        <v>680</v>
      </c>
      <c r="M206" t="s">
        <v>685</v>
      </c>
      <c r="N206" t="s">
        <v>691</v>
      </c>
      <c r="O206" t="s">
        <v>694</v>
      </c>
      <c r="P206" s="4">
        <v>8018066</v>
      </c>
      <c r="Q206">
        <v>6</v>
      </c>
      <c r="R206" s="7">
        <v>5.42</v>
      </c>
      <c r="S206" s="8">
        <f>Table13[[#This Row],[Discount_%]]/100</f>
        <v>5.4199999999999998E-2</v>
      </c>
      <c r="T206" s="6" t="s">
        <v>796</v>
      </c>
      <c r="U206" t="s">
        <v>983</v>
      </c>
      <c r="V206">
        <v>2024</v>
      </c>
      <c r="W206" t="s">
        <v>996</v>
      </c>
      <c r="X206" t="s">
        <v>997</v>
      </c>
      <c r="Y206" t="s">
        <v>1000</v>
      </c>
      <c r="Z206">
        <v>1</v>
      </c>
      <c r="AA206">
        <v>46</v>
      </c>
      <c r="AB206" s="4">
        <f>Table13[[#This Row],[Total_Price]]*(1-Table13[[#This Row],[Discount 2]])</f>
        <v>15962888.9364</v>
      </c>
      <c r="AC206" s="4" t="str" cm="1">
        <f t="array" ref="AC206">_xlfn.IFS(Table13[[#This Row],[Revenue]]&gt;=30000000,"High Value",Table13[[#This Row],[Revenue]]&gt;=10000000,"Moderate Value",TRUE,"Low Value")</f>
        <v>Moderate Value</v>
      </c>
      <c r="AD206" t="str">
        <f>IF(Table13[[#This Row],[Discount 2]]&gt;=5%, "YES", "NO")</f>
        <v>YES</v>
      </c>
      <c r="AE206" t="str" cm="1">
        <f t="array" ref="AE206">_xlfn.IFS(Table13[[#This Row],[Revenue]]&gt;=30000000,"High Spender",Table13[[#This Row],[Revenue]]&gt;=10000000,"Moderate Spender",TRUE,"Low Spender")</f>
        <v>Moderate Spender</v>
      </c>
      <c r="AF206" s="4" t="str" cm="1">
        <f t="array" ref="AF206">_xlfn.IFS(Table13[[#This Row],[Land_Size_SQM]]&gt;=730,"LARGE",Table13[[#This Row],[Land_Size_SQM]]&gt;=465,"MEDIUM",TRUE,"SMALL")</f>
        <v>SMALL</v>
      </c>
    </row>
    <row r="207" spans="1:32" x14ac:dyDescent="0.3">
      <c r="A207" t="s">
        <v>245</v>
      </c>
      <c r="B207" t="s">
        <v>613</v>
      </c>
      <c r="C207" t="s">
        <v>626</v>
      </c>
      <c r="D207">
        <v>54</v>
      </c>
      <c r="E207" t="s">
        <v>630</v>
      </c>
      <c r="F207">
        <v>590</v>
      </c>
      <c r="G207" s="4">
        <v>27894</v>
      </c>
      <c r="H207" s="4">
        <v>16457460</v>
      </c>
      <c r="I207" t="s">
        <v>646</v>
      </c>
      <c r="J207" t="s">
        <v>673</v>
      </c>
      <c r="K207" t="s">
        <v>678</v>
      </c>
      <c r="L207" t="s">
        <v>682</v>
      </c>
      <c r="M207" t="s">
        <v>683</v>
      </c>
      <c r="N207" t="s">
        <v>690</v>
      </c>
      <c r="O207" t="s">
        <v>693</v>
      </c>
      <c r="P207" s="4">
        <v>16457460</v>
      </c>
      <c r="Q207">
        <v>0</v>
      </c>
      <c r="R207" s="7">
        <v>4.74</v>
      </c>
      <c r="S207" s="8">
        <f>Table13[[#This Row],[Discount_%]]/100</f>
        <v>4.7400000000000005E-2</v>
      </c>
      <c r="T207" s="6" t="s">
        <v>861</v>
      </c>
      <c r="U207" t="s">
        <v>986</v>
      </c>
      <c r="V207">
        <v>2024</v>
      </c>
      <c r="W207" t="s">
        <v>994</v>
      </c>
      <c r="X207" t="s">
        <v>999</v>
      </c>
      <c r="Y207" t="s">
        <v>1001</v>
      </c>
      <c r="Z207">
        <v>5</v>
      </c>
      <c r="AA207">
        <v>10</v>
      </c>
      <c r="AB207" s="4">
        <f>Table13[[#This Row],[Total_Price]]*(1-Table13[[#This Row],[Discount 2]])</f>
        <v>15677376.396</v>
      </c>
      <c r="AC207" s="4" t="str" cm="1">
        <f t="array" ref="AC207">_xlfn.IFS(Table13[[#This Row],[Revenue]]&gt;=30000000,"High Value",Table13[[#This Row],[Revenue]]&gt;=10000000,"Moderate Value",TRUE,"Low Value")</f>
        <v>Moderate Value</v>
      </c>
      <c r="AD207" t="str">
        <f>IF(Table13[[#This Row],[Discount 2]]&gt;=5%, "YES", "NO")</f>
        <v>NO</v>
      </c>
      <c r="AE207" t="str" cm="1">
        <f t="array" ref="AE207">_xlfn.IFS(Table13[[#This Row],[Revenue]]&gt;=30000000,"High Spender",Table13[[#This Row],[Revenue]]&gt;=10000000,"Moderate Spender",TRUE,"Low Spender")</f>
        <v>Moderate Spender</v>
      </c>
      <c r="AF207" s="4" t="str" cm="1">
        <f t="array" ref="AF207">_xlfn.IFS(Table13[[#This Row],[Land_Size_SQM]]&gt;=730,"LARGE",Table13[[#This Row],[Land_Size_SQM]]&gt;=465,"MEDIUM",TRUE,"SMALL")</f>
        <v>MEDIUM</v>
      </c>
    </row>
    <row r="208" spans="1:32" x14ac:dyDescent="0.3">
      <c r="A208" t="s">
        <v>306</v>
      </c>
      <c r="B208" t="s">
        <v>582</v>
      </c>
      <c r="C208" t="s">
        <v>626</v>
      </c>
      <c r="D208">
        <v>58</v>
      </c>
      <c r="E208" t="s">
        <v>629</v>
      </c>
      <c r="F208">
        <v>510</v>
      </c>
      <c r="G208" s="4">
        <v>31032</v>
      </c>
      <c r="H208" s="4">
        <v>15826320</v>
      </c>
      <c r="I208" t="s">
        <v>639</v>
      </c>
      <c r="J208" t="s">
        <v>671</v>
      </c>
      <c r="K208" t="s">
        <v>640</v>
      </c>
      <c r="L208" t="s">
        <v>682</v>
      </c>
      <c r="M208" t="s">
        <v>683</v>
      </c>
      <c r="N208" t="s">
        <v>692</v>
      </c>
      <c r="O208" t="s">
        <v>694</v>
      </c>
      <c r="P208" s="4">
        <v>6864387</v>
      </c>
      <c r="Q208">
        <v>6</v>
      </c>
      <c r="R208" s="7">
        <v>1.07</v>
      </c>
      <c r="S208" s="8">
        <f>Table13[[#This Row],[Discount_%]]/100</f>
        <v>1.0700000000000001E-2</v>
      </c>
      <c r="T208" s="6" t="s">
        <v>902</v>
      </c>
      <c r="U208" t="s">
        <v>990</v>
      </c>
      <c r="V208">
        <v>2024</v>
      </c>
      <c r="W208" t="s">
        <v>996</v>
      </c>
      <c r="X208" t="s">
        <v>999</v>
      </c>
      <c r="Y208" t="s">
        <v>1001</v>
      </c>
      <c r="Z208">
        <v>1</v>
      </c>
      <c r="AA208">
        <v>23</v>
      </c>
      <c r="AB208" s="4">
        <f>Table13[[#This Row],[Total_Price]]*(1-Table13[[#This Row],[Discount 2]])</f>
        <v>15656978.376</v>
      </c>
      <c r="AC208" s="4" t="str" cm="1">
        <f t="array" ref="AC208">_xlfn.IFS(Table13[[#This Row],[Revenue]]&gt;=30000000,"High Value",Table13[[#This Row],[Revenue]]&gt;=10000000,"Moderate Value",TRUE,"Low Value")</f>
        <v>Moderate Value</v>
      </c>
      <c r="AD208" t="str">
        <f>IF(Table13[[#This Row],[Discount 2]]&gt;=5%, "YES", "NO")</f>
        <v>NO</v>
      </c>
      <c r="AE208" t="str" cm="1">
        <f t="array" ref="AE208">_xlfn.IFS(Table13[[#This Row],[Revenue]]&gt;=30000000,"High Spender",Table13[[#This Row],[Revenue]]&gt;=10000000,"Moderate Spender",TRUE,"Low Spender")</f>
        <v>Moderate Spender</v>
      </c>
      <c r="AF208" s="4" t="str" cm="1">
        <f t="array" ref="AF208">_xlfn.IFS(Table13[[#This Row],[Land_Size_SQM]]&gt;=730,"LARGE",Table13[[#This Row],[Land_Size_SQM]]&gt;=465,"MEDIUM",TRUE,"SMALL")</f>
        <v>MEDIUM</v>
      </c>
    </row>
    <row r="209" spans="1:32" x14ac:dyDescent="0.3">
      <c r="A209" t="s">
        <v>260</v>
      </c>
      <c r="B209" t="s">
        <v>608</v>
      </c>
      <c r="C209" t="s">
        <v>626</v>
      </c>
      <c r="D209">
        <v>31</v>
      </c>
      <c r="E209" t="s">
        <v>630</v>
      </c>
      <c r="F209">
        <v>467</v>
      </c>
      <c r="G209" s="4">
        <v>37134</v>
      </c>
      <c r="H209" s="4">
        <v>17341578</v>
      </c>
      <c r="I209" t="s">
        <v>644</v>
      </c>
      <c r="J209" t="s">
        <v>668</v>
      </c>
      <c r="K209" t="s">
        <v>677</v>
      </c>
      <c r="L209" t="s">
        <v>682</v>
      </c>
      <c r="M209" t="s">
        <v>686</v>
      </c>
      <c r="N209" t="s">
        <v>691</v>
      </c>
      <c r="O209" t="s">
        <v>694</v>
      </c>
      <c r="P209" s="4">
        <v>6651609</v>
      </c>
      <c r="Q209">
        <v>12</v>
      </c>
      <c r="R209" s="7">
        <v>9.92</v>
      </c>
      <c r="S209" s="8">
        <f>Table13[[#This Row],[Discount_%]]/100</f>
        <v>9.9199999999999997E-2</v>
      </c>
      <c r="T209" s="6" t="s">
        <v>774</v>
      </c>
      <c r="U209" t="s">
        <v>991</v>
      </c>
      <c r="V209">
        <v>2024</v>
      </c>
      <c r="W209" t="s">
        <v>994</v>
      </c>
      <c r="X209" t="s">
        <v>998</v>
      </c>
      <c r="Y209" t="s">
        <v>1001</v>
      </c>
      <c r="Z209">
        <v>3</v>
      </c>
      <c r="AA209">
        <v>50</v>
      </c>
      <c r="AB209" s="4">
        <f>Table13[[#This Row],[Total_Price]]*(1-Table13[[#This Row],[Discount 2]])</f>
        <v>15621293.462400001</v>
      </c>
      <c r="AC209" s="4" t="str" cm="1">
        <f t="array" ref="AC209">_xlfn.IFS(Table13[[#This Row],[Revenue]]&gt;=30000000,"High Value",Table13[[#This Row],[Revenue]]&gt;=10000000,"Moderate Value",TRUE,"Low Value")</f>
        <v>Moderate Value</v>
      </c>
      <c r="AD209" t="str">
        <f>IF(Table13[[#This Row],[Discount 2]]&gt;=5%, "YES", "NO")</f>
        <v>YES</v>
      </c>
      <c r="AE209" t="str" cm="1">
        <f t="array" ref="AE209">_xlfn.IFS(Table13[[#This Row],[Revenue]]&gt;=30000000,"High Spender",Table13[[#This Row],[Revenue]]&gt;=10000000,"Moderate Spender",TRUE,"Low Spender")</f>
        <v>Moderate Spender</v>
      </c>
      <c r="AF209" s="4" t="str" cm="1">
        <f t="array" ref="AF209">_xlfn.IFS(Table13[[#This Row],[Land_Size_SQM]]&gt;=730,"LARGE",Table13[[#This Row],[Land_Size_SQM]]&gt;=465,"MEDIUM",TRUE,"SMALL")</f>
        <v>MEDIUM</v>
      </c>
    </row>
    <row r="210" spans="1:32" x14ac:dyDescent="0.3">
      <c r="A210" t="s">
        <v>382</v>
      </c>
      <c r="B210" t="s">
        <v>588</v>
      </c>
      <c r="C210" t="s">
        <v>627</v>
      </c>
      <c r="D210">
        <v>65</v>
      </c>
      <c r="E210" t="s">
        <v>628</v>
      </c>
      <c r="F210">
        <v>447</v>
      </c>
      <c r="G210" s="4">
        <v>35089</v>
      </c>
      <c r="H210" s="4">
        <v>15684783</v>
      </c>
      <c r="I210" t="s">
        <v>652</v>
      </c>
      <c r="J210" t="s">
        <v>672</v>
      </c>
      <c r="K210" t="s">
        <v>674</v>
      </c>
      <c r="L210" t="s">
        <v>681</v>
      </c>
      <c r="M210" t="s">
        <v>683</v>
      </c>
      <c r="N210" t="s">
        <v>692</v>
      </c>
      <c r="O210" t="s">
        <v>693</v>
      </c>
      <c r="P210" s="4">
        <v>15684783</v>
      </c>
      <c r="Q210">
        <v>0</v>
      </c>
      <c r="R210" s="7">
        <v>0.99</v>
      </c>
      <c r="S210" s="8">
        <f>Table13[[#This Row],[Discount_%]]/100</f>
        <v>9.8999999999999991E-3</v>
      </c>
      <c r="T210" s="6" t="s">
        <v>909</v>
      </c>
      <c r="U210" t="s">
        <v>985</v>
      </c>
      <c r="V210">
        <v>2024</v>
      </c>
      <c r="W210" t="s">
        <v>993</v>
      </c>
      <c r="X210" t="s">
        <v>997</v>
      </c>
      <c r="Y210" t="s">
        <v>1000</v>
      </c>
      <c r="Z210">
        <v>2</v>
      </c>
      <c r="AA210">
        <v>33</v>
      </c>
      <c r="AB210" s="4">
        <f>Table13[[#This Row],[Total_Price]]*(1-Table13[[#This Row],[Discount 2]])</f>
        <v>15529503.6483</v>
      </c>
      <c r="AC210" s="4" t="str" cm="1">
        <f t="array" ref="AC210">_xlfn.IFS(Table13[[#This Row],[Revenue]]&gt;=30000000,"High Value",Table13[[#This Row],[Revenue]]&gt;=10000000,"Moderate Value",TRUE,"Low Value")</f>
        <v>Moderate Value</v>
      </c>
      <c r="AD210" t="str">
        <f>IF(Table13[[#This Row],[Discount 2]]&gt;=5%, "YES", "NO")</f>
        <v>NO</v>
      </c>
      <c r="AE210" t="str" cm="1">
        <f t="array" ref="AE210">_xlfn.IFS(Table13[[#This Row],[Revenue]]&gt;=30000000,"High Spender",Table13[[#This Row],[Revenue]]&gt;=10000000,"Moderate Spender",TRUE,"Low Spender")</f>
        <v>Moderate Spender</v>
      </c>
      <c r="AF210" s="4" t="str" cm="1">
        <f t="array" ref="AF210">_xlfn.IFS(Table13[[#This Row],[Land_Size_SQM]]&gt;=730,"LARGE",Table13[[#This Row],[Land_Size_SQM]]&gt;=465,"MEDIUM",TRUE,"SMALL")</f>
        <v>SMALL</v>
      </c>
    </row>
    <row r="211" spans="1:32" x14ac:dyDescent="0.3">
      <c r="A211" t="s">
        <v>274</v>
      </c>
      <c r="B211" t="s">
        <v>556</v>
      </c>
      <c r="C211" t="s">
        <v>626</v>
      </c>
      <c r="D211">
        <v>34</v>
      </c>
      <c r="E211" t="s">
        <v>630</v>
      </c>
      <c r="F211">
        <v>371</v>
      </c>
      <c r="G211" s="4">
        <v>43981</v>
      </c>
      <c r="H211" s="4">
        <v>16316951</v>
      </c>
      <c r="I211" t="s">
        <v>634</v>
      </c>
      <c r="J211" t="s">
        <v>670</v>
      </c>
      <c r="K211" t="s">
        <v>638</v>
      </c>
      <c r="L211" t="s">
        <v>681</v>
      </c>
      <c r="M211" t="s">
        <v>687</v>
      </c>
      <c r="N211" t="s">
        <v>690</v>
      </c>
      <c r="O211" t="s">
        <v>694</v>
      </c>
      <c r="P211" s="4">
        <v>6353527</v>
      </c>
      <c r="Q211">
        <v>24</v>
      </c>
      <c r="R211" s="7">
        <v>5.72</v>
      </c>
      <c r="S211" s="8">
        <f>Table13[[#This Row],[Discount_%]]/100</f>
        <v>5.7200000000000001E-2</v>
      </c>
      <c r="T211" s="6" t="s">
        <v>877</v>
      </c>
      <c r="U211" t="s">
        <v>981</v>
      </c>
      <c r="V211">
        <v>2024</v>
      </c>
      <c r="W211" t="s">
        <v>995</v>
      </c>
      <c r="X211" t="s">
        <v>998</v>
      </c>
      <c r="Y211" t="s">
        <v>1002</v>
      </c>
      <c r="Z211">
        <v>3</v>
      </c>
      <c r="AA211">
        <v>48</v>
      </c>
      <c r="AB211" s="4">
        <f>Table13[[#This Row],[Total_Price]]*(1-Table13[[#This Row],[Discount 2]])</f>
        <v>15383621.402799999</v>
      </c>
      <c r="AC211" s="4" t="str" cm="1">
        <f t="array" ref="AC211">_xlfn.IFS(Table13[[#This Row],[Revenue]]&gt;=30000000,"High Value",Table13[[#This Row],[Revenue]]&gt;=10000000,"Moderate Value",TRUE,"Low Value")</f>
        <v>Moderate Value</v>
      </c>
      <c r="AD211" t="str">
        <f>IF(Table13[[#This Row],[Discount 2]]&gt;=5%, "YES", "NO")</f>
        <v>YES</v>
      </c>
      <c r="AE211" t="str" cm="1">
        <f t="array" ref="AE211">_xlfn.IFS(Table13[[#This Row],[Revenue]]&gt;=30000000,"High Spender",Table13[[#This Row],[Revenue]]&gt;=10000000,"Moderate Spender",TRUE,"Low Spender")</f>
        <v>Moderate Spender</v>
      </c>
      <c r="AF211" s="4" t="str" cm="1">
        <f t="array" ref="AF211">_xlfn.IFS(Table13[[#This Row],[Land_Size_SQM]]&gt;=730,"LARGE",Table13[[#This Row],[Land_Size_SQM]]&gt;=465,"MEDIUM",TRUE,"SMALL")</f>
        <v>SMALL</v>
      </c>
    </row>
    <row r="212" spans="1:32" x14ac:dyDescent="0.3">
      <c r="A212" t="s">
        <v>465</v>
      </c>
      <c r="B212" t="s">
        <v>623</v>
      </c>
      <c r="C212" t="s">
        <v>627</v>
      </c>
      <c r="D212">
        <v>28</v>
      </c>
      <c r="E212" t="s">
        <v>628</v>
      </c>
      <c r="F212">
        <v>635</v>
      </c>
      <c r="G212" s="4">
        <v>26712</v>
      </c>
      <c r="H212" s="4">
        <v>16962120</v>
      </c>
      <c r="I212" t="s">
        <v>650</v>
      </c>
      <c r="J212" t="s">
        <v>670</v>
      </c>
      <c r="K212" t="s">
        <v>677</v>
      </c>
      <c r="L212" t="s">
        <v>681</v>
      </c>
      <c r="M212" t="s">
        <v>684</v>
      </c>
      <c r="N212" t="s">
        <v>692</v>
      </c>
      <c r="O212" t="s">
        <v>693</v>
      </c>
      <c r="P212" s="4">
        <v>16962120</v>
      </c>
      <c r="Q212">
        <v>0</v>
      </c>
      <c r="R212" s="7">
        <v>9.35</v>
      </c>
      <c r="S212" s="8">
        <f>Table13[[#This Row],[Discount_%]]/100</f>
        <v>9.35E-2</v>
      </c>
      <c r="T212" s="6" t="s">
        <v>740</v>
      </c>
      <c r="U212" t="s">
        <v>991</v>
      </c>
      <c r="V212">
        <v>2024</v>
      </c>
      <c r="W212" t="s">
        <v>994</v>
      </c>
      <c r="X212" t="s">
        <v>999</v>
      </c>
      <c r="Y212" t="s">
        <v>1001</v>
      </c>
      <c r="Z212">
        <v>1</v>
      </c>
      <c r="AA212">
        <v>30</v>
      </c>
      <c r="AB212" s="4">
        <f>Table13[[#This Row],[Total_Price]]*(1-Table13[[#This Row],[Discount 2]])</f>
        <v>15376161.779999999</v>
      </c>
      <c r="AC212" s="4" t="str" cm="1">
        <f t="array" ref="AC212">_xlfn.IFS(Table13[[#This Row],[Revenue]]&gt;=30000000,"High Value",Table13[[#This Row],[Revenue]]&gt;=10000000,"Moderate Value",TRUE,"Low Value")</f>
        <v>Moderate Value</v>
      </c>
      <c r="AD212" t="str">
        <f>IF(Table13[[#This Row],[Discount 2]]&gt;=5%, "YES", "NO")</f>
        <v>YES</v>
      </c>
      <c r="AE212" t="str" cm="1">
        <f t="array" ref="AE212">_xlfn.IFS(Table13[[#This Row],[Revenue]]&gt;=30000000,"High Spender",Table13[[#This Row],[Revenue]]&gt;=10000000,"Moderate Spender",TRUE,"Low Spender")</f>
        <v>Moderate Spender</v>
      </c>
      <c r="AF212" s="4" t="str" cm="1">
        <f t="array" ref="AF212">_xlfn.IFS(Table13[[#This Row],[Land_Size_SQM]]&gt;=730,"LARGE",Table13[[#This Row],[Land_Size_SQM]]&gt;=465,"MEDIUM",TRUE,"SMALL")</f>
        <v>MEDIUM</v>
      </c>
    </row>
    <row r="213" spans="1:32" x14ac:dyDescent="0.3">
      <c r="A213" t="s">
        <v>387</v>
      </c>
      <c r="B213" t="s">
        <v>620</v>
      </c>
      <c r="C213" t="s">
        <v>626</v>
      </c>
      <c r="D213">
        <v>63</v>
      </c>
      <c r="E213" t="s">
        <v>628</v>
      </c>
      <c r="F213">
        <v>456</v>
      </c>
      <c r="G213" s="4">
        <v>34069</v>
      </c>
      <c r="H213" s="4">
        <v>15535464</v>
      </c>
      <c r="I213" t="s">
        <v>663</v>
      </c>
      <c r="J213" t="s">
        <v>670</v>
      </c>
      <c r="K213" t="s">
        <v>676</v>
      </c>
      <c r="L213" t="s">
        <v>680</v>
      </c>
      <c r="M213" t="s">
        <v>684</v>
      </c>
      <c r="N213" t="s">
        <v>692</v>
      </c>
      <c r="O213" t="s">
        <v>694</v>
      </c>
      <c r="P213" s="4">
        <v>6035703</v>
      </c>
      <c r="Q213">
        <v>6</v>
      </c>
      <c r="R213" s="7">
        <v>1.35</v>
      </c>
      <c r="S213" s="8">
        <f>Table13[[#This Row],[Discount_%]]/100</f>
        <v>1.3500000000000002E-2</v>
      </c>
      <c r="T213" s="6" t="s">
        <v>943</v>
      </c>
      <c r="U213" t="s">
        <v>981</v>
      </c>
      <c r="V213">
        <v>2024</v>
      </c>
      <c r="W213" t="s">
        <v>994</v>
      </c>
      <c r="X213" t="s">
        <v>999</v>
      </c>
      <c r="Y213" t="s">
        <v>1002</v>
      </c>
      <c r="Z213">
        <v>5</v>
      </c>
      <c r="AA213">
        <v>40</v>
      </c>
      <c r="AB213" s="4">
        <f>Table13[[#This Row],[Total_Price]]*(1-Table13[[#This Row],[Discount 2]])</f>
        <v>15325735.236000001</v>
      </c>
      <c r="AC213" s="4" t="str" cm="1">
        <f t="array" ref="AC213">_xlfn.IFS(Table13[[#This Row],[Revenue]]&gt;=30000000,"High Value",Table13[[#This Row],[Revenue]]&gt;=10000000,"Moderate Value",TRUE,"Low Value")</f>
        <v>Moderate Value</v>
      </c>
      <c r="AD213" t="str">
        <f>IF(Table13[[#This Row],[Discount 2]]&gt;=5%, "YES", "NO")</f>
        <v>NO</v>
      </c>
      <c r="AE213" t="str" cm="1">
        <f t="array" ref="AE213">_xlfn.IFS(Table13[[#This Row],[Revenue]]&gt;=30000000,"High Spender",Table13[[#This Row],[Revenue]]&gt;=10000000,"Moderate Spender",TRUE,"Low Spender")</f>
        <v>Moderate Spender</v>
      </c>
      <c r="AF213" s="4" t="str" cm="1">
        <f t="array" ref="AF213">_xlfn.IFS(Table13[[#This Row],[Land_Size_SQM]]&gt;=730,"LARGE",Table13[[#This Row],[Land_Size_SQM]]&gt;=465,"MEDIUM",TRUE,"SMALL")</f>
        <v>SMALL</v>
      </c>
    </row>
    <row r="214" spans="1:32" x14ac:dyDescent="0.3">
      <c r="A214" t="s">
        <v>522</v>
      </c>
      <c r="B214" t="s">
        <v>616</v>
      </c>
      <c r="C214" t="s">
        <v>627</v>
      </c>
      <c r="D214">
        <v>46</v>
      </c>
      <c r="E214" t="s">
        <v>628</v>
      </c>
      <c r="F214">
        <v>611</v>
      </c>
      <c r="G214" s="4">
        <v>25234</v>
      </c>
      <c r="H214" s="4">
        <v>15417974</v>
      </c>
      <c r="I214" t="s">
        <v>646</v>
      </c>
      <c r="J214" t="s">
        <v>673</v>
      </c>
      <c r="K214" t="s">
        <v>638</v>
      </c>
      <c r="L214" t="s">
        <v>681</v>
      </c>
      <c r="M214" t="s">
        <v>685</v>
      </c>
      <c r="N214" t="s">
        <v>688</v>
      </c>
      <c r="O214" t="s">
        <v>693</v>
      </c>
      <c r="P214" s="4">
        <v>15417974</v>
      </c>
      <c r="Q214">
        <v>0</v>
      </c>
      <c r="R214" s="7">
        <v>1.01</v>
      </c>
      <c r="S214" s="8">
        <f>Table13[[#This Row],[Discount_%]]/100</f>
        <v>1.01E-2</v>
      </c>
      <c r="T214" s="6" t="s">
        <v>925</v>
      </c>
      <c r="U214" t="s">
        <v>986</v>
      </c>
      <c r="V214">
        <v>2024</v>
      </c>
      <c r="W214" t="s">
        <v>994</v>
      </c>
      <c r="X214" t="s">
        <v>999</v>
      </c>
      <c r="Y214" t="s">
        <v>1002</v>
      </c>
      <c r="Z214">
        <v>4</v>
      </c>
      <c r="AA214">
        <v>24</v>
      </c>
      <c r="AB214" s="4">
        <f>Table13[[#This Row],[Total_Price]]*(1-Table13[[#This Row],[Discount 2]])</f>
        <v>15262252.4626</v>
      </c>
      <c r="AC214" s="4" t="str" cm="1">
        <f t="array" ref="AC214">_xlfn.IFS(Table13[[#This Row],[Revenue]]&gt;=30000000,"High Value",Table13[[#This Row],[Revenue]]&gt;=10000000,"Moderate Value",TRUE,"Low Value")</f>
        <v>Moderate Value</v>
      </c>
      <c r="AD214" t="str">
        <f>IF(Table13[[#This Row],[Discount 2]]&gt;=5%, "YES", "NO")</f>
        <v>NO</v>
      </c>
      <c r="AE214" t="str" cm="1">
        <f t="array" ref="AE214">_xlfn.IFS(Table13[[#This Row],[Revenue]]&gt;=30000000,"High Spender",Table13[[#This Row],[Revenue]]&gt;=10000000,"Moderate Spender",TRUE,"Low Spender")</f>
        <v>Moderate Spender</v>
      </c>
      <c r="AF214" s="4" t="str" cm="1">
        <f t="array" ref="AF214">_xlfn.IFS(Table13[[#This Row],[Land_Size_SQM]]&gt;=730,"LARGE",Table13[[#This Row],[Land_Size_SQM]]&gt;=465,"MEDIUM",TRUE,"SMALL")</f>
        <v>MEDIUM</v>
      </c>
    </row>
    <row r="215" spans="1:32" x14ac:dyDescent="0.3">
      <c r="A215" t="s">
        <v>97</v>
      </c>
      <c r="B215" t="s">
        <v>573</v>
      </c>
      <c r="C215" t="s">
        <v>626</v>
      </c>
      <c r="D215">
        <v>60</v>
      </c>
      <c r="E215" t="s">
        <v>630</v>
      </c>
      <c r="F215">
        <v>381</v>
      </c>
      <c r="G215" s="4">
        <v>43153</v>
      </c>
      <c r="H215" s="4">
        <v>16441293</v>
      </c>
      <c r="I215" t="s">
        <v>640</v>
      </c>
      <c r="J215" t="s">
        <v>672</v>
      </c>
      <c r="K215" t="s">
        <v>676</v>
      </c>
      <c r="L215" t="s">
        <v>680</v>
      </c>
      <c r="M215" t="s">
        <v>684</v>
      </c>
      <c r="N215" t="s">
        <v>689</v>
      </c>
      <c r="O215" t="s">
        <v>694</v>
      </c>
      <c r="P215" s="4">
        <v>7009478</v>
      </c>
      <c r="Q215">
        <v>24</v>
      </c>
      <c r="R215" s="7">
        <v>7.6</v>
      </c>
      <c r="S215" s="8">
        <f>Table13[[#This Row],[Discount_%]]/100</f>
        <v>7.5999999999999998E-2</v>
      </c>
      <c r="T215" s="6" t="s">
        <v>706</v>
      </c>
      <c r="U215" t="s">
        <v>989</v>
      </c>
      <c r="V215">
        <v>2024</v>
      </c>
      <c r="W215" t="s">
        <v>995</v>
      </c>
      <c r="X215" t="s">
        <v>998</v>
      </c>
      <c r="Y215" t="s">
        <v>1001</v>
      </c>
      <c r="Z215">
        <v>3</v>
      </c>
      <c r="AA215">
        <v>18</v>
      </c>
      <c r="AB215" s="4">
        <f>Table13[[#This Row],[Total_Price]]*(1-Table13[[#This Row],[Discount 2]])</f>
        <v>15191754.732000001</v>
      </c>
      <c r="AC215" s="4" t="str" cm="1">
        <f t="array" ref="AC215">_xlfn.IFS(Table13[[#This Row],[Revenue]]&gt;=30000000,"High Value",Table13[[#This Row],[Revenue]]&gt;=10000000,"Moderate Value",TRUE,"Low Value")</f>
        <v>Moderate Value</v>
      </c>
      <c r="AD215" t="str">
        <f>IF(Table13[[#This Row],[Discount 2]]&gt;=5%, "YES", "NO")</f>
        <v>YES</v>
      </c>
      <c r="AE215" t="str" cm="1">
        <f t="array" ref="AE215">_xlfn.IFS(Table13[[#This Row],[Revenue]]&gt;=30000000,"High Spender",Table13[[#This Row],[Revenue]]&gt;=10000000,"Moderate Spender",TRUE,"Low Spender")</f>
        <v>Moderate Spender</v>
      </c>
      <c r="AF215" s="4" t="str" cm="1">
        <f t="array" ref="AF215">_xlfn.IFS(Table13[[#This Row],[Land_Size_SQM]]&gt;=730,"LARGE",Table13[[#This Row],[Land_Size_SQM]]&gt;=465,"MEDIUM",TRUE,"SMALL")</f>
        <v>SMALL</v>
      </c>
    </row>
    <row r="216" spans="1:32" x14ac:dyDescent="0.3">
      <c r="A216" t="s">
        <v>398</v>
      </c>
      <c r="B216" t="s">
        <v>610</v>
      </c>
      <c r="C216" t="s">
        <v>627</v>
      </c>
      <c r="D216">
        <v>40</v>
      </c>
      <c r="E216" t="s">
        <v>629</v>
      </c>
      <c r="F216">
        <v>380</v>
      </c>
      <c r="G216" s="4">
        <v>44224</v>
      </c>
      <c r="H216" s="4">
        <v>16805120</v>
      </c>
      <c r="I216" t="s">
        <v>636</v>
      </c>
      <c r="J216" t="s">
        <v>671</v>
      </c>
      <c r="K216" t="s">
        <v>675</v>
      </c>
      <c r="L216" t="s">
        <v>681</v>
      </c>
      <c r="M216" t="s">
        <v>685</v>
      </c>
      <c r="N216" t="s">
        <v>691</v>
      </c>
      <c r="O216" t="s">
        <v>693</v>
      </c>
      <c r="P216" s="4">
        <v>16805120</v>
      </c>
      <c r="Q216">
        <v>0</v>
      </c>
      <c r="R216" s="7">
        <v>9.64</v>
      </c>
      <c r="S216" s="8">
        <f>Table13[[#This Row],[Discount_%]]/100</f>
        <v>9.64E-2</v>
      </c>
      <c r="T216" s="6" t="s">
        <v>931</v>
      </c>
      <c r="U216" t="s">
        <v>986</v>
      </c>
      <c r="V216">
        <v>2024</v>
      </c>
      <c r="W216" t="s">
        <v>994</v>
      </c>
      <c r="X216" t="s">
        <v>997</v>
      </c>
      <c r="Y216" t="s">
        <v>1001</v>
      </c>
      <c r="Z216">
        <v>1</v>
      </c>
      <c r="AA216">
        <v>26</v>
      </c>
      <c r="AB216" s="4">
        <f>Table13[[#This Row],[Total_Price]]*(1-Table13[[#This Row],[Discount 2]])</f>
        <v>15185106.432</v>
      </c>
      <c r="AC216" s="4" t="str" cm="1">
        <f t="array" ref="AC216">_xlfn.IFS(Table13[[#This Row],[Revenue]]&gt;=30000000,"High Value",Table13[[#This Row],[Revenue]]&gt;=10000000,"Moderate Value",TRUE,"Low Value")</f>
        <v>Moderate Value</v>
      </c>
      <c r="AD216" t="str">
        <f>IF(Table13[[#This Row],[Discount 2]]&gt;=5%, "YES", "NO")</f>
        <v>YES</v>
      </c>
      <c r="AE216" t="str" cm="1">
        <f t="array" ref="AE216">_xlfn.IFS(Table13[[#This Row],[Revenue]]&gt;=30000000,"High Spender",Table13[[#This Row],[Revenue]]&gt;=10000000,"Moderate Spender",TRUE,"Low Spender")</f>
        <v>Moderate Spender</v>
      </c>
      <c r="AF216" s="4" t="str" cm="1">
        <f t="array" ref="AF216">_xlfn.IFS(Table13[[#This Row],[Land_Size_SQM]]&gt;=730,"LARGE",Table13[[#This Row],[Land_Size_SQM]]&gt;=465,"MEDIUM",TRUE,"SMALL")</f>
        <v>SMALL</v>
      </c>
    </row>
    <row r="217" spans="1:32" x14ac:dyDescent="0.3">
      <c r="A217" t="s">
        <v>414</v>
      </c>
      <c r="B217" t="s">
        <v>532</v>
      </c>
      <c r="C217" t="s">
        <v>627</v>
      </c>
      <c r="D217">
        <v>24</v>
      </c>
      <c r="E217" t="s">
        <v>629</v>
      </c>
      <c r="F217">
        <v>663</v>
      </c>
      <c r="G217" s="4">
        <v>23293</v>
      </c>
      <c r="H217" s="4">
        <v>15443259</v>
      </c>
      <c r="I217" t="s">
        <v>662</v>
      </c>
      <c r="J217" t="s">
        <v>673</v>
      </c>
      <c r="K217" t="s">
        <v>674</v>
      </c>
      <c r="L217" t="s">
        <v>682</v>
      </c>
      <c r="M217" t="s">
        <v>684</v>
      </c>
      <c r="N217" t="s">
        <v>689</v>
      </c>
      <c r="O217" t="s">
        <v>693</v>
      </c>
      <c r="P217" s="4">
        <v>15443259</v>
      </c>
      <c r="Q217">
        <v>0</v>
      </c>
      <c r="R217" s="7">
        <v>2.11</v>
      </c>
      <c r="S217" s="8">
        <f>Table13[[#This Row],[Discount_%]]/100</f>
        <v>2.1099999999999997E-2</v>
      </c>
      <c r="T217" s="6" t="s">
        <v>852</v>
      </c>
      <c r="U217" t="s">
        <v>988</v>
      </c>
      <c r="V217">
        <v>2024</v>
      </c>
      <c r="W217" t="s">
        <v>995</v>
      </c>
      <c r="X217" t="s">
        <v>998</v>
      </c>
      <c r="Y217" t="s">
        <v>1000</v>
      </c>
      <c r="Z217">
        <v>2</v>
      </c>
      <c r="AA217">
        <v>50</v>
      </c>
      <c r="AB217" s="4">
        <f>Table13[[#This Row],[Total_Price]]*(1-Table13[[#This Row],[Discount 2]])</f>
        <v>15117406.235099999</v>
      </c>
      <c r="AC217" s="4" t="str" cm="1">
        <f t="array" ref="AC217">_xlfn.IFS(Table13[[#This Row],[Revenue]]&gt;=30000000,"High Value",Table13[[#This Row],[Revenue]]&gt;=10000000,"Moderate Value",TRUE,"Low Value")</f>
        <v>Moderate Value</v>
      </c>
      <c r="AD217" t="str">
        <f>IF(Table13[[#This Row],[Discount 2]]&gt;=5%, "YES", "NO")</f>
        <v>NO</v>
      </c>
      <c r="AE217" t="str" cm="1">
        <f t="array" ref="AE217">_xlfn.IFS(Table13[[#This Row],[Revenue]]&gt;=30000000,"High Spender",Table13[[#This Row],[Revenue]]&gt;=10000000,"Moderate Spender",TRUE,"Low Spender")</f>
        <v>Moderate Spender</v>
      </c>
      <c r="AF217" s="4" t="str" cm="1">
        <f t="array" ref="AF217">_xlfn.IFS(Table13[[#This Row],[Land_Size_SQM]]&gt;=730,"LARGE",Table13[[#This Row],[Land_Size_SQM]]&gt;=465,"MEDIUM",TRUE,"SMALL")</f>
        <v>MEDIUM</v>
      </c>
    </row>
    <row r="218" spans="1:32" x14ac:dyDescent="0.3">
      <c r="A218" t="s">
        <v>291</v>
      </c>
      <c r="B218" t="s">
        <v>611</v>
      </c>
      <c r="C218" t="s">
        <v>626</v>
      </c>
      <c r="D218">
        <v>63</v>
      </c>
      <c r="E218" t="s">
        <v>630</v>
      </c>
      <c r="F218">
        <v>872</v>
      </c>
      <c r="G218" s="4">
        <v>18302</v>
      </c>
      <c r="H218" s="4">
        <v>15959344</v>
      </c>
      <c r="I218" t="s">
        <v>654</v>
      </c>
      <c r="J218" t="s">
        <v>669</v>
      </c>
      <c r="K218" t="s">
        <v>675</v>
      </c>
      <c r="L218" t="s">
        <v>682</v>
      </c>
      <c r="M218" t="s">
        <v>684</v>
      </c>
      <c r="N218" t="s">
        <v>689</v>
      </c>
      <c r="O218" t="s">
        <v>693</v>
      </c>
      <c r="P218" s="4">
        <v>15959344</v>
      </c>
      <c r="Q218">
        <v>0</v>
      </c>
      <c r="R218" s="7">
        <v>5.58</v>
      </c>
      <c r="S218" s="8">
        <f>Table13[[#This Row],[Discount_%]]/100</f>
        <v>5.5800000000000002E-2</v>
      </c>
      <c r="T218" s="6" t="s">
        <v>890</v>
      </c>
      <c r="U218" t="s">
        <v>985</v>
      </c>
      <c r="V218">
        <v>2024</v>
      </c>
      <c r="W218" t="s">
        <v>996</v>
      </c>
      <c r="X218" t="s">
        <v>999</v>
      </c>
      <c r="Y218" t="s">
        <v>1001</v>
      </c>
      <c r="Z218">
        <v>4</v>
      </c>
      <c r="AA218">
        <v>33</v>
      </c>
      <c r="AB218" s="4">
        <f>Table13[[#This Row],[Total_Price]]*(1-Table13[[#This Row],[Discount 2]])</f>
        <v>15068812.604800001</v>
      </c>
      <c r="AC218" s="4" t="str" cm="1">
        <f t="array" ref="AC218">_xlfn.IFS(Table13[[#This Row],[Revenue]]&gt;=30000000,"High Value",Table13[[#This Row],[Revenue]]&gt;=10000000,"Moderate Value",TRUE,"Low Value")</f>
        <v>Moderate Value</v>
      </c>
      <c r="AD218" t="str">
        <f>IF(Table13[[#This Row],[Discount 2]]&gt;=5%, "YES", "NO")</f>
        <v>YES</v>
      </c>
      <c r="AE218" t="str" cm="1">
        <f t="array" ref="AE218">_xlfn.IFS(Table13[[#This Row],[Revenue]]&gt;=30000000,"High Spender",Table13[[#This Row],[Revenue]]&gt;=10000000,"Moderate Spender",TRUE,"Low Spender")</f>
        <v>Moderate Spender</v>
      </c>
      <c r="AF218" s="4" t="str" cm="1">
        <f t="array" ref="AF218">_xlfn.IFS(Table13[[#This Row],[Land_Size_SQM]]&gt;=730,"LARGE",Table13[[#This Row],[Land_Size_SQM]]&gt;=465,"MEDIUM",TRUE,"SMALL")</f>
        <v>LARGE</v>
      </c>
    </row>
    <row r="219" spans="1:32" x14ac:dyDescent="0.3">
      <c r="A219" t="s">
        <v>243</v>
      </c>
      <c r="B219" t="s">
        <v>542</v>
      </c>
      <c r="C219" t="s">
        <v>627</v>
      </c>
      <c r="D219">
        <v>24</v>
      </c>
      <c r="E219" t="s">
        <v>628</v>
      </c>
      <c r="F219">
        <v>410</v>
      </c>
      <c r="G219" s="4">
        <v>37242</v>
      </c>
      <c r="H219" s="4">
        <v>15269220</v>
      </c>
      <c r="I219" t="s">
        <v>658</v>
      </c>
      <c r="J219" t="s">
        <v>670</v>
      </c>
      <c r="K219" t="s">
        <v>676</v>
      </c>
      <c r="L219" t="s">
        <v>680</v>
      </c>
      <c r="M219" t="s">
        <v>687</v>
      </c>
      <c r="N219" t="s">
        <v>692</v>
      </c>
      <c r="O219" t="s">
        <v>694</v>
      </c>
      <c r="P219" s="4">
        <v>6475176</v>
      </c>
      <c r="Q219">
        <v>3</v>
      </c>
      <c r="R219" s="7">
        <v>1.54</v>
      </c>
      <c r="S219" s="8">
        <f>Table13[[#This Row],[Discount_%]]/100</f>
        <v>1.54E-2</v>
      </c>
      <c r="T219" s="6" t="s">
        <v>860</v>
      </c>
      <c r="U219" t="s">
        <v>989</v>
      </c>
      <c r="V219">
        <v>2024</v>
      </c>
      <c r="W219" t="s">
        <v>993</v>
      </c>
      <c r="X219" t="s">
        <v>997</v>
      </c>
      <c r="Y219" t="s">
        <v>1000</v>
      </c>
      <c r="Z219">
        <v>3</v>
      </c>
      <c r="AA219">
        <v>27</v>
      </c>
      <c r="AB219" s="4">
        <f>Table13[[#This Row],[Total_Price]]*(1-Table13[[#This Row],[Discount 2]])</f>
        <v>15034074.012</v>
      </c>
      <c r="AC219" s="4" t="str" cm="1">
        <f t="array" ref="AC219">_xlfn.IFS(Table13[[#This Row],[Revenue]]&gt;=30000000,"High Value",Table13[[#This Row],[Revenue]]&gt;=10000000,"Moderate Value",TRUE,"Low Value")</f>
        <v>Moderate Value</v>
      </c>
      <c r="AD219" t="str">
        <f>IF(Table13[[#This Row],[Discount 2]]&gt;=5%, "YES", "NO")</f>
        <v>NO</v>
      </c>
      <c r="AE219" t="str" cm="1">
        <f t="array" ref="AE219">_xlfn.IFS(Table13[[#This Row],[Revenue]]&gt;=30000000,"High Spender",Table13[[#This Row],[Revenue]]&gt;=10000000,"Moderate Spender",TRUE,"Low Spender")</f>
        <v>Moderate Spender</v>
      </c>
      <c r="AF219" s="4" t="str" cm="1">
        <f t="array" ref="AF219">_xlfn.IFS(Table13[[#This Row],[Land_Size_SQM]]&gt;=730,"LARGE",Table13[[#This Row],[Land_Size_SQM]]&gt;=465,"MEDIUM",TRUE,"SMALL")</f>
        <v>SMALL</v>
      </c>
    </row>
    <row r="220" spans="1:32" x14ac:dyDescent="0.3">
      <c r="A220" t="s">
        <v>69</v>
      </c>
      <c r="B220" t="s">
        <v>559</v>
      </c>
      <c r="C220" t="s">
        <v>627</v>
      </c>
      <c r="D220">
        <v>40</v>
      </c>
      <c r="E220" t="s">
        <v>630</v>
      </c>
      <c r="F220">
        <v>537</v>
      </c>
      <c r="G220" s="4">
        <v>28977</v>
      </c>
      <c r="H220" s="4">
        <v>15560649</v>
      </c>
      <c r="I220" t="s">
        <v>631</v>
      </c>
      <c r="J220" t="s">
        <v>668</v>
      </c>
      <c r="K220" t="s">
        <v>638</v>
      </c>
      <c r="L220" t="s">
        <v>681</v>
      </c>
      <c r="M220" t="s">
        <v>685</v>
      </c>
      <c r="N220" t="s">
        <v>691</v>
      </c>
      <c r="O220" t="s">
        <v>694</v>
      </c>
      <c r="P220" s="4">
        <v>6205199</v>
      </c>
      <c r="Q220">
        <v>12</v>
      </c>
      <c r="R220" s="7">
        <v>4</v>
      </c>
      <c r="S220" s="8">
        <f>Table13[[#This Row],[Discount_%]]/100</f>
        <v>0.04</v>
      </c>
      <c r="T220" s="6" t="s">
        <v>728</v>
      </c>
      <c r="U220" t="s">
        <v>985</v>
      </c>
      <c r="V220">
        <v>2024</v>
      </c>
      <c r="W220" t="s">
        <v>993</v>
      </c>
      <c r="X220" t="s">
        <v>997</v>
      </c>
      <c r="Y220" t="s">
        <v>1001</v>
      </c>
      <c r="Z220">
        <v>4</v>
      </c>
      <c r="AA220">
        <v>27</v>
      </c>
      <c r="AB220" s="4">
        <f>Table13[[#This Row],[Total_Price]]*(1-Table13[[#This Row],[Discount 2]])</f>
        <v>14938223.039999999</v>
      </c>
      <c r="AC220" s="4" t="str" cm="1">
        <f t="array" ref="AC220">_xlfn.IFS(Table13[[#This Row],[Revenue]]&gt;=30000000,"High Value",Table13[[#This Row],[Revenue]]&gt;=10000000,"Moderate Value",TRUE,"Low Value")</f>
        <v>Moderate Value</v>
      </c>
      <c r="AD220" t="str">
        <f>IF(Table13[[#This Row],[Discount 2]]&gt;=5%, "YES", "NO")</f>
        <v>NO</v>
      </c>
      <c r="AE220" t="str" cm="1">
        <f t="array" ref="AE220">_xlfn.IFS(Table13[[#This Row],[Revenue]]&gt;=30000000,"High Spender",Table13[[#This Row],[Revenue]]&gt;=10000000,"Moderate Spender",TRUE,"Low Spender")</f>
        <v>Moderate Spender</v>
      </c>
      <c r="AF220" s="4" t="str" cm="1">
        <f t="array" ref="AF220">_xlfn.IFS(Table13[[#This Row],[Land_Size_SQM]]&gt;=730,"LARGE",Table13[[#This Row],[Land_Size_SQM]]&gt;=465,"MEDIUM",TRUE,"SMALL")</f>
        <v>MEDIUM</v>
      </c>
    </row>
    <row r="221" spans="1:32" x14ac:dyDescent="0.3">
      <c r="A221" t="s">
        <v>510</v>
      </c>
      <c r="B221" t="s">
        <v>624</v>
      </c>
      <c r="C221" t="s">
        <v>626</v>
      </c>
      <c r="D221">
        <v>40</v>
      </c>
      <c r="E221" t="s">
        <v>628</v>
      </c>
      <c r="F221">
        <v>971</v>
      </c>
      <c r="G221" s="4">
        <v>15596</v>
      </c>
      <c r="H221" s="4">
        <v>15143716</v>
      </c>
      <c r="I221" t="s">
        <v>659</v>
      </c>
      <c r="J221" t="s">
        <v>668</v>
      </c>
      <c r="K221" t="s">
        <v>676</v>
      </c>
      <c r="L221" t="s">
        <v>680</v>
      </c>
      <c r="M221" t="s">
        <v>683</v>
      </c>
      <c r="N221" t="s">
        <v>692</v>
      </c>
      <c r="O221" t="s">
        <v>693</v>
      </c>
      <c r="P221" s="4">
        <v>15143716</v>
      </c>
      <c r="Q221">
        <v>0</v>
      </c>
      <c r="R221" s="7">
        <v>1.81</v>
      </c>
      <c r="S221" s="8">
        <f>Table13[[#This Row],[Discount_%]]/100</f>
        <v>1.8100000000000002E-2</v>
      </c>
      <c r="T221" s="6" t="s">
        <v>976</v>
      </c>
      <c r="U221" t="s">
        <v>983</v>
      </c>
      <c r="V221">
        <v>2024</v>
      </c>
      <c r="W221" t="s">
        <v>996</v>
      </c>
      <c r="X221" t="s">
        <v>997</v>
      </c>
      <c r="Y221" t="s">
        <v>1000</v>
      </c>
      <c r="Z221">
        <v>1</v>
      </c>
      <c r="AA221">
        <v>36</v>
      </c>
      <c r="AB221" s="4">
        <f>Table13[[#This Row],[Total_Price]]*(1-Table13[[#This Row],[Discount 2]])</f>
        <v>14869614.7404</v>
      </c>
      <c r="AC221" s="4" t="str" cm="1">
        <f t="array" ref="AC221">_xlfn.IFS(Table13[[#This Row],[Revenue]]&gt;=30000000,"High Value",Table13[[#This Row],[Revenue]]&gt;=10000000,"Moderate Value",TRUE,"Low Value")</f>
        <v>Moderate Value</v>
      </c>
      <c r="AD221" t="str">
        <f>IF(Table13[[#This Row],[Discount 2]]&gt;=5%, "YES", "NO")</f>
        <v>NO</v>
      </c>
      <c r="AE221" t="str" cm="1">
        <f t="array" ref="AE221">_xlfn.IFS(Table13[[#This Row],[Revenue]]&gt;=30000000,"High Spender",Table13[[#This Row],[Revenue]]&gt;=10000000,"Moderate Spender",TRUE,"Low Spender")</f>
        <v>Moderate Spender</v>
      </c>
      <c r="AF221" s="4" t="str" cm="1">
        <f t="array" ref="AF221">_xlfn.IFS(Table13[[#This Row],[Land_Size_SQM]]&gt;=730,"LARGE",Table13[[#This Row],[Land_Size_SQM]]&gt;=465,"MEDIUM",TRUE,"SMALL")</f>
        <v>LARGE</v>
      </c>
    </row>
    <row r="222" spans="1:32" x14ac:dyDescent="0.3">
      <c r="A222" t="s">
        <v>334</v>
      </c>
      <c r="B222" t="s">
        <v>582</v>
      </c>
      <c r="C222" t="s">
        <v>626</v>
      </c>
      <c r="D222">
        <v>35</v>
      </c>
      <c r="E222" t="s">
        <v>629</v>
      </c>
      <c r="F222">
        <v>593</v>
      </c>
      <c r="G222" s="4">
        <v>25285</v>
      </c>
      <c r="H222" s="4">
        <v>14994005</v>
      </c>
      <c r="I222" t="s">
        <v>647</v>
      </c>
      <c r="J222" t="s">
        <v>670</v>
      </c>
      <c r="K222" t="s">
        <v>678</v>
      </c>
      <c r="L222" t="s">
        <v>682</v>
      </c>
      <c r="M222" t="s">
        <v>687</v>
      </c>
      <c r="N222" t="s">
        <v>691</v>
      </c>
      <c r="O222" t="s">
        <v>693</v>
      </c>
      <c r="P222" s="4">
        <v>14994005</v>
      </c>
      <c r="Q222">
        <v>0</v>
      </c>
      <c r="R222" s="7">
        <v>1.86</v>
      </c>
      <c r="S222" s="8">
        <f>Table13[[#This Row],[Discount_%]]/100</f>
        <v>1.8600000000000002E-2</v>
      </c>
      <c r="T222" s="6" t="s">
        <v>764</v>
      </c>
      <c r="U222" t="s">
        <v>983</v>
      </c>
      <c r="V222">
        <v>2024</v>
      </c>
      <c r="W222" t="s">
        <v>994</v>
      </c>
      <c r="X222" t="s">
        <v>999</v>
      </c>
      <c r="Y222" t="s">
        <v>1000</v>
      </c>
      <c r="Z222">
        <v>5</v>
      </c>
      <c r="AA222">
        <v>31</v>
      </c>
      <c r="AB222" s="4">
        <f>Table13[[#This Row],[Total_Price]]*(1-Table13[[#This Row],[Discount 2]])</f>
        <v>14715116.507000001</v>
      </c>
      <c r="AC222" s="4" t="str" cm="1">
        <f t="array" ref="AC222">_xlfn.IFS(Table13[[#This Row],[Revenue]]&gt;=30000000,"High Value",Table13[[#This Row],[Revenue]]&gt;=10000000,"Moderate Value",TRUE,"Low Value")</f>
        <v>Moderate Value</v>
      </c>
      <c r="AD222" t="str">
        <f>IF(Table13[[#This Row],[Discount 2]]&gt;=5%, "YES", "NO")</f>
        <v>NO</v>
      </c>
      <c r="AE222" t="str" cm="1">
        <f t="array" ref="AE222">_xlfn.IFS(Table13[[#This Row],[Revenue]]&gt;=30000000,"High Spender",Table13[[#This Row],[Revenue]]&gt;=10000000,"Moderate Spender",TRUE,"Low Spender")</f>
        <v>Moderate Spender</v>
      </c>
      <c r="AF222" s="4" t="str" cm="1">
        <f t="array" ref="AF222">_xlfn.IFS(Table13[[#This Row],[Land_Size_SQM]]&gt;=730,"LARGE",Table13[[#This Row],[Land_Size_SQM]]&gt;=465,"MEDIUM",TRUE,"SMALL")</f>
        <v>MEDIUM</v>
      </c>
    </row>
    <row r="223" spans="1:32" x14ac:dyDescent="0.3">
      <c r="A223" t="s">
        <v>368</v>
      </c>
      <c r="B223" t="s">
        <v>539</v>
      </c>
      <c r="C223" t="s">
        <v>627</v>
      </c>
      <c r="D223">
        <v>31</v>
      </c>
      <c r="E223" t="s">
        <v>629</v>
      </c>
      <c r="F223">
        <v>491</v>
      </c>
      <c r="G223" s="4">
        <v>31879</v>
      </c>
      <c r="H223" s="4">
        <v>15652589</v>
      </c>
      <c r="I223" t="s">
        <v>641</v>
      </c>
      <c r="J223" t="s">
        <v>673</v>
      </c>
      <c r="K223" t="s">
        <v>651</v>
      </c>
      <c r="L223" t="s">
        <v>682</v>
      </c>
      <c r="M223" t="s">
        <v>683</v>
      </c>
      <c r="N223" t="s">
        <v>688</v>
      </c>
      <c r="O223" t="s">
        <v>693</v>
      </c>
      <c r="P223" s="4">
        <v>15652589</v>
      </c>
      <c r="Q223">
        <v>0</v>
      </c>
      <c r="R223" s="7">
        <v>6.19</v>
      </c>
      <c r="S223" s="8">
        <f>Table13[[#This Row],[Discount_%]]/100</f>
        <v>6.1900000000000004E-2</v>
      </c>
      <c r="T223" s="6" t="s">
        <v>702</v>
      </c>
      <c r="U223" t="s">
        <v>987</v>
      </c>
      <c r="V223">
        <v>2024</v>
      </c>
      <c r="W223" t="s">
        <v>996</v>
      </c>
      <c r="X223" t="s">
        <v>999</v>
      </c>
      <c r="Y223" t="s">
        <v>1000</v>
      </c>
      <c r="Z223">
        <v>3</v>
      </c>
      <c r="AA223">
        <v>37</v>
      </c>
      <c r="AB223" s="4">
        <f>Table13[[#This Row],[Total_Price]]*(1-Table13[[#This Row],[Discount 2]])</f>
        <v>14683693.740900001</v>
      </c>
      <c r="AC223" s="4" t="str" cm="1">
        <f t="array" ref="AC223">_xlfn.IFS(Table13[[#This Row],[Revenue]]&gt;=30000000,"High Value",Table13[[#This Row],[Revenue]]&gt;=10000000,"Moderate Value",TRUE,"Low Value")</f>
        <v>Moderate Value</v>
      </c>
      <c r="AD223" t="str">
        <f>IF(Table13[[#This Row],[Discount 2]]&gt;=5%, "YES", "NO")</f>
        <v>YES</v>
      </c>
      <c r="AE223" t="str" cm="1">
        <f t="array" ref="AE223">_xlfn.IFS(Table13[[#This Row],[Revenue]]&gt;=30000000,"High Spender",Table13[[#This Row],[Revenue]]&gt;=10000000,"Moderate Spender",TRUE,"Low Spender")</f>
        <v>Moderate Spender</v>
      </c>
      <c r="AF223" s="4" t="str" cm="1">
        <f t="array" ref="AF223">_xlfn.IFS(Table13[[#This Row],[Land_Size_SQM]]&gt;=730,"LARGE",Table13[[#This Row],[Land_Size_SQM]]&gt;=465,"MEDIUM",TRUE,"SMALL")</f>
        <v>MEDIUM</v>
      </c>
    </row>
    <row r="224" spans="1:32" x14ac:dyDescent="0.3">
      <c r="A224" t="s">
        <v>503</v>
      </c>
      <c r="B224" t="s">
        <v>582</v>
      </c>
      <c r="C224" t="s">
        <v>626</v>
      </c>
      <c r="D224">
        <v>39</v>
      </c>
      <c r="E224" t="s">
        <v>629</v>
      </c>
      <c r="F224">
        <v>424</v>
      </c>
      <c r="G224" s="4">
        <v>34757</v>
      </c>
      <c r="H224" s="4">
        <v>14736968</v>
      </c>
      <c r="I224" t="s">
        <v>648</v>
      </c>
      <c r="J224" t="s">
        <v>671</v>
      </c>
      <c r="K224" t="s">
        <v>677</v>
      </c>
      <c r="L224" t="s">
        <v>682</v>
      </c>
      <c r="M224" t="s">
        <v>685</v>
      </c>
      <c r="N224" t="s">
        <v>690</v>
      </c>
      <c r="O224" t="s">
        <v>694</v>
      </c>
      <c r="P224" s="4">
        <v>5606527</v>
      </c>
      <c r="Q224">
        <v>6</v>
      </c>
      <c r="R224" s="7">
        <v>1.46</v>
      </c>
      <c r="S224" s="8">
        <f>Table13[[#This Row],[Discount_%]]/100</f>
        <v>1.46E-2</v>
      </c>
      <c r="T224" s="6" t="s">
        <v>972</v>
      </c>
      <c r="U224" t="s">
        <v>984</v>
      </c>
      <c r="V224">
        <v>2024</v>
      </c>
      <c r="W224" t="s">
        <v>995</v>
      </c>
      <c r="X224" t="s">
        <v>997</v>
      </c>
      <c r="Y224" t="s">
        <v>1000</v>
      </c>
      <c r="Z224">
        <v>4</v>
      </c>
      <c r="AA224">
        <v>19</v>
      </c>
      <c r="AB224" s="4">
        <f>Table13[[#This Row],[Total_Price]]*(1-Table13[[#This Row],[Discount 2]])</f>
        <v>14521808.267200001</v>
      </c>
      <c r="AC224" s="4" t="str" cm="1">
        <f t="array" ref="AC224">_xlfn.IFS(Table13[[#This Row],[Revenue]]&gt;=30000000,"High Value",Table13[[#This Row],[Revenue]]&gt;=10000000,"Moderate Value",TRUE,"Low Value")</f>
        <v>Moderate Value</v>
      </c>
      <c r="AD224" t="str">
        <f>IF(Table13[[#This Row],[Discount 2]]&gt;=5%, "YES", "NO")</f>
        <v>NO</v>
      </c>
      <c r="AE224" t="str" cm="1">
        <f t="array" ref="AE224">_xlfn.IFS(Table13[[#This Row],[Revenue]]&gt;=30000000,"High Spender",Table13[[#This Row],[Revenue]]&gt;=10000000,"Moderate Spender",TRUE,"Low Spender")</f>
        <v>Moderate Spender</v>
      </c>
      <c r="AF224" s="4" t="str" cm="1">
        <f t="array" ref="AF224">_xlfn.IFS(Table13[[#This Row],[Land_Size_SQM]]&gt;=730,"LARGE",Table13[[#This Row],[Land_Size_SQM]]&gt;=465,"MEDIUM",TRUE,"SMALL")</f>
        <v>SMALL</v>
      </c>
    </row>
    <row r="225" spans="1:32" x14ac:dyDescent="0.3">
      <c r="A225" t="s">
        <v>67</v>
      </c>
      <c r="B225" t="s">
        <v>557</v>
      </c>
      <c r="C225" t="s">
        <v>626</v>
      </c>
      <c r="D225">
        <v>48</v>
      </c>
      <c r="E225" t="s">
        <v>628</v>
      </c>
      <c r="F225">
        <v>495</v>
      </c>
      <c r="G225" s="4">
        <v>30780</v>
      </c>
      <c r="H225" s="4">
        <v>15236100</v>
      </c>
      <c r="I225" t="s">
        <v>655</v>
      </c>
      <c r="J225" t="s">
        <v>672</v>
      </c>
      <c r="K225" t="s">
        <v>674</v>
      </c>
      <c r="L225" t="s">
        <v>682</v>
      </c>
      <c r="M225" t="s">
        <v>685</v>
      </c>
      <c r="N225" t="s">
        <v>691</v>
      </c>
      <c r="O225" t="s">
        <v>693</v>
      </c>
      <c r="P225" s="4">
        <v>15236100</v>
      </c>
      <c r="Q225">
        <v>0</v>
      </c>
      <c r="R225" s="7">
        <v>4.6900000000000004</v>
      </c>
      <c r="S225" s="8">
        <f>Table13[[#This Row],[Discount_%]]/100</f>
        <v>4.6900000000000004E-2</v>
      </c>
      <c r="T225" s="6" t="s">
        <v>733</v>
      </c>
      <c r="U225" t="s">
        <v>982</v>
      </c>
      <c r="V225">
        <v>2024</v>
      </c>
      <c r="W225" t="s">
        <v>994</v>
      </c>
      <c r="X225" t="s">
        <v>997</v>
      </c>
      <c r="Y225" t="s">
        <v>1002</v>
      </c>
      <c r="Z225">
        <v>1</v>
      </c>
      <c r="AA225">
        <v>6</v>
      </c>
      <c r="AB225" s="4">
        <f>Table13[[#This Row],[Total_Price]]*(1-Table13[[#This Row],[Discount 2]])</f>
        <v>14521526.909999998</v>
      </c>
      <c r="AC225" s="4" t="str" cm="1">
        <f t="array" ref="AC225">_xlfn.IFS(Table13[[#This Row],[Revenue]]&gt;=30000000,"High Value",Table13[[#This Row],[Revenue]]&gt;=10000000,"Moderate Value",TRUE,"Low Value")</f>
        <v>Moderate Value</v>
      </c>
      <c r="AD225" t="str">
        <f>IF(Table13[[#This Row],[Discount 2]]&gt;=5%, "YES", "NO")</f>
        <v>NO</v>
      </c>
      <c r="AE225" t="str" cm="1">
        <f t="array" ref="AE225">_xlfn.IFS(Table13[[#This Row],[Revenue]]&gt;=30000000,"High Spender",Table13[[#This Row],[Revenue]]&gt;=10000000,"Moderate Spender",TRUE,"Low Spender")</f>
        <v>Moderate Spender</v>
      </c>
      <c r="AF225" s="4" t="str" cm="1">
        <f t="array" ref="AF225">_xlfn.IFS(Table13[[#This Row],[Land_Size_SQM]]&gt;=730,"LARGE",Table13[[#This Row],[Land_Size_SQM]]&gt;=465,"MEDIUM",TRUE,"SMALL")</f>
        <v>MEDIUM</v>
      </c>
    </row>
    <row r="226" spans="1:32" x14ac:dyDescent="0.3">
      <c r="A226" t="s">
        <v>436</v>
      </c>
      <c r="B226" t="s">
        <v>567</v>
      </c>
      <c r="C226" t="s">
        <v>626</v>
      </c>
      <c r="D226">
        <v>27</v>
      </c>
      <c r="E226" t="s">
        <v>629</v>
      </c>
      <c r="F226">
        <v>320</v>
      </c>
      <c r="G226" s="4">
        <v>47512</v>
      </c>
      <c r="H226" s="4">
        <v>15203840</v>
      </c>
      <c r="I226" t="s">
        <v>652</v>
      </c>
      <c r="J226" t="s">
        <v>672</v>
      </c>
      <c r="K226" t="s">
        <v>675</v>
      </c>
      <c r="L226" t="s">
        <v>681</v>
      </c>
      <c r="M226" t="s">
        <v>685</v>
      </c>
      <c r="N226" t="s">
        <v>689</v>
      </c>
      <c r="O226" t="s">
        <v>693</v>
      </c>
      <c r="P226" s="4">
        <v>15203840</v>
      </c>
      <c r="Q226">
        <v>0</v>
      </c>
      <c r="R226" s="7">
        <v>4.55</v>
      </c>
      <c r="S226" s="8">
        <f>Table13[[#This Row],[Discount_%]]/100</f>
        <v>4.5499999999999999E-2</v>
      </c>
      <c r="T226" s="6" t="s">
        <v>957</v>
      </c>
      <c r="U226" t="s">
        <v>988</v>
      </c>
      <c r="V226">
        <v>2024</v>
      </c>
      <c r="W226" t="s">
        <v>994</v>
      </c>
      <c r="X226" t="s">
        <v>997</v>
      </c>
      <c r="Y226" t="s">
        <v>1002</v>
      </c>
      <c r="Z226">
        <v>1</v>
      </c>
      <c r="AA226">
        <v>34</v>
      </c>
      <c r="AB226" s="4">
        <f>Table13[[#This Row],[Total_Price]]*(1-Table13[[#This Row],[Discount 2]])</f>
        <v>14512065.279999999</v>
      </c>
      <c r="AC226" s="4" t="str" cm="1">
        <f t="array" ref="AC226">_xlfn.IFS(Table13[[#This Row],[Revenue]]&gt;=30000000,"High Value",Table13[[#This Row],[Revenue]]&gt;=10000000,"Moderate Value",TRUE,"Low Value")</f>
        <v>Moderate Value</v>
      </c>
      <c r="AD226" t="str">
        <f>IF(Table13[[#This Row],[Discount 2]]&gt;=5%, "YES", "NO")</f>
        <v>NO</v>
      </c>
      <c r="AE226" t="str" cm="1">
        <f t="array" ref="AE226">_xlfn.IFS(Table13[[#This Row],[Revenue]]&gt;=30000000,"High Spender",Table13[[#This Row],[Revenue]]&gt;=10000000,"Moderate Spender",TRUE,"Low Spender")</f>
        <v>Moderate Spender</v>
      </c>
      <c r="AF226" s="4" t="str" cm="1">
        <f t="array" ref="AF226">_xlfn.IFS(Table13[[#This Row],[Land_Size_SQM]]&gt;=730,"LARGE",Table13[[#This Row],[Land_Size_SQM]]&gt;=465,"MEDIUM",TRUE,"SMALL")</f>
        <v>SMALL</v>
      </c>
    </row>
    <row r="227" spans="1:32" x14ac:dyDescent="0.3">
      <c r="A227" t="s">
        <v>103</v>
      </c>
      <c r="B227" t="s">
        <v>551</v>
      </c>
      <c r="C227" t="s">
        <v>627</v>
      </c>
      <c r="D227">
        <v>54</v>
      </c>
      <c r="E227" t="s">
        <v>628</v>
      </c>
      <c r="F227">
        <v>620</v>
      </c>
      <c r="G227" s="4">
        <v>25874</v>
      </c>
      <c r="H227" s="4">
        <v>16041880</v>
      </c>
      <c r="I227" t="s">
        <v>633</v>
      </c>
      <c r="J227" t="s">
        <v>668</v>
      </c>
      <c r="K227" t="s">
        <v>664</v>
      </c>
      <c r="L227" t="s">
        <v>681</v>
      </c>
      <c r="M227" t="s">
        <v>684</v>
      </c>
      <c r="N227" t="s">
        <v>688</v>
      </c>
      <c r="O227" t="s">
        <v>693</v>
      </c>
      <c r="P227" s="4">
        <v>16041880</v>
      </c>
      <c r="Q227">
        <v>0</v>
      </c>
      <c r="R227" s="7">
        <v>9.6999999999999993</v>
      </c>
      <c r="S227" s="8">
        <f>Table13[[#This Row],[Discount_%]]/100</f>
        <v>9.6999999999999989E-2</v>
      </c>
      <c r="T227" s="6" t="s">
        <v>763</v>
      </c>
      <c r="U227" t="s">
        <v>983</v>
      </c>
      <c r="V227">
        <v>2024</v>
      </c>
      <c r="W227" t="s">
        <v>994</v>
      </c>
      <c r="X227" t="s">
        <v>997</v>
      </c>
      <c r="Y227" t="s">
        <v>1001</v>
      </c>
      <c r="Z227">
        <v>4</v>
      </c>
      <c r="AA227">
        <v>30</v>
      </c>
      <c r="AB227" s="4">
        <f>Table13[[#This Row],[Total_Price]]*(1-Table13[[#This Row],[Discount 2]])</f>
        <v>14485817.640000001</v>
      </c>
      <c r="AC227" s="4" t="str" cm="1">
        <f t="array" ref="AC227">_xlfn.IFS(Table13[[#This Row],[Revenue]]&gt;=30000000,"High Value",Table13[[#This Row],[Revenue]]&gt;=10000000,"Moderate Value",TRUE,"Low Value")</f>
        <v>Moderate Value</v>
      </c>
      <c r="AD227" t="str">
        <f>IF(Table13[[#This Row],[Discount 2]]&gt;=5%, "YES", "NO")</f>
        <v>YES</v>
      </c>
      <c r="AE227" t="str" cm="1">
        <f t="array" ref="AE227">_xlfn.IFS(Table13[[#This Row],[Revenue]]&gt;=30000000,"High Spender",Table13[[#This Row],[Revenue]]&gt;=10000000,"Moderate Spender",TRUE,"Low Spender")</f>
        <v>Moderate Spender</v>
      </c>
      <c r="AF227" s="4" t="str" cm="1">
        <f t="array" ref="AF227">_xlfn.IFS(Table13[[#This Row],[Land_Size_SQM]]&gt;=730,"LARGE",Table13[[#This Row],[Land_Size_SQM]]&gt;=465,"MEDIUM",TRUE,"SMALL")</f>
        <v>MEDIUM</v>
      </c>
    </row>
    <row r="228" spans="1:32" x14ac:dyDescent="0.3">
      <c r="A228" t="s">
        <v>139</v>
      </c>
      <c r="B228" t="s">
        <v>590</v>
      </c>
      <c r="C228" t="s">
        <v>627</v>
      </c>
      <c r="D228">
        <v>21</v>
      </c>
      <c r="E228" t="s">
        <v>630</v>
      </c>
      <c r="F228">
        <v>336</v>
      </c>
      <c r="G228" s="4">
        <v>44830</v>
      </c>
      <c r="H228" s="4">
        <v>15062880</v>
      </c>
      <c r="I228" t="s">
        <v>662</v>
      </c>
      <c r="J228" t="s">
        <v>673</v>
      </c>
      <c r="K228" t="s">
        <v>675</v>
      </c>
      <c r="L228" t="s">
        <v>681</v>
      </c>
      <c r="M228" t="s">
        <v>686</v>
      </c>
      <c r="N228" t="s">
        <v>691</v>
      </c>
      <c r="O228" t="s">
        <v>694</v>
      </c>
      <c r="P228" s="4">
        <v>3819074</v>
      </c>
      <c r="Q228">
        <v>3</v>
      </c>
      <c r="R228" s="7">
        <v>5.37</v>
      </c>
      <c r="S228" s="8">
        <f>Table13[[#This Row],[Discount_%]]/100</f>
        <v>5.3699999999999998E-2</v>
      </c>
      <c r="T228" s="6" t="s">
        <v>790</v>
      </c>
      <c r="U228" t="s">
        <v>986</v>
      </c>
      <c r="V228">
        <v>2024</v>
      </c>
      <c r="W228" t="s">
        <v>995</v>
      </c>
      <c r="X228" t="s">
        <v>999</v>
      </c>
      <c r="Y228" t="s">
        <v>1000</v>
      </c>
      <c r="Z228">
        <v>4</v>
      </c>
      <c r="AA228">
        <v>23</v>
      </c>
      <c r="AB228" s="4">
        <f>Table13[[#This Row],[Total_Price]]*(1-Table13[[#This Row],[Discount 2]])</f>
        <v>14254003.344000001</v>
      </c>
      <c r="AC228" s="4" t="str" cm="1">
        <f t="array" ref="AC228">_xlfn.IFS(Table13[[#This Row],[Revenue]]&gt;=30000000,"High Value",Table13[[#This Row],[Revenue]]&gt;=10000000,"Moderate Value",TRUE,"Low Value")</f>
        <v>Moderate Value</v>
      </c>
      <c r="AD228" t="str">
        <f>IF(Table13[[#This Row],[Discount 2]]&gt;=5%, "YES", "NO")</f>
        <v>YES</v>
      </c>
      <c r="AE228" t="str" cm="1">
        <f t="array" ref="AE228">_xlfn.IFS(Table13[[#This Row],[Revenue]]&gt;=30000000,"High Spender",Table13[[#This Row],[Revenue]]&gt;=10000000,"Moderate Spender",TRUE,"Low Spender")</f>
        <v>Moderate Spender</v>
      </c>
      <c r="AF228" s="4" t="str" cm="1">
        <f t="array" ref="AF228">_xlfn.IFS(Table13[[#This Row],[Land_Size_SQM]]&gt;=730,"LARGE",Table13[[#This Row],[Land_Size_SQM]]&gt;=465,"MEDIUM",TRUE,"SMALL")</f>
        <v>SMALL</v>
      </c>
    </row>
    <row r="229" spans="1:32" x14ac:dyDescent="0.3">
      <c r="A229" t="s">
        <v>421</v>
      </c>
      <c r="B229" t="s">
        <v>545</v>
      </c>
      <c r="C229" t="s">
        <v>627</v>
      </c>
      <c r="D229">
        <v>27</v>
      </c>
      <c r="E229" t="s">
        <v>628</v>
      </c>
      <c r="F229">
        <v>865</v>
      </c>
      <c r="G229" s="4">
        <v>17845</v>
      </c>
      <c r="H229" s="4">
        <v>15435925</v>
      </c>
      <c r="I229" t="s">
        <v>634</v>
      </c>
      <c r="J229" t="s">
        <v>670</v>
      </c>
      <c r="K229" t="s">
        <v>638</v>
      </c>
      <c r="L229" t="s">
        <v>680</v>
      </c>
      <c r="M229" t="s">
        <v>684</v>
      </c>
      <c r="N229" t="s">
        <v>691</v>
      </c>
      <c r="O229" t="s">
        <v>694</v>
      </c>
      <c r="P229" s="4">
        <v>3485865</v>
      </c>
      <c r="Q229">
        <v>6</v>
      </c>
      <c r="R229" s="7">
        <v>7.7</v>
      </c>
      <c r="S229" s="8">
        <f>Table13[[#This Row],[Discount_%]]/100</f>
        <v>7.6999999999999999E-2</v>
      </c>
      <c r="T229" s="6" t="s">
        <v>866</v>
      </c>
      <c r="U229" t="s">
        <v>987</v>
      </c>
      <c r="V229">
        <v>2024</v>
      </c>
      <c r="W229" t="s">
        <v>995</v>
      </c>
      <c r="X229" t="s">
        <v>999</v>
      </c>
      <c r="Y229" t="s">
        <v>1002</v>
      </c>
      <c r="Z229">
        <v>5</v>
      </c>
      <c r="AA229">
        <v>16</v>
      </c>
      <c r="AB229" s="4">
        <f>Table13[[#This Row],[Total_Price]]*(1-Table13[[#This Row],[Discount 2]])</f>
        <v>14247358.775</v>
      </c>
      <c r="AC229" s="4" t="str" cm="1">
        <f t="array" ref="AC229">_xlfn.IFS(Table13[[#This Row],[Revenue]]&gt;=30000000,"High Value",Table13[[#This Row],[Revenue]]&gt;=10000000,"Moderate Value",TRUE,"Low Value")</f>
        <v>Moderate Value</v>
      </c>
      <c r="AD229" t="str">
        <f>IF(Table13[[#This Row],[Discount 2]]&gt;=5%, "YES", "NO")</f>
        <v>YES</v>
      </c>
      <c r="AE229" t="str" cm="1">
        <f t="array" ref="AE229">_xlfn.IFS(Table13[[#This Row],[Revenue]]&gt;=30000000,"High Spender",Table13[[#This Row],[Revenue]]&gt;=10000000,"Moderate Spender",TRUE,"Low Spender")</f>
        <v>Moderate Spender</v>
      </c>
      <c r="AF229" s="4" t="str" cm="1">
        <f t="array" ref="AF229">_xlfn.IFS(Table13[[#This Row],[Land_Size_SQM]]&gt;=730,"LARGE",Table13[[#This Row],[Land_Size_SQM]]&gt;=465,"MEDIUM",TRUE,"SMALL")</f>
        <v>LARGE</v>
      </c>
    </row>
    <row r="230" spans="1:32" x14ac:dyDescent="0.3">
      <c r="A230" t="s">
        <v>163</v>
      </c>
      <c r="B230" t="s">
        <v>594</v>
      </c>
      <c r="C230" t="s">
        <v>627</v>
      </c>
      <c r="D230">
        <v>39</v>
      </c>
      <c r="E230" t="s">
        <v>628</v>
      </c>
      <c r="F230">
        <v>411</v>
      </c>
      <c r="G230" s="4">
        <v>36151</v>
      </c>
      <c r="H230" s="4">
        <v>14858061</v>
      </c>
      <c r="I230" t="s">
        <v>657</v>
      </c>
      <c r="J230" t="s">
        <v>671</v>
      </c>
      <c r="K230" t="s">
        <v>678</v>
      </c>
      <c r="L230" t="s">
        <v>682</v>
      </c>
      <c r="M230" t="s">
        <v>685</v>
      </c>
      <c r="N230" t="s">
        <v>689</v>
      </c>
      <c r="O230" t="s">
        <v>694</v>
      </c>
      <c r="P230" s="4">
        <v>5094068</v>
      </c>
      <c r="Q230">
        <v>12</v>
      </c>
      <c r="R230" s="7">
        <v>4.38</v>
      </c>
      <c r="S230" s="8">
        <f>Table13[[#This Row],[Discount_%]]/100</f>
        <v>4.3799999999999999E-2</v>
      </c>
      <c r="T230" s="6" t="s">
        <v>805</v>
      </c>
      <c r="U230" t="s">
        <v>984</v>
      </c>
      <c r="V230">
        <v>2024</v>
      </c>
      <c r="W230" t="s">
        <v>994</v>
      </c>
      <c r="X230" t="s">
        <v>997</v>
      </c>
      <c r="Y230" t="s">
        <v>1000</v>
      </c>
      <c r="Z230">
        <v>2</v>
      </c>
      <c r="AA230">
        <v>48</v>
      </c>
      <c r="AB230" s="4">
        <f>Table13[[#This Row],[Total_Price]]*(1-Table13[[#This Row],[Discount 2]])</f>
        <v>14207277.928200001</v>
      </c>
      <c r="AC230" s="4" t="str" cm="1">
        <f t="array" ref="AC230">_xlfn.IFS(Table13[[#This Row],[Revenue]]&gt;=30000000,"High Value",Table13[[#This Row],[Revenue]]&gt;=10000000,"Moderate Value",TRUE,"Low Value")</f>
        <v>Moderate Value</v>
      </c>
      <c r="AD230" t="str">
        <f>IF(Table13[[#This Row],[Discount 2]]&gt;=5%, "YES", "NO")</f>
        <v>NO</v>
      </c>
      <c r="AE230" t="str" cm="1">
        <f t="array" ref="AE230">_xlfn.IFS(Table13[[#This Row],[Revenue]]&gt;=30000000,"High Spender",Table13[[#This Row],[Revenue]]&gt;=10000000,"Moderate Spender",TRUE,"Low Spender")</f>
        <v>Moderate Spender</v>
      </c>
      <c r="AF230" s="4" t="str" cm="1">
        <f t="array" ref="AF230">_xlfn.IFS(Table13[[#This Row],[Land_Size_SQM]]&gt;=730,"LARGE",Table13[[#This Row],[Land_Size_SQM]]&gt;=465,"MEDIUM",TRUE,"SMALL")</f>
        <v>SMALL</v>
      </c>
    </row>
    <row r="231" spans="1:32" x14ac:dyDescent="0.3">
      <c r="A231" t="s">
        <v>48</v>
      </c>
      <c r="B231" t="s">
        <v>543</v>
      </c>
      <c r="C231" t="s">
        <v>626</v>
      </c>
      <c r="D231">
        <v>45</v>
      </c>
      <c r="E231" t="s">
        <v>629</v>
      </c>
      <c r="F231">
        <v>534</v>
      </c>
      <c r="G231" s="4">
        <v>28371</v>
      </c>
      <c r="H231" s="4">
        <v>15150114</v>
      </c>
      <c r="I231" t="s">
        <v>636</v>
      </c>
      <c r="J231" t="s">
        <v>671</v>
      </c>
      <c r="K231" t="s">
        <v>640</v>
      </c>
      <c r="L231" t="s">
        <v>680</v>
      </c>
      <c r="M231" t="s">
        <v>687</v>
      </c>
      <c r="N231" t="s">
        <v>690</v>
      </c>
      <c r="O231" t="s">
        <v>694</v>
      </c>
      <c r="P231" s="4">
        <v>3901943</v>
      </c>
      <c r="Q231">
        <v>6</v>
      </c>
      <c r="R231" s="7">
        <v>6.65</v>
      </c>
      <c r="S231" s="8">
        <f>Table13[[#This Row],[Discount_%]]/100</f>
        <v>6.6500000000000004E-2</v>
      </c>
      <c r="T231" s="6" t="s">
        <v>716</v>
      </c>
      <c r="U231" t="s">
        <v>991</v>
      </c>
      <c r="V231">
        <v>2024</v>
      </c>
      <c r="W231" t="s">
        <v>996</v>
      </c>
      <c r="X231" t="s">
        <v>998</v>
      </c>
      <c r="Y231" t="s">
        <v>1001</v>
      </c>
      <c r="Z231">
        <v>5</v>
      </c>
      <c r="AA231">
        <v>42</v>
      </c>
      <c r="AB231" s="4">
        <f>Table13[[#This Row],[Total_Price]]*(1-Table13[[#This Row],[Discount 2]])</f>
        <v>14142631.419</v>
      </c>
      <c r="AC231" s="4" t="str" cm="1">
        <f t="array" ref="AC231">_xlfn.IFS(Table13[[#This Row],[Revenue]]&gt;=30000000,"High Value",Table13[[#This Row],[Revenue]]&gt;=10000000,"Moderate Value",TRUE,"Low Value")</f>
        <v>Moderate Value</v>
      </c>
      <c r="AD231" t="str">
        <f>IF(Table13[[#This Row],[Discount 2]]&gt;=5%, "YES", "NO")</f>
        <v>YES</v>
      </c>
      <c r="AE231" t="str" cm="1">
        <f t="array" ref="AE231">_xlfn.IFS(Table13[[#This Row],[Revenue]]&gt;=30000000,"High Spender",Table13[[#This Row],[Revenue]]&gt;=10000000,"Moderate Spender",TRUE,"Low Spender")</f>
        <v>Moderate Spender</v>
      </c>
      <c r="AF231" s="4" t="str" cm="1">
        <f t="array" ref="AF231">_xlfn.IFS(Table13[[#This Row],[Land_Size_SQM]]&gt;=730,"LARGE",Table13[[#This Row],[Land_Size_SQM]]&gt;=465,"MEDIUM",TRUE,"SMALL")</f>
        <v>MEDIUM</v>
      </c>
    </row>
    <row r="232" spans="1:32" x14ac:dyDescent="0.3">
      <c r="A232" t="s">
        <v>244</v>
      </c>
      <c r="B232" t="s">
        <v>563</v>
      </c>
      <c r="C232" t="s">
        <v>627</v>
      </c>
      <c r="D232">
        <v>57</v>
      </c>
      <c r="E232" t="s">
        <v>628</v>
      </c>
      <c r="F232">
        <v>643</v>
      </c>
      <c r="G232" s="4">
        <v>22735</v>
      </c>
      <c r="H232" s="4">
        <v>14618605</v>
      </c>
      <c r="I232" t="s">
        <v>666</v>
      </c>
      <c r="J232" t="s">
        <v>670</v>
      </c>
      <c r="K232" t="s">
        <v>640</v>
      </c>
      <c r="L232" t="s">
        <v>682</v>
      </c>
      <c r="M232" t="s">
        <v>685</v>
      </c>
      <c r="N232" t="s">
        <v>690</v>
      </c>
      <c r="O232" t="s">
        <v>693</v>
      </c>
      <c r="P232" s="4">
        <v>14618605</v>
      </c>
      <c r="Q232">
        <v>0</v>
      </c>
      <c r="R232" s="7">
        <v>3.9</v>
      </c>
      <c r="S232" s="8">
        <f>Table13[[#This Row],[Discount_%]]/100</f>
        <v>3.9E-2</v>
      </c>
      <c r="T232" s="6" t="s">
        <v>735</v>
      </c>
      <c r="U232" t="s">
        <v>987</v>
      </c>
      <c r="V232">
        <v>2024</v>
      </c>
      <c r="W232" t="s">
        <v>993</v>
      </c>
      <c r="X232" t="s">
        <v>998</v>
      </c>
      <c r="Y232" t="s">
        <v>1001</v>
      </c>
      <c r="Z232">
        <v>3</v>
      </c>
      <c r="AA232">
        <v>39</v>
      </c>
      <c r="AB232" s="4">
        <f>Table13[[#This Row],[Total_Price]]*(1-Table13[[#This Row],[Discount 2]])</f>
        <v>14048479.404999999</v>
      </c>
      <c r="AC232" s="4" t="str" cm="1">
        <f t="array" ref="AC232">_xlfn.IFS(Table13[[#This Row],[Revenue]]&gt;=30000000,"High Value",Table13[[#This Row],[Revenue]]&gt;=10000000,"Moderate Value",TRUE,"Low Value")</f>
        <v>Moderate Value</v>
      </c>
      <c r="AD232" t="str">
        <f>IF(Table13[[#This Row],[Discount 2]]&gt;=5%, "YES", "NO")</f>
        <v>NO</v>
      </c>
      <c r="AE232" t="str" cm="1">
        <f t="array" ref="AE232">_xlfn.IFS(Table13[[#This Row],[Revenue]]&gt;=30000000,"High Spender",Table13[[#This Row],[Revenue]]&gt;=10000000,"Moderate Spender",TRUE,"Low Spender")</f>
        <v>Moderate Spender</v>
      </c>
      <c r="AF232" s="4" t="str" cm="1">
        <f t="array" ref="AF232">_xlfn.IFS(Table13[[#This Row],[Land_Size_SQM]]&gt;=730,"LARGE",Table13[[#This Row],[Land_Size_SQM]]&gt;=465,"MEDIUM",TRUE,"SMALL")</f>
        <v>MEDIUM</v>
      </c>
    </row>
    <row r="233" spans="1:32" x14ac:dyDescent="0.3">
      <c r="A233" t="s">
        <v>474</v>
      </c>
      <c r="B233" t="s">
        <v>551</v>
      </c>
      <c r="C233" t="s">
        <v>626</v>
      </c>
      <c r="D233">
        <v>64</v>
      </c>
      <c r="E233" t="s">
        <v>629</v>
      </c>
      <c r="F233">
        <v>819</v>
      </c>
      <c r="G233" s="4">
        <v>18176</v>
      </c>
      <c r="H233" s="4">
        <v>14886144</v>
      </c>
      <c r="I233" t="s">
        <v>663</v>
      </c>
      <c r="J233" t="s">
        <v>670</v>
      </c>
      <c r="K233" t="s">
        <v>640</v>
      </c>
      <c r="L233" t="s">
        <v>681</v>
      </c>
      <c r="M233" t="s">
        <v>684</v>
      </c>
      <c r="N233" t="s">
        <v>692</v>
      </c>
      <c r="O233" t="s">
        <v>694</v>
      </c>
      <c r="P233" s="4">
        <v>5032430</v>
      </c>
      <c r="Q233">
        <v>24</v>
      </c>
      <c r="R233" s="7">
        <v>5.76</v>
      </c>
      <c r="S233" s="8">
        <f>Table13[[#This Row],[Discount_%]]/100</f>
        <v>5.7599999999999998E-2</v>
      </c>
      <c r="T233" s="6" t="s">
        <v>918</v>
      </c>
      <c r="U233" t="s">
        <v>981</v>
      </c>
      <c r="V233">
        <v>2024</v>
      </c>
      <c r="W233" t="s">
        <v>996</v>
      </c>
      <c r="X233" t="s">
        <v>998</v>
      </c>
      <c r="Y233" t="s">
        <v>1000</v>
      </c>
      <c r="Z233">
        <v>2</v>
      </c>
      <c r="AA233">
        <v>40</v>
      </c>
      <c r="AB233" s="4">
        <f>Table13[[#This Row],[Total_Price]]*(1-Table13[[#This Row],[Discount 2]])</f>
        <v>14028702.105599999</v>
      </c>
      <c r="AC233" s="4" t="str" cm="1">
        <f t="array" ref="AC233">_xlfn.IFS(Table13[[#This Row],[Revenue]]&gt;=30000000,"High Value",Table13[[#This Row],[Revenue]]&gt;=10000000,"Moderate Value",TRUE,"Low Value")</f>
        <v>Moderate Value</v>
      </c>
      <c r="AD233" t="str">
        <f>IF(Table13[[#This Row],[Discount 2]]&gt;=5%, "YES", "NO")</f>
        <v>YES</v>
      </c>
      <c r="AE233" t="str" cm="1">
        <f t="array" ref="AE233">_xlfn.IFS(Table13[[#This Row],[Revenue]]&gt;=30000000,"High Spender",Table13[[#This Row],[Revenue]]&gt;=10000000,"Moderate Spender",TRUE,"Low Spender")</f>
        <v>Moderate Spender</v>
      </c>
      <c r="AF233" s="4" t="str" cm="1">
        <f t="array" ref="AF233">_xlfn.IFS(Table13[[#This Row],[Land_Size_SQM]]&gt;=730,"LARGE",Table13[[#This Row],[Land_Size_SQM]]&gt;=465,"MEDIUM",TRUE,"SMALL")</f>
        <v>LARGE</v>
      </c>
    </row>
    <row r="234" spans="1:32" x14ac:dyDescent="0.3">
      <c r="A234" t="s">
        <v>342</v>
      </c>
      <c r="B234" t="s">
        <v>610</v>
      </c>
      <c r="C234" t="s">
        <v>627</v>
      </c>
      <c r="D234">
        <v>23</v>
      </c>
      <c r="E234" t="s">
        <v>629</v>
      </c>
      <c r="F234">
        <v>306</v>
      </c>
      <c r="G234" s="4">
        <v>46924</v>
      </c>
      <c r="H234" s="4">
        <v>14358744</v>
      </c>
      <c r="I234" t="s">
        <v>663</v>
      </c>
      <c r="J234" t="s">
        <v>670</v>
      </c>
      <c r="K234" t="s">
        <v>675</v>
      </c>
      <c r="L234" t="s">
        <v>682</v>
      </c>
      <c r="M234" t="s">
        <v>683</v>
      </c>
      <c r="N234" t="s">
        <v>692</v>
      </c>
      <c r="O234" t="s">
        <v>694</v>
      </c>
      <c r="P234" s="4">
        <v>3816912</v>
      </c>
      <c r="Q234">
        <v>12</v>
      </c>
      <c r="R234" s="7">
        <v>2.83</v>
      </c>
      <c r="S234" s="8">
        <f>Table13[[#This Row],[Discount_%]]/100</f>
        <v>2.8300000000000002E-2</v>
      </c>
      <c r="T234" s="6" t="s">
        <v>859</v>
      </c>
      <c r="U234" t="s">
        <v>990</v>
      </c>
      <c r="V234">
        <v>2024</v>
      </c>
      <c r="W234" t="s">
        <v>993</v>
      </c>
      <c r="X234" t="s">
        <v>997</v>
      </c>
      <c r="Y234" t="s">
        <v>1000</v>
      </c>
      <c r="Z234">
        <v>1</v>
      </c>
      <c r="AA234">
        <v>39</v>
      </c>
      <c r="AB234" s="4">
        <f>Table13[[#This Row],[Total_Price]]*(1-Table13[[#This Row],[Discount 2]])</f>
        <v>13952391.5448</v>
      </c>
      <c r="AC234" s="4" t="str" cm="1">
        <f t="array" ref="AC234">_xlfn.IFS(Table13[[#This Row],[Revenue]]&gt;=30000000,"High Value",Table13[[#This Row],[Revenue]]&gt;=10000000,"Moderate Value",TRUE,"Low Value")</f>
        <v>Moderate Value</v>
      </c>
      <c r="AD234" t="str">
        <f>IF(Table13[[#This Row],[Discount 2]]&gt;=5%, "YES", "NO")</f>
        <v>NO</v>
      </c>
      <c r="AE234" t="str" cm="1">
        <f t="array" ref="AE234">_xlfn.IFS(Table13[[#This Row],[Revenue]]&gt;=30000000,"High Spender",Table13[[#This Row],[Revenue]]&gt;=10000000,"Moderate Spender",TRUE,"Low Spender")</f>
        <v>Moderate Spender</v>
      </c>
      <c r="AF234" s="4" t="str" cm="1">
        <f t="array" ref="AF234">_xlfn.IFS(Table13[[#This Row],[Land_Size_SQM]]&gt;=730,"LARGE",Table13[[#This Row],[Land_Size_SQM]]&gt;=465,"MEDIUM",TRUE,"SMALL")</f>
        <v>SMALL</v>
      </c>
    </row>
    <row r="235" spans="1:32" x14ac:dyDescent="0.3">
      <c r="A235" t="s">
        <v>116</v>
      </c>
      <c r="B235" t="s">
        <v>580</v>
      </c>
      <c r="C235" t="s">
        <v>626</v>
      </c>
      <c r="D235">
        <v>46</v>
      </c>
      <c r="E235" t="s">
        <v>629</v>
      </c>
      <c r="F235">
        <v>332</v>
      </c>
      <c r="G235" s="4">
        <v>42104</v>
      </c>
      <c r="H235" s="4">
        <v>13978528</v>
      </c>
      <c r="I235" t="s">
        <v>658</v>
      </c>
      <c r="J235" t="s">
        <v>670</v>
      </c>
      <c r="K235" t="s">
        <v>675</v>
      </c>
      <c r="L235" t="s">
        <v>680</v>
      </c>
      <c r="M235" t="s">
        <v>683</v>
      </c>
      <c r="N235" t="s">
        <v>690</v>
      </c>
      <c r="O235" t="s">
        <v>693</v>
      </c>
      <c r="P235" s="4">
        <v>13978528</v>
      </c>
      <c r="Q235">
        <v>0</v>
      </c>
      <c r="R235" s="7">
        <v>0.66</v>
      </c>
      <c r="S235" s="8">
        <f>Table13[[#This Row],[Discount_%]]/100</f>
        <v>6.6E-3</v>
      </c>
      <c r="T235" s="6" t="s">
        <v>774</v>
      </c>
      <c r="U235" t="s">
        <v>991</v>
      </c>
      <c r="V235">
        <v>2024</v>
      </c>
      <c r="W235" t="s">
        <v>993</v>
      </c>
      <c r="X235" t="s">
        <v>998</v>
      </c>
      <c r="Y235" t="s">
        <v>1002</v>
      </c>
      <c r="Z235">
        <v>5</v>
      </c>
      <c r="AA235">
        <v>23</v>
      </c>
      <c r="AB235" s="4">
        <f>Table13[[#This Row],[Total_Price]]*(1-Table13[[#This Row],[Discount 2]])</f>
        <v>13886269.7152</v>
      </c>
      <c r="AC235" s="4" t="str" cm="1">
        <f t="array" ref="AC235">_xlfn.IFS(Table13[[#This Row],[Revenue]]&gt;=30000000,"High Value",Table13[[#This Row],[Revenue]]&gt;=10000000,"Moderate Value",TRUE,"Low Value")</f>
        <v>Moderate Value</v>
      </c>
      <c r="AD235" t="str">
        <f>IF(Table13[[#This Row],[Discount 2]]&gt;=5%, "YES", "NO")</f>
        <v>NO</v>
      </c>
      <c r="AE235" t="str" cm="1">
        <f t="array" ref="AE235">_xlfn.IFS(Table13[[#This Row],[Revenue]]&gt;=30000000,"High Spender",Table13[[#This Row],[Revenue]]&gt;=10000000,"Moderate Spender",TRUE,"Low Spender")</f>
        <v>Moderate Spender</v>
      </c>
      <c r="AF235" s="4" t="str" cm="1">
        <f t="array" ref="AF235">_xlfn.IFS(Table13[[#This Row],[Land_Size_SQM]]&gt;=730,"LARGE",Table13[[#This Row],[Land_Size_SQM]]&gt;=465,"MEDIUM",TRUE,"SMALL")</f>
        <v>SMALL</v>
      </c>
    </row>
    <row r="236" spans="1:32" x14ac:dyDescent="0.3">
      <c r="A236" t="s">
        <v>272</v>
      </c>
      <c r="B236" t="s">
        <v>576</v>
      </c>
      <c r="C236" t="s">
        <v>627</v>
      </c>
      <c r="D236">
        <v>64</v>
      </c>
      <c r="E236" t="s">
        <v>628</v>
      </c>
      <c r="F236">
        <v>337</v>
      </c>
      <c r="G236" s="4">
        <v>43330</v>
      </c>
      <c r="H236" s="4">
        <v>14602210</v>
      </c>
      <c r="I236" t="s">
        <v>632</v>
      </c>
      <c r="J236" t="s">
        <v>669</v>
      </c>
      <c r="K236" t="s">
        <v>678</v>
      </c>
      <c r="L236" t="s">
        <v>680</v>
      </c>
      <c r="M236" t="s">
        <v>683</v>
      </c>
      <c r="N236" t="s">
        <v>690</v>
      </c>
      <c r="O236" t="s">
        <v>694</v>
      </c>
      <c r="P236" s="4">
        <v>4234791</v>
      </c>
      <c r="Q236">
        <v>24</v>
      </c>
      <c r="R236" s="7">
        <v>5.62</v>
      </c>
      <c r="S236" s="8">
        <f>Table13[[#This Row],[Discount_%]]/100</f>
        <v>5.62E-2</v>
      </c>
      <c r="T236" s="6" t="s">
        <v>699</v>
      </c>
      <c r="U236" t="s">
        <v>985</v>
      </c>
      <c r="V236">
        <v>2024</v>
      </c>
      <c r="W236" t="s">
        <v>995</v>
      </c>
      <c r="X236" t="s">
        <v>997</v>
      </c>
      <c r="Y236" t="s">
        <v>1000</v>
      </c>
      <c r="Z236">
        <v>4</v>
      </c>
      <c r="AA236">
        <v>48</v>
      </c>
      <c r="AB236" s="4">
        <f>Table13[[#This Row],[Total_Price]]*(1-Table13[[#This Row],[Discount 2]])</f>
        <v>13781565.798</v>
      </c>
      <c r="AC236" s="4" t="str" cm="1">
        <f t="array" ref="AC236">_xlfn.IFS(Table13[[#This Row],[Revenue]]&gt;=30000000,"High Value",Table13[[#This Row],[Revenue]]&gt;=10000000,"Moderate Value",TRUE,"Low Value")</f>
        <v>Moderate Value</v>
      </c>
      <c r="AD236" t="str">
        <f>IF(Table13[[#This Row],[Discount 2]]&gt;=5%, "YES", "NO")</f>
        <v>YES</v>
      </c>
      <c r="AE236" t="str" cm="1">
        <f t="array" ref="AE236">_xlfn.IFS(Table13[[#This Row],[Revenue]]&gt;=30000000,"High Spender",Table13[[#This Row],[Revenue]]&gt;=10000000,"Moderate Spender",TRUE,"Low Spender")</f>
        <v>Moderate Spender</v>
      </c>
      <c r="AF236" s="4" t="str" cm="1">
        <f t="array" ref="AF236">_xlfn.IFS(Table13[[#This Row],[Land_Size_SQM]]&gt;=730,"LARGE",Table13[[#This Row],[Land_Size_SQM]]&gt;=465,"MEDIUM",TRUE,"SMALL")</f>
        <v>SMALL</v>
      </c>
    </row>
    <row r="237" spans="1:32" x14ac:dyDescent="0.3">
      <c r="A237" t="s">
        <v>317</v>
      </c>
      <c r="B237" t="s">
        <v>546</v>
      </c>
      <c r="C237" t="s">
        <v>627</v>
      </c>
      <c r="D237">
        <v>20</v>
      </c>
      <c r="E237" t="s">
        <v>628</v>
      </c>
      <c r="F237">
        <v>332</v>
      </c>
      <c r="G237" s="4">
        <v>42258</v>
      </c>
      <c r="H237" s="4">
        <v>14029656</v>
      </c>
      <c r="I237" t="s">
        <v>665</v>
      </c>
      <c r="J237" t="s">
        <v>672</v>
      </c>
      <c r="K237" t="s">
        <v>651</v>
      </c>
      <c r="L237" t="s">
        <v>680</v>
      </c>
      <c r="M237" t="s">
        <v>684</v>
      </c>
      <c r="N237" t="s">
        <v>689</v>
      </c>
      <c r="O237" t="s">
        <v>694</v>
      </c>
      <c r="P237" s="4">
        <v>4878832</v>
      </c>
      <c r="Q237">
        <v>24</v>
      </c>
      <c r="R237" s="7">
        <v>1.8</v>
      </c>
      <c r="S237" s="8">
        <f>Table13[[#This Row],[Discount_%]]/100</f>
        <v>1.8000000000000002E-2</v>
      </c>
      <c r="T237" s="6" t="s">
        <v>763</v>
      </c>
      <c r="U237" t="s">
        <v>983</v>
      </c>
      <c r="V237">
        <v>2024</v>
      </c>
      <c r="W237" t="s">
        <v>996</v>
      </c>
      <c r="X237" t="s">
        <v>997</v>
      </c>
      <c r="Y237" t="s">
        <v>1002</v>
      </c>
      <c r="Z237">
        <v>4</v>
      </c>
      <c r="AA237">
        <v>3</v>
      </c>
      <c r="AB237" s="4">
        <f>Table13[[#This Row],[Total_Price]]*(1-Table13[[#This Row],[Discount 2]])</f>
        <v>13777122.192</v>
      </c>
      <c r="AC237" s="4" t="str" cm="1">
        <f t="array" ref="AC237">_xlfn.IFS(Table13[[#This Row],[Revenue]]&gt;=30000000,"High Value",Table13[[#This Row],[Revenue]]&gt;=10000000,"Moderate Value",TRUE,"Low Value")</f>
        <v>Moderate Value</v>
      </c>
      <c r="AD237" t="str">
        <f>IF(Table13[[#This Row],[Discount 2]]&gt;=5%, "YES", "NO")</f>
        <v>NO</v>
      </c>
      <c r="AE237" t="str" cm="1">
        <f t="array" ref="AE237">_xlfn.IFS(Table13[[#This Row],[Revenue]]&gt;=30000000,"High Spender",Table13[[#This Row],[Revenue]]&gt;=10000000,"Moderate Spender",TRUE,"Low Spender")</f>
        <v>Moderate Spender</v>
      </c>
      <c r="AF237" s="4" t="str" cm="1">
        <f t="array" ref="AF237">_xlfn.IFS(Table13[[#This Row],[Land_Size_SQM]]&gt;=730,"LARGE",Table13[[#This Row],[Land_Size_SQM]]&gt;=465,"MEDIUM",TRUE,"SMALL")</f>
        <v>SMALL</v>
      </c>
    </row>
    <row r="238" spans="1:32" x14ac:dyDescent="0.3">
      <c r="A238" t="s">
        <v>348</v>
      </c>
      <c r="B238" t="s">
        <v>550</v>
      </c>
      <c r="C238" t="s">
        <v>626</v>
      </c>
      <c r="D238">
        <v>44</v>
      </c>
      <c r="E238" t="s">
        <v>628</v>
      </c>
      <c r="F238">
        <v>952</v>
      </c>
      <c r="G238" s="4">
        <v>14416</v>
      </c>
      <c r="H238" s="4">
        <v>13724032</v>
      </c>
      <c r="I238" t="s">
        <v>662</v>
      </c>
      <c r="J238" t="s">
        <v>673</v>
      </c>
      <c r="K238" t="s">
        <v>678</v>
      </c>
      <c r="L238" t="s">
        <v>682</v>
      </c>
      <c r="M238" t="s">
        <v>687</v>
      </c>
      <c r="N238" t="s">
        <v>691</v>
      </c>
      <c r="O238" t="s">
        <v>693</v>
      </c>
      <c r="P238" s="4">
        <v>13724032</v>
      </c>
      <c r="Q238">
        <v>0</v>
      </c>
      <c r="R238" s="7">
        <v>0.36</v>
      </c>
      <c r="S238" s="8">
        <f>Table13[[#This Row],[Discount_%]]/100</f>
        <v>3.5999999999999999E-3</v>
      </c>
      <c r="T238" s="6" t="s">
        <v>927</v>
      </c>
      <c r="U238" t="s">
        <v>988</v>
      </c>
      <c r="V238">
        <v>2024</v>
      </c>
      <c r="W238" t="s">
        <v>995</v>
      </c>
      <c r="X238" t="s">
        <v>999</v>
      </c>
      <c r="Y238" t="s">
        <v>1000</v>
      </c>
      <c r="Z238">
        <v>3</v>
      </c>
      <c r="AA238">
        <v>4</v>
      </c>
      <c r="AB238" s="4">
        <f>Table13[[#This Row],[Total_Price]]*(1-Table13[[#This Row],[Discount 2]])</f>
        <v>13674625.4848</v>
      </c>
      <c r="AC238" s="4" t="str" cm="1">
        <f t="array" ref="AC238">_xlfn.IFS(Table13[[#This Row],[Revenue]]&gt;=30000000,"High Value",Table13[[#This Row],[Revenue]]&gt;=10000000,"Moderate Value",TRUE,"Low Value")</f>
        <v>Moderate Value</v>
      </c>
      <c r="AD238" t="str">
        <f>IF(Table13[[#This Row],[Discount 2]]&gt;=5%, "YES", "NO")</f>
        <v>NO</v>
      </c>
      <c r="AE238" t="str" cm="1">
        <f t="array" ref="AE238">_xlfn.IFS(Table13[[#This Row],[Revenue]]&gt;=30000000,"High Spender",Table13[[#This Row],[Revenue]]&gt;=10000000,"Moderate Spender",TRUE,"Low Spender")</f>
        <v>Moderate Spender</v>
      </c>
      <c r="AF238" s="4" t="str" cm="1">
        <f t="array" ref="AF238">_xlfn.IFS(Table13[[#This Row],[Land_Size_SQM]]&gt;=730,"LARGE",Table13[[#This Row],[Land_Size_SQM]]&gt;=465,"MEDIUM",TRUE,"SMALL")</f>
        <v>LARGE</v>
      </c>
    </row>
    <row r="239" spans="1:32" x14ac:dyDescent="0.3">
      <c r="A239" t="s">
        <v>54</v>
      </c>
      <c r="B239" t="s">
        <v>548</v>
      </c>
      <c r="C239" t="s">
        <v>627</v>
      </c>
      <c r="D239">
        <v>59</v>
      </c>
      <c r="E239" t="s">
        <v>629</v>
      </c>
      <c r="F239">
        <v>479</v>
      </c>
      <c r="G239" s="4">
        <v>30562</v>
      </c>
      <c r="H239" s="4">
        <v>14639198</v>
      </c>
      <c r="I239" t="s">
        <v>632</v>
      </c>
      <c r="J239" t="s">
        <v>669</v>
      </c>
      <c r="K239" t="s">
        <v>679</v>
      </c>
      <c r="L239" t="s">
        <v>680</v>
      </c>
      <c r="M239" t="s">
        <v>684</v>
      </c>
      <c r="N239" t="s">
        <v>692</v>
      </c>
      <c r="O239" t="s">
        <v>694</v>
      </c>
      <c r="P239" s="4">
        <v>4635607</v>
      </c>
      <c r="Q239">
        <v>3</v>
      </c>
      <c r="R239" s="7">
        <v>6.69</v>
      </c>
      <c r="S239" s="8">
        <f>Table13[[#This Row],[Discount_%]]/100</f>
        <v>6.6900000000000001E-2</v>
      </c>
      <c r="T239" s="6" t="s">
        <v>722</v>
      </c>
      <c r="U239" t="s">
        <v>991</v>
      </c>
      <c r="V239">
        <v>2024</v>
      </c>
      <c r="W239" t="s">
        <v>993</v>
      </c>
      <c r="X239" t="s">
        <v>999</v>
      </c>
      <c r="Y239" t="s">
        <v>1001</v>
      </c>
      <c r="Z239">
        <v>4</v>
      </c>
      <c r="AA239">
        <v>9</v>
      </c>
      <c r="AB239" s="4">
        <f>Table13[[#This Row],[Total_Price]]*(1-Table13[[#This Row],[Discount 2]])</f>
        <v>13659835.653800001</v>
      </c>
      <c r="AC239" s="4" t="str" cm="1">
        <f t="array" ref="AC239">_xlfn.IFS(Table13[[#This Row],[Revenue]]&gt;=30000000,"High Value",Table13[[#This Row],[Revenue]]&gt;=10000000,"Moderate Value",TRUE,"Low Value")</f>
        <v>Moderate Value</v>
      </c>
      <c r="AD239" t="str">
        <f>IF(Table13[[#This Row],[Discount 2]]&gt;=5%, "YES", "NO")</f>
        <v>YES</v>
      </c>
      <c r="AE239" t="str" cm="1">
        <f t="array" ref="AE239">_xlfn.IFS(Table13[[#This Row],[Revenue]]&gt;=30000000,"High Spender",Table13[[#This Row],[Revenue]]&gt;=10000000,"Moderate Spender",TRUE,"Low Spender")</f>
        <v>Moderate Spender</v>
      </c>
      <c r="AF239" s="4" t="str" cm="1">
        <f t="array" ref="AF239">_xlfn.IFS(Table13[[#This Row],[Land_Size_SQM]]&gt;=730,"LARGE",Table13[[#This Row],[Land_Size_SQM]]&gt;=465,"MEDIUM",TRUE,"SMALL")</f>
        <v>MEDIUM</v>
      </c>
    </row>
    <row r="240" spans="1:32" x14ac:dyDescent="0.3">
      <c r="A240" t="s">
        <v>172</v>
      </c>
      <c r="B240" t="s">
        <v>593</v>
      </c>
      <c r="C240" t="s">
        <v>626</v>
      </c>
      <c r="D240">
        <v>64</v>
      </c>
      <c r="E240" t="s">
        <v>630</v>
      </c>
      <c r="F240">
        <v>345</v>
      </c>
      <c r="G240" s="4">
        <v>39842</v>
      </c>
      <c r="H240" s="4">
        <v>13745490</v>
      </c>
      <c r="I240" t="s">
        <v>633</v>
      </c>
      <c r="J240" t="s">
        <v>668</v>
      </c>
      <c r="K240" t="s">
        <v>678</v>
      </c>
      <c r="L240" t="s">
        <v>681</v>
      </c>
      <c r="M240" t="s">
        <v>684</v>
      </c>
      <c r="N240" t="s">
        <v>690</v>
      </c>
      <c r="O240" t="s">
        <v>694</v>
      </c>
      <c r="P240" s="4">
        <v>4296176</v>
      </c>
      <c r="Q240">
        <v>24</v>
      </c>
      <c r="R240" s="7">
        <v>0.76</v>
      </c>
      <c r="S240" s="8">
        <f>Table13[[#This Row],[Discount_%]]/100</f>
        <v>7.6E-3</v>
      </c>
      <c r="T240" s="6" t="s">
        <v>811</v>
      </c>
      <c r="U240" t="s">
        <v>981</v>
      </c>
      <c r="V240">
        <v>2024</v>
      </c>
      <c r="W240" t="s">
        <v>993</v>
      </c>
      <c r="X240" t="s">
        <v>997</v>
      </c>
      <c r="Y240" t="s">
        <v>1000</v>
      </c>
      <c r="Z240">
        <v>4</v>
      </c>
      <c r="AA240">
        <v>41</v>
      </c>
      <c r="AB240" s="4">
        <f>Table13[[#This Row],[Total_Price]]*(1-Table13[[#This Row],[Discount 2]])</f>
        <v>13641024.275999999</v>
      </c>
      <c r="AC240" s="4" t="str" cm="1">
        <f t="array" ref="AC240">_xlfn.IFS(Table13[[#This Row],[Revenue]]&gt;=30000000,"High Value",Table13[[#This Row],[Revenue]]&gt;=10000000,"Moderate Value",TRUE,"Low Value")</f>
        <v>Moderate Value</v>
      </c>
      <c r="AD240" t="str">
        <f>IF(Table13[[#This Row],[Discount 2]]&gt;=5%, "YES", "NO")</f>
        <v>NO</v>
      </c>
      <c r="AE240" t="str" cm="1">
        <f t="array" ref="AE240">_xlfn.IFS(Table13[[#This Row],[Revenue]]&gt;=30000000,"High Spender",Table13[[#This Row],[Revenue]]&gt;=10000000,"Moderate Spender",TRUE,"Low Spender")</f>
        <v>Moderate Spender</v>
      </c>
      <c r="AF240" s="4" t="str" cm="1">
        <f t="array" ref="AF240">_xlfn.IFS(Table13[[#This Row],[Land_Size_SQM]]&gt;=730,"LARGE",Table13[[#This Row],[Land_Size_SQM]]&gt;=465,"MEDIUM",TRUE,"SMALL")</f>
        <v>SMALL</v>
      </c>
    </row>
    <row r="241" spans="1:32" x14ac:dyDescent="0.3">
      <c r="A241" t="s">
        <v>378</v>
      </c>
      <c r="B241" t="s">
        <v>565</v>
      </c>
      <c r="C241" t="s">
        <v>627</v>
      </c>
      <c r="D241">
        <v>52</v>
      </c>
      <c r="E241" t="s">
        <v>628</v>
      </c>
      <c r="F241">
        <v>730</v>
      </c>
      <c r="G241" s="4">
        <v>20442</v>
      </c>
      <c r="H241" s="4">
        <v>14922660</v>
      </c>
      <c r="I241" t="s">
        <v>649</v>
      </c>
      <c r="J241" t="s">
        <v>669</v>
      </c>
      <c r="K241" t="s">
        <v>638</v>
      </c>
      <c r="L241" t="s">
        <v>680</v>
      </c>
      <c r="M241" t="s">
        <v>686</v>
      </c>
      <c r="N241" t="s">
        <v>692</v>
      </c>
      <c r="O241" t="s">
        <v>694</v>
      </c>
      <c r="P241" s="4">
        <v>4828948</v>
      </c>
      <c r="Q241">
        <v>24</v>
      </c>
      <c r="R241" s="7">
        <v>9.2100000000000009</v>
      </c>
      <c r="S241" s="8">
        <f>Table13[[#This Row],[Discount_%]]/100</f>
        <v>9.2100000000000015E-2</v>
      </c>
      <c r="T241" s="6" t="s">
        <v>941</v>
      </c>
      <c r="U241" t="s">
        <v>987</v>
      </c>
      <c r="V241">
        <v>2024</v>
      </c>
      <c r="W241" t="s">
        <v>993</v>
      </c>
      <c r="X241" t="s">
        <v>998</v>
      </c>
      <c r="Y241" t="s">
        <v>1002</v>
      </c>
      <c r="Z241">
        <v>1</v>
      </c>
      <c r="AA241">
        <v>8</v>
      </c>
      <c r="AB241" s="4">
        <f>Table13[[#This Row],[Total_Price]]*(1-Table13[[#This Row],[Discount 2]])</f>
        <v>13548283.013999999</v>
      </c>
      <c r="AC241" s="4" t="str" cm="1">
        <f t="array" ref="AC241">_xlfn.IFS(Table13[[#This Row],[Revenue]]&gt;=30000000,"High Value",Table13[[#This Row],[Revenue]]&gt;=10000000,"Moderate Value",TRUE,"Low Value")</f>
        <v>Moderate Value</v>
      </c>
      <c r="AD241" t="str">
        <f>IF(Table13[[#This Row],[Discount 2]]&gt;=5%, "YES", "NO")</f>
        <v>YES</v>
      </c>
      <c r="AE241" t="str" cm="1">
        <f t="array" ref="AE241">_xlfn.IFS(Table13[[#This Row],[Revenue]]&gt;=30000000,"High Spender",Table13[[#This Row],[Revenue]]&gt;=10000000,"Moderate Spender",TRUE,"Low Spender")</f>
        <v>Moderate Spender</v>
      </c>
      <c r="AF241" s="4" t="str" cm="1">
        <f t="array" ref="AF241">_xlfn.IFS(Table13[[#This Row],[Land_Size_SQM]]&gt;=730,"LARGE",Table13[[#This Row],[Land_Size_SQM]]&gt;=465,"MEDIUM",TRUE,"SMALL")</f>
        <v>LARGE</v>
      </c>
    </row>
    <row r="242" spans="1:32" x14ac:dyDescent="0.3">
      <c r="A242" t="s">
        <v>216</v>
      </c>
      <c r="B242" t="s">
        <v>600</v>
      </c>
      <c r="C242" t="s">
        <v>626</v>
      </c>
      <c r="D242">
        <v>36</v>
      </c>
      <c r="E242" t="s">
        <v>629</v>
      </c>
      <c r="F242">
        <v>981</v>
      </c>
      <c r="G242" s="4">
        <v>13997</v>
      </c>
      <c r="H242" s="4">
        <v>13731057</v>
      </c>
      <c r="I242" t="s">
        <v>635</v>
      </c>
      <c r="J242" t="s">
        <v>668</v>
      </c>
      <c r="K242" t="s">
        <v>675</v>
      </c>
      <c r="L242" t="s">
        <v>681</v>
      </c>
      <c r="M242" t="s">
        <v>684</v>
      </c>
      <c r="N242" t="s">
        <v>689</v>
      </c>
      <c r="O242" t="s">
        <v>694</v>
      </c>
      <c r="P242" s="4">
        <v>3661744</v>
      </c>
      <c r="Q242">
        <v>3</v>
      </c>
      <c r="R242" s="7">
        <v>2.23</v>
      </c>
      <c r="S242" s="8">
        <f>Table13[[#This Row],[Discount_%]]/100</f>
        <v>2.23E-2</v>
      </c>
      <c r="T242" s="6" t="s">
        <v>800</v>
      </c>
      <c r="U242" t="s">
        <v>982</v>
      </c>
      <c r="V242">
        <v>2024</v>
      </c>
      <c r="W242" t="s">
        <v>995</v>
      </c>
      <c r="X242" t="s">
        <v>999</v>
      </c>
      <c r="Y242" t="s">
        <v>1001</v>
      </c>
      <c r="Z242">
        <v>5</v>
      </c>
      <c r="AA242">
        <v>38</v>
      </c>
      <c r="AB242" s="4">
        <f>Table13[[#This Row],[Total_Price]]*(1-Table13[[#This Row],[Discount 2]])</f>
        <v>13424854.4289</v>
      </c>
      <c r="AC242" s="4" t="str" cm="1">
        <f t="array" ref="AC242">_xlfn.IFS(Table13[[#This Row],[Revenue]]&gt;=30000000,"High Value",Table13[[#This Row],[Revenue]]&gt;=10000000,"Moderate Value",TRUE,"Low Value")</f>
        <v>Moderate Value</v>
      </c>
      <c r="AD242" t="str">
        <f>IF(Table13[[#This Row],[Discount 2]]&gt;=5%, "YES", "NO")</f>
        <v>NO</v>
      </c>
      <c r="AE242" t="str" cm="1">
        <f t="array" ref="AE242">_xlfn.IFS(Table13[[#This Row],[Revenue]]&gt;=30000000,"High Spender",Table13[[#This Row],[Revenue]]&gt;=10000000,"Moderate Spender",TRUE,"Low Spender")</f>
        <v>Moderate Spender</v>
      </c>
      <c r="AF242" s="4" t="str" cm="1">
        <f t="array" ref="AF242">_xlfn.IFS(Table13[[#This Row],[Land_Size_SQM]]&gt;=730,"LARGE",Table13[[#This Row],[Land_Size_SQM]]&gt;=465,"MEDIUM",TRUE,"SMALL")</f>
        <v>LARGE</v>
      </c>
    </row>
    <row r="243" spans="1:32" x14ac:dyDescent="0.3">
      <c r="A243" t="s">
        <v>523</v>
      </c>
      <c r="B243" t="s">
        <v>534</v>
      </c>
      <c r="C243" t="s">
        <v>626</v>
      </c>
      <c r="D243">
        <v>47</v>
      </c>
      <c r="E243" t="s">
        <v>628</v>
      </c>
      <c r="F243">
        <v>386</v>
      </c>
      <c r="G243" s="4">
        <v>37155</v>
      </c>
      <c r="H243" s="4">
        <v>14341830</v>
      </c>
      <c r="I243" t="s">
        <v>657</v>
      </c>
      <c r="J243" t="s">
        <v>671</v>
      </c>
      <c r="K243" t="s">
        <v>640</v>
      </c>
      <c r="L243" t="s">
        <v>681</v>
      </c>
      <c r="M243" t="s">
        <v>683</v>
      </c>
      <c r="N243" t="s">
        <v>689</v>
      </c>
      <c r="O243" t="s">
        <v>694</v>
      </c>
      <c r="P243" s="4">
        <v>7125176</v>
      </c>
      <c r="Q243">
        <v>3</v>
      </c>
      <c r="R243" s="7">
        <v>6.56</v>
      </c>
      <c r="S243" s="8">
        <f>Table13[[#This Row],[Discount_%]]/100</f>
        <v>6.5599999999999992E-2</v>
      </c>
      <c r="T243" s="6" t="s">
        <v>955</v>
      </c>
      <c r="U243" t="s">
        <v>989</v>
      </c>
      <c r="V243">
        <v>2024</v>
      </c>
      <c r="W243" t="s">
        <v>996</v>
      </c>
      <c r="X243" t="s">
        <v>998</v>
      </c>
      <c r="Y243" t="s">
        <v>1000</v>
      </c>
      <c r="Z243">
        <v>2</v>
      </c>
      <c r="AA243">
        <v>26</v>
      </c>
      <c r="AB243" s="4">
        <f>Table13[[#This Row],[Total_Price]]*(1-Table13[[#This Row],[Discount 2]])</f>
        <v>13401005.952</v>
      </c>
      <c r="AC243" s="4" t="str" cm="1">
        <f t="array" ref="AC243">_xlfn.IFS(Table13[[#This Row],[Revenue]]&gt;=30000000,"High Value",Table13[[#This Row],[Revenue]]&gt;=10000000,"Moderate Value",TRUE,"Low Value")</f>
        <v>Moderate Value</v>
      </c>
      <c r="AD243" t="str">
        <f>IF(Table13[[#This Row],[Discount 2]]&gt;=5%, "YES", "NO")</f>
        <v>YES</v>
      </c>
      <c r="AE243" t="str" cm="1">
        <f t="array" ref="AE243">_xlfn.IFS(Table13[[#This Row],[Revenue]]&gt;=30000000,"High Spender",Table13[[#This Row],[Revenue]]&gt;=10000000,"Moderate Spender",TRUE,"Low Spender")</f>
        <v>Moderate Spender</v>
      </c>
      <c r="AF243" s="4" t="str" cm="1">
        <f t="array" ref="AF243">_xlfn.IFS(Table13[[#This Row],[Land_Size_SQM]]&gt;=730,"LARGE",Table13[[#This Row],[Land_Size_SQM]]&gt;=465,"MEDIUM",TRUE,"SMALL")</f>
        <v>SMALL</v>
      </c>
    </row>
    <row r="244" spans="1:32" x14ac:dyDescent="0.3">
      <c r="A244" t="s">
        <v>53</v>
      </c>
      <c r="B244" t="s">
        <v>547</v>
      </c>
      <c r="C244" t="s">
        <v>626</v>
      </c>
      <c r="D244">
        <v>50</v>
      </c>
      <c r="E244" t="s">
        <v>628</v>
      </c>
      <c r="F244">
        <v>617</v>
      </c>
      <c r="G244" s="4">
        <v>23684</v>
      </c>
      <c r="H244" s="4">
        <v>14613028</v>
      </c>
      <c r="I244" t="s">
        <v>649</v>
      </c>
      <c r="J244" t="s">
        <v>669</v>
      </c>
      <c r="K244" t="s">
        <v>640</v>
      </c>
      <c r="L244" t="s">
        <v>681</v>
      </c>
      <c r="M244" t="s">
        <v>687</v>
      </c>
      <c r="N244" t="s">
        <v>691</v>
      </c>
      <c r="O244" t="s">
        <v>694</v>
      </c>
      <c r="P244" s="4">
        <v>3195573</v>
      </c>
      <c r="Q244">
        <v>24</v>
      </c>
      <c r="R244" s="7">
        <v>8.33</v>
      </c>
      <c r="S244" s="8">
        <f>Table13[[#This Row],[Discount_%]]/100</f>
        <v>8.3299999999999999E-2</v>
      </c>
      <c r="T244" s="6" t="s">
        <v>721</v>
      </c>
      <c r="U244" t="s">
        <v>991</v>
      </c>
      <c r="V244">
        <v>2024</v>
      </c>
      <c r="W244" t="s">
        <v>995</v>
      </c>
      <c r="X244" t="s">
        <v>997</v>
      </c>
      <c r="Y244" t="s">
        <v>1001</v>
      </c>
      <c r="Z244">
        <v>5</v>
      </c>
      <c r="AA244">
        <v>39</v>
      </c>
      <c r="AB244" s="4">
        <f>Table13[[#This Row],[Total_Price]]*(1-Table13[[#This Row],[Discount 2]])</f>
        <v>13395762.7676</v>
      </c>
      <c r="AC244" s="4" t="str" cm="1">
        <f t="array" ref="AC244">_xlfn.IFS(Table13[[#This Row],[Revenue]]&gt;=30000000,"High Value",Table13[[#This Row],[Revenue]]&gt;=10000000,"Moderate Value",TRUE,"Low Value")</f>
        <v>Moderate Value</v>
      </c>
      <c r="AD244" t="str">
        <f>IF(Table13[[#This Row],[Discount 2]]&gt;=5%, "YES", "NO")</f>
        <v>YES</v>
      </c>
      <c r="AE244" t="str" cm="1">
        <f t="array" ref="AE244">_xlfn.IFS(Table13[[#This Row],[Revenue]]&gt;=30000000,"High Spender",Table13[[#This Row],[Revenue]]&gt;=10000000,"Moderate Spender",TRUE,"Low Spender")</f>
        <v>Moderate Spender</v>
      </c>
      <c r="AF244" s="4" t="str" cm="1">
        <f t="array" ref="AF244">_xlfn.IFS(Table13[[#This Row],[Land_Size_SQM]]&gt;=730,"LARGE",Table13[[#This Row],[Land_Size_SQM]]&gt;=465,"MEDIUM",TRUE,"SMALL")</f>
        <v>MEDIUM</v>
      </c>
    </row>
    <row r="245" spans="1:32" x14ac:dyDescent="0.3">
      <c r="A245" t="s">
        <v>375</v>
      </c>
      <c r="B245" t="s">
        <v>607</v>
      </c>
      <c r="C245" t="s">
        <v>627</v>
      </c>
      <c r="D245">
        <v>37</v>
      </c>
      <c r="E245" t="s">
        <v>630</v>
      </c>
      <c r="F245">
        <v>327</v>
      </c>
      <c r="G245" s="4">
        <v>44848</v>
      </c>
      <c r="H245" s="4">
        <v>14665296</v>
      </c>
      <c r="I245" t="s">
        <v>657</v>
      </c>
      <c r="J245" t="s">
        <v>671</v>
      </c>
      <c r="K245" t="s">
        <v>678</v>
      </c>
      <c r="L245" t="s">
        <v>680</v>
      </c>
      <c r="M245" t="s">
        <v>686</v>
      </c>
      <c r="N245" t="s">
        <v>690</v>
      </c>
      <c r="O245" t="s">
        <v>694</v>
      </c>
      <c r="P245" s="4">
        <v>3722224</v>
      </c>
      <c r="Q245">
        <v>24</v>
      </c>
      <c r="R245" s="7">
        <v>9.07</v>
      </c>
      <c r="S245" s="8">
        <f>Table13[[#This Row],[Discount_%]]/100</f>
        <v>9.0700000000000003E-2</v>
      </c>
      <c r="T245" s="6" t="s">
        <v>824</v>
      </c>
      <c r="U245" t="s">
        <v>983</v>
      </c>
      <c r="V245">
        <v>2024</v>
      </c>
      <c r="W245" t="s">
        <v>995</v>
      </c>
      <c r="X245" t="s">
        <v>997</v>
      </c>
      <c r="Y245" t="s">
        <v>1002</v>
      </c>
      <c r="Z245">
        <v>3</v>
      </c>
      <c r="AA245">
        <v>41</v>
      </c>
      <c r="AB245" s="4">
        <f>Table13[[#This Row],[Total_Price]]*(1-Table13[[#This Row],[Discount 2]])</f>
        <v>13335153.652799999</v>
      </c>
      <c r="AC245" s="4" t="str" cm="1">
        <f t="array" ref="AC245">_xlfn.IFS(Table13[[#This Row],[Revenue]]&gt;=30000000,"High Value",Table13[[#This Row],[Revenue]]&gt;=10000000,"Moderate Value",TRUE,"Low Value")</f>
        <v>Moderate Value</v>
      </c>
      <c r="AD245" t="str">
        <f>IF(Table13[[#This Row],[Discount 2]]&gt;=5%, "YES", "NO")</f>
        <v>YES</v>
      </c>
      <c r="AE245" t="str" cm="1">
        <f t="array" ref="AE245">_xlfn.IFS(Table13[[#This Row],[Revenue]]&gt;=30000000,"High Spender",Table13[[#This Row],[Revenue]]&gt;=10000000,"Moderate Spender",TRUE,"Low Spender")</f>
        <v>Moderate Spender</v>
      </c>
      <c r="AF245" s="4" t="str" cm="1">
        <f t="array" ref="AF245">_xlfn.IFS(Table13[[#This Row],[Land_Size_SQM]]&gt;=730,"LARGE",Table13[[#This Row],[Land_Size_SQM]]&gt;=465,"MEDIUM",TRUE,"SMALL")</f>
        <v>SMALL</v>
      </c>
    </row>
    <row r="246" spans="1:32" x14ac:dyDescent="0.3">
      <c r="A246" t="s">
        <v>450</v>
      </c>
      <c r="B246" t="s">
        <v>573</v>
      </c>
      <c r="C246" t="s">
        <v>627</v>
      </c>
      <c r="D246">
        <v>24</v>
      </c>
      <c r="E246" t="s">
        <v>629</v>
      </c>
      <c r="F246">
        <v>374</v>
      </c>
      <c r="G246" s="4">
        <v>38161</v>
      </c>
      <c r="H246" s="4">
        <v>14272214</v>
      </c>
      <c r="I246" t="s">
        <v>665</v>
      </c>
      <c r="J246" t="s">
        <v>672</v>
      </c>
      <c r="K246" t="s">
        <v>678</v>
      </c>
      <c r="L246" t="s">
        <v>680</v>
      </c>
      <c r="M246" t="s">
        <v>685</v>
      </c>
      <c r="N246" t="s">
        <v>688</v>
      </c>
      <c r="O246" t="s">
        <v>693</v>
      </c>
      <c r="P246" s="4">
        <v>14272214</v>
      </c>
      <c r="Q246">
        <v>0</v>
      </c>
      <c r="R246" s="7">
        <v>6.6</v>
      </c>
      <c r="S246" s="8">
        <f>Table13[[#This Row],[Discount_%]]/100</f>
        <v>6.6000000000000003E-2</v>
      </c>
      <c r="T246" s="6" t="s">
        <v>894</v>
      </c>
      <c r="U246" t="s">
        <v>985</v>
      </c>
      <c r="V246">
        <v>2024</v>
      </c>
      <c r="W246" t="s">
        <v>994</v>
      </c>
      <c r="X246" t="s">
        <v>997</v>
      </c>
      <c r="Y246" t="s">
        <v>1000</v>
      </c>
      <c r="Z246">
        <v>5</v>
      </c>
      <c r="AA246">
        <v>47</v>
      </c>
      <c r="AB246" s="4">
        <f>Table13[[#This Row],[Total_Price]]*(1-Table13[[#This Row],[Discount 2]])</f>
        <v>13330247.875999998</v>
      </c>
      <c r="AC246" s="4" t="str" cm="1">
        <f t="array" ref="AC246">_xlfn.IFS(Table13[[#This Row],[Revenue]]&gt;=30000000,"High Value",Table13[[#This Row],[Revenue]]&gt;=10000000,"Moderate Value",TRUE,"Low Value")</f>
        <v>Moderate Value</v>
      </c>
      <c r="AD246" t="str">
        <f>IF(Table13[[#This Row],[Discount 2]]&gt;=5%, "YES", "NO")</f>
        <v>YES</v>
      </c>
      <c r="AE246" t="str" cm="1">
        <f t="array" ref="AE246">_xlfn.IFS(Table13[[#This Row],[Revenue]]&gt;=30000000,"High Spender",Table13[[#This Row],[Revenue]]&gt;=10000000,"Moderate Spender",TRUE,"Low Spender")</f>
        <v>Moderate Spender</v>
      </c>
      <c r="AF246" s="4" t="str" cm="1">
        <f t="array" ref="AF246">_xlfn.IFS(Table13[[#This Row],[Land_Size_SQM]]&gt;=730,"LARGE",Table13[[#This Row],[Land_Size_SQM]]&gt;=465,"MEDIUM",TRUE,"SMALL")</f>
        <v>SMALL</v>
      </c>
    </row>
    <row r="247" spans="1:32" x14ac:dyDescent="0.3">
      <c r="A247" t="s">
        <v>515</v>
      </c>
      <c r="B247" t="s">
        <v>541</v>
      </c>
      <c r="C247" t="s">
        <v>627</v>
      </c>
      <c r="D247">
        <v>44</v>
      </c>
      <c r="E247" t="s">
        <v>628</v>
      </c>
      <c r="F247">
        <v>571</v>
      </c>
      <c r="G247" s="4">
        <v>23857</v>
      </c>
      <c r="H247" s="4">
        <v>13622347</v>
      </c>
      <c r="I247" t="s">
        <v>646</v>
      </c>
      <c r="J247" t="s">
        <v>673</v>
      </c>
      <c r="K247" t="s">
        <v>676</v>
      </c>
      <c r="L247" t="s">
        <v>680</v>
      </c>
      <c r="M247" t="s">
        <v>683</v>
      </c>
      <c r="N247" t="s">
        <v>692</v>
      </c>
      <c r="O247" t="s">
        <v>694</v>
      </c>
      <c r="P247" s="4">
        <v>6275224</v>
      </c>
      <c r="Q247">
        <v>6</v>
      </c>
      <c r="R247" s="7">
        <v>2.2599999999999998</v>
      </c>
      <c r="S247" s="8">
        <f>Table13[[#This Row],[Discount_%]]/100</f>
        <v>2.2599999999999999E-2</v>
      </c>
      <c r="T247" s="6" t="s">
        <v>980</v>
      </c>
      <c r="U247" t="s">
        <v>988</v>
      </c>
      <c r="V247">
        <v>2024</v>
      </c>
      <c r="W247" t="s">
        <v>994</v>
      </c>
      <c r="X247" t="s">
        <v>997</v>
      </c>
      <c r="Y247" t="s">
        <v>1002</v>
      </c>
      <c r="Z247">
        <v>1</v>
      </c>
      <c r="AA247">
        <v>34</v>
      </c>
      <c r="AB247" s="4">
        <f>Table13[[#This Row],[Total_Price]]*(1-Table13[[#This Row],[Discount 2]])</f>
        <v>13314481.957800001</v>
      </c>
      <c r="AC247" s="4" t="str" cm="1">
        <f t="array" ref="AC247">_xlfn.IFS(Table13[[#This Row],[Revenue]]&gt;=30000000,"High Value",Table13[[#This Row],[Revenue]]&gt;=10000000,"Moderate Value",TRUE,"Low Value")</f>
        <v>Moderate Value</v>
      </c>
      <c r="AD247" t="str">
        <f>IF(Table13[[#This Row],[Discount 2]]&gt;=5%, "YES", "NO")</f>
        <v>NO</v>
      </c>
      <c r="AE247" t="str" cm="1">
        <f t="array" ref="AE247">_xlfn.IFS(Table13[[#This Row],[Revenue]]&gt;=30000000,"High Spender",Table13[[#This Row],[Revenue]]&gt;=10000000,"Moderate Spender",TRUE,"Low Spender")</f>
        <v>Moderate Spender</v>
      </c>
      <c r="AF247" s="4" t="str" cm="1">
        <f t="array" ref="AF247">_xlfn.IFS(Table13[[#This Row],[Land_Size_SQM]]&gt;=730,"LARGE",Table13[[#This Row],[Land_Size_SQM]]&gt;=465,"MEDIUM",TRUE,"SMALL")</f>
        <v>MEDIUM</v>
      </c>
    </row>
    <row r="248" spans="1:32" x14ac:dyDescent="0.3">
      <c r="A248" t="s">
        <v>155</v>
      </c>
      <c r="B248" t="s">
        <v>594</v>
      </c>
      <c r="C248" t="s">
        <v>626</v>
      </c>
      <c r="D248">
        <v>26</v>
      </c>
      <c r="E248" t="s">
        <v>628</v>
      </c>
      <c r="F248">
        <v>524</v>
      </c>
      <c r="G248" s="4">
        <v>25638</v>
      </c>
      <c r="H248" s="4">
        <v>13434312</v>
      </c>
      <c r="I248" t="s">
        <v>653</v>
      </c>
      <c r="J248" t="s">
        <v>668</v>
      </c>
      <c r="K248" t="s">
        <v>640</v>
      </c>
      <c r="L248" t="s">
        <v>680</v>
      </c>
      <c r="M248" t="s">
        <v>683</v>
      </c>
      <c r="N248" t="s">
        <v>691</v>
      </c>
      <c r="O248" t="s">
        <v>693</v>
      </c>
      <c r="P248" s="4">
        <v>13434312</v>
      </c>
      <c r="Q248">
        <v>0</v>
      </c>
      <c r="R248" s="7">
        <v>0.92</v>
      </c>
      <c r="S248" s="8">
        <f>Table13[[#This Row],[Discount_%]]/100</f>
        <v>9.1999999999999998E-3</v>
      </c>
      <c r="T248" s="6" t="s">
        <v>800</v>
      </c>
      <c r="U248" t="s">
        <v>982</v>
      </c>
      <c r="V248">
        <v>2024</v>
      </c>
      <c r="W248" t="s">
        <v>995</v>
      </c>
      <c r="X248" t="s">
        <v>997</v>
      </c>
      <c r="Y248" t="s">
        <v>1001</v>
      </c>
      <c r="Z248">
        <v>5</v>
      </c>
      <c r="AA248">
        <v>27</v>
      </c>
      <c r="AB248" s="4">
        <f>Table13[[#This Row],[Total_Price]]*(1-Table13[[#This Row],[Discount 2]])</f>
        <v>13310716.329600001</v>
      </c>
      <c r="AC248" s="4" t="str" cm="1">
        <f t="array" ref="AC248">_xlfn.IFS(Table13[[#This Row],[Revenue]]&gt;=30000000,"High Value",Table13[[#This Row],[Revenue]]&gt;=10000000,"Moderate Value",TRUE,"Low Value")</f>
        <v>Moderate Value</v>
      </c>
      <c r="AD248" t="str">
        <f>IF(Table13[[#This Row],[Discount 2]]&gt;=5%, "YES", "NO")</f>
        <v>NO</v>
      </c>
      <c r="AE248" t="str" cm="1">
        <f t="array" ref="AE248">_xlfn.IFS(Table13[[#This Row],[Revenue]]&gt;=30000000,"High Spender",Table13[[#This Row],[Revenue]]&gt;=10000000,"Moderate Spender",TRUE,"Low Spender")</f>
        <v>Moderate Spender</v>
      </c>
      <c r="AF248" s="4" t="str" cm="1">
        <f t="array" ref="AF248">_xlfn.IFS(Table13[[#This Row],[Land_Size_SQM]]&gt;=730,"LARGE",Table13[[#This Row],[Land_Size_SQM]]&gt;=465,"MEDIUM",TRUE,"SMALL")</f>
        <v>MEDIUM</v>
      </c>
    </row>
    <row r="249" spans="1:32" x14ac:dyDescent="0.3">
      <c r="A249" t="s">
        <v>96</v>
      </c>
      <c r="B249" t="s">
        <v>540</v>
      </c>
      <c r="C249" t="s">
        <v>627</v>
      </c>
      <c r="D249">
        <v>42</v>
      </c>
      <c r="E249" t="s">
        <v>630</v>
      </c>
      <c r="F249">
        <v>605</v>
      </c>
      <c r="G249" s="4">
        <v>22334</v>
      </c>
      <c r="H249" s="4">
        <v>13512070</v>
      </c>
      <c r="I249" t="s">
        <v>647</v>
      </c>
      <c r="J249" t="s">
        <v>670</v>
      </c>
      <c r="K249" t="s">
        <v>676</v>
      </c>
      <c r="L249" t="s">
        <v>682</v>
      </c>
      <c r="M249" t="s">
        <v>683</v>
      </c>
      <c r="N249" t="s">
        <v>688</v>
      </c>
      <c r="O249" t="s">
        <v>694</v>
      </c>
      <c r="P249" s="4">
        <v>4052548</v>
      </c>
      <c r="Q249">
        <v>6</v>
      </c>
      <c r="R249" s="7">
        <v>1.68</v>
      </c>
      <c r="S249" s="8">
        <f>Table13[[#This Row],[Discount_%]]/100</f>
        <v>1.6799999999999999E-2</v>
      </c>
      <c r="T249" s="6" t="s">
        <v>759</v>
      </c>
      <c r="U249" t="s">
        <v>986</v>
      </c>
      <c r="V249">
        <v>2024</v>
      </c>
      <c r="W249" t="s">
        <v>993</v>
      </c>
      <c r="X249" t="s">
        <v>999</v>
      </c>
      <c r="Y249" t="s">
        <v>1002</v>
      </c>
      <c r="Z249">
        <v>2</v>
      </c>
      <c r="AA249">
        <v>12</v>
      </c>
      <c r="AB249" s="4">
        <f>Table13[[#This Row],[Total_Price]]*(1-Table13[[#This Row],[Discount 2]])</f>
        <v>13285067.223999999</v>
      </c>
      <c r="AC249" s="4" t="str" cm="1">
        <f t="array" ref="AC249">_xlfn.IFS(Table13[[#This Row],[Revenue]]&gt;=30000000,"High Value",Table13[[#This Row],[Revenue]]&gt;=10000000,"Moderate Value",TRUE,"Low Value")</f>
        <v>Moderate Value</v>
      </c>
      <c r="AD249" t="str">
        <f>IF(Table13[[#This Row],[Discount 2]]&gt;=5%, "YES", "NO")</f>
        <v>NO</v>
      </c>
      <c r="AE249" t="str" cm="1">
        <f t="array" ref="AE249">_xlfn.IFS(Table13[[#This Row],[Revenue]]&gt;=30000000,"High Spender",Table13[[#This Row],[Revenue]]&gt;=10000000,"Moderate Spender",TRUE,"Low Spender")</f>
        <v>Moderate Spender</v>
      </c>
      <c r="AF249" s="4" t="str" cm="1">
        <f t="array" ref="AF249">_xlfn.IFS(Table13[[#This Row],[Land_Size_SQM]]&gt;=730,"LARGE",Table13[[#This Row],[Land_Size_SQM]]&gt;=465,"MEDIUM",TRUE,"SMALL")</f>
        <v>MEDIUM</v>
      </c>
    </row>
    <row r="250" spans="1:32" x14ac:dyDescent="0.3">
      <c r="A250" t="s">
        <v>270</v>
      </c>
      <c r="B250" t="s">
        <v>567</v>
      </c>
      <c r="C250" t="s">
        <v>626</v>
      </c>
      <c r="D250">
        <v>35</v>
      </c>
      <c r="E250" t="s">
        <v>630</v>
      </c>
      <c r="F250">
        <v>890</v>
      </c>
      <c r="G250" s="4">
        <v>15811</v>
      </c>
      <c r="H250" s="4">
        <v>14071790</v>
      </c>
      <c r="I250" t="s">
        <v>631</v>
      </c>
      <c r="J250" t="s">
        <v>668</v>
      </c>
      <c r="K250" t="s">
        <v>664</v>
      </c>
      <c r="L250" t="s">
        <v>681</v>
      </c>
      <c r="M250" t="s">
        <v>686</v>
      </c>
      <c r="N250" t="s">
        <v>690</v>
      </c>
      <c r="O250" t="s">
        <v>694</v>
      </c>
      <c r="P250" s="4">
        <v>4188199</v>
      </c>
      <c r="Q250">
        <v>3</v>
      </c>
      <c r="R250" s="7">
        <v>6.13</v>
      </c>
      <c r="S250" s="8">
        <f>Table13[[#This Row],[Discount_%]]/100</f>
        <v>6.13E-2</v>
      </c>
      <c r="T250" s="6" t="s">
        <v>873</v>
      </c>
      <c r="U250" t="s">
        <v>992</v>
      </c>
      <c r="V250">
        <v>2024</v>
      </c>
      <c r="W250" t="s">
        <v>994</v>
      </c>
      <c r="X250" t="s">
        <v>999</v>
      </c>
      <c r="Y250" t="s">
        <v>1002</v>
      </c>
      <c r="Z250">
        <v>4</v>
      </c>
      <c r="AA250">
        <v>14</v>
      </c>
      <c r="AB250" s="4">
        <f>Table13[[#This Row],[Total_Price]]*(1-Table13[[#This Row],[Discount 2]])</f>
        <v>13209189.273</v>
      </c>
      <c r="AC250" s="4" t="str" cm="1">
        <f t="array" ref="AC250">_xlfn.IFS(Table13[[#This Row],[Revenue]]&gt;=30000000,"High Value",Table13[[#This Row],[Revenue]]&gt;=10000000,"Moderate Value",TRUE,"Low Value")</f>
        <v>Moderate Value</v>
      </c>
      <c r="AD250" t="str">
        <f>IF(Table13[[#This Row],[Discount 2]]&gt;=5%, "YES", "NO")</f>
        <v>YES</v>
      </c>
      <c r="AE250" t="str" cm="1">
        <f t="array" ref="AE250">_xlfn.IFS(Table13[[#This Row],[Revenue]]&gt;=30000000,"High Spender",Table13[[#This Row],[Revenue]]&gt;=10000000,"Moderate Spender",TRUE,"Low Spender")</f>
        <v>Moderate Spender</v>
      </c>
      <c r="AF250" s="4" t="str" cm="1">
        <f t="array" ref="AF250">_xlfn.IFS(Table13[[#This Row],[Land_Size_SQM]]&gt;=730,"LARGE",Table13[[#This Row],[Land_Size_SQM]]&gt;=465,"MEDIUM",TRUE,"SMALL")</f>
        <v>LARGE</v>
      </c>
    </row>
    <row r="251" spans="1:32" x14ac:dyDescent="0.3">
      <c r="A251" t="s">
        <v>111</v>
      </c>
      <c r="B251" t="s">
        <v>577</v>
      </c>
      <c r="C251" t="s">
        <v>627</v>
      </c>
      <c r="D251">
        <v>54</v>
      </c>
      <c r="E251" t="s">
        <v>630</v>
      </c>
      <c r="F251">
        <v>731</v>
      </c>
      <c r="G251" s="4">
        <v>19479</v>
      </c>
      <c r="H251" s="4">
        <v>14239149</v>
      </c>
      <c r="I251" t="s">
        <v>633</v>
      </c>
      <c r="J251" t="s">
        <v>668</v>
      </c>
      <c r="K251" t="s">
        <v>651</v>
      </c>
      <c r="L251" t="s">
        <v>681</v>
      </c>
      <c r="M251" t="s">
        <v>685</v>
      </c>
      <c r="N251" t="s">
        <v>689</v>
      </c>
      <c r="O251" t="s">
        <v>693</v>
      </c>
      <c r="P251" s="4">
        <v>14239149</v>
      </c>
      <c r="Q251">
        <v>0</v>
      </c>
      <c r="R251" s="7">
        <v>7.27</v>
      </c>
      <c r="S251" s="8">
        <f>Table13[[#This Row],[Discount_%]]/100</f>
        <v>7.2700000000000001E-2</v>
      </c>
      <c r="T251" s="6" t="s">
        <v>770</v>
      </c>
      <c r="U251" t="s">
        <v>981</v>
      </c>
      <c r="V251">
        <v>2024</v>
      </c>
      <c r="W251" t="s">
        <v>994</v>
      </c>
      <c r="X251" t="s">
        <v>997</v>
      </c>
      <c r="Y251" t="s">
        <v>1002</v>
      </c>
      <c r="Z251">
        <v>3</v>
      </c>
      <c r="AA251">
        <v>29</v>
      </c>
      <c r="AB251" s="4">
        <f>Table13[[#This Row],[Total_Price]]*(1-Table13[[#This Row],[Discount 2]])</f>
        <v>13203962.867699999</v>
      </c>
      <c r="AC251" s="4" t="str" cm="1">
        <f t="array" ref="AC251">_xlfn.IFS(Table13[[#This Row],[Revenue]]&gt;=30000000,"High Value",Table13[[#This Row],[Revenue]]&gt;=10000000,"Moderate Value",TRUE,"Low Value")</f>
        <v>Moderate Value</v>
      </c>
      <c r="AD251" t="str">
        <f>IF(Table13[[#This Row],[Discount 2]]&gt;=5%, "YES", "NO")</f>
        <v>YES</v>
      </c>
      <c r="AE251" t="str" cm="1">
        <f t="array" ref="AE251">_xlfn.IFS(Table13[[#This Row],[Revenue]]&gt;=30000000,"High Spender",Table13[[#This Row],[Revenue]]&gt;=10000000,"Moderate Spender",TRUE,"Low Spender")</f>
        <v>Moderate Spender</v>
      </c>
      <c r="AF251" s="4" t="str" cm="1">
        <f t="array" ref="AF251">_xlfn.IFS(Table13[[#This Row],[Land_Size_SQM]]&gt;=730,"LARGE",Table13[[#This Row],[Land_Size_SQM]]&gt;=465,"MEDIUM",TRUE,"SMALL")</f>
        <v>LARGE</v>
      </c>
    </row>
    <row r="252" spans="1:32" x14ac:dyDescent="0.3">
      <c r="A252" t="s">
        <v>447</v>
      </c>
      <c r="B252" t="s">
        <v>536</v>
      </c>
      <c r="C252" t="s">
        <v>627</v>
      </c>
      <c r="D252">
        <v>20</v>
      </c>
      <c r="E252" t="s">
        <v>629</v>
      </c>
      <c r="F252">
        <v>415</v>
      </c>
      <c r="G252" s="4">
        <v>32133</v>
      </c>
      <c r="H252" s="4">
        <v>13335195</v>
      </c>
      <c r="I252" t="s">
        <v>651</v>
      </c>
      <c r="J252" t="s">
        <v>669</v>
      </c>
      <c r="K252" t="s">
        <v>651</v>
      </c>
      <c r="L252" t="s">
        <v>680</v>
      </c>
      <c r="M252" t="s">
        <v>684</v>
      </c>
      <c r="N252" t="s">
        <v>692</v>
      </c>
      <c r="O252" t="s">
        <v>694</v>
      </c>
      <c r="P252" s="4">
        <v>6323622</v>
      </c>
      <c r="Q252">
        <v>3</v>
      </c>
      <c r="R252" s="7">
        <v>1.34</v>
      </c>
      <c r="S252" s="8">
        <f>Table13[[#This Row],[Discount_%]]/100</f>
        <v>1.34E-2</v>
      </c>
      <c r="T252" s="6" t="s">
        <v>961</v>
      </c>
      <c r="U252" t="s">
        <v>988</v>
      </c>
      <c r="V252">
        <v>2024</v>
      </c>
      <c r="W252" t="s">
        <v>995</v>
      </c>
      <c r="X252" t="s">
        <v>998</v>
      </c>
      <c r="Y252" t="s">
        <v>1001</v>
      </c>
      <c r="Z252">
        <v>1</v>
      </c>
      <c r="AA252">
        <v>42</v>
      </c>
      <c r="AB252" s="4">
        <f>Table13[[#This Row],[Total_Price]]*(1-Table13[[#This Row],[Discount 2]])</f>
        <v>13156503.387</v>
      </c>
      <c r="AC252" s="4" t="str" cm="1">
        <f t="array" ref="AC252">_xlfn.IFS(Table13[[#This Row],[Revenue]]&gt;=30000000,"High Value",Table13[[#This Row],[Revenue]]&gt;=10000000,"Moderate Value",TRUE,"Low Value")</f>
        <v>Moderate Value</v>
      </c>
      <c r="AD252" t="str">
        <f>IF(Table13[[#This Row],[Discount 2]]&gt;=5%, "YES", "NO")</f>
        <v>NO</v>
      </c>
      <c r="AE252" t="str" cm="1">
        <f t="array" ref="AE252">_xlfn.IFS(Table13[[#This Row],[Revenue]]&gt;=30000000,"High Spender",Table13[[#This Row],[Revenue]]&gt;=10000000,"Moderate Spender",TRUE,"Low Spender")</f>
        <v>Moderate Spender</v>
      </c>
      <c r="AF252" s="4" t="str" cm="1">
        <f t="array" ref="AF252">_xlfn.IFS(Table13[[#This Row],[Land_Size_SQM]]&gt;=730,"LARGE",Table13[[#This Row],[Land_Size_SQM]]&gt;=465,"MEDIUM",TRUE,"SMALL")</f>
        <v>SMALL</v>
      </c>
    </row>
    <row r="253" spans="1:32" x14ac:dyDescent="0.3">
      <c r="A253" t="s">
        <v>446</v>
      </c>
      <c r="B253" t="s">
        <v>556</v>
      </c>
      <c r="C253" t="s">
        <v>626</v>
      </c>
      <c r="D253">
        <v>47</v>
      </c>
      <c r="E253" t="s">
        <v>628</v>
      </c>
      <c r="F253">
        <v>365</v>
      </c>
      <c r="G253" s="4">
        <v>37002</v>
      </c>
      <c r="H253" s="4">
        <v>13505730</v>
      </c>
      <c r="I253" t="s">
        <v>637</v>
      </c>
      <c r="J253" t="s">
        <v>672</v>
      </c>
      <c r="K253" t="s">
        <v>664</v>
      </c>
      <c r="L253" t="s">
        <v>682</v>
      </c>
      <c r="M253" t="s">
        <v>686</v>
      </c>
      <c r="N253" t="s">
        <v>690</v>
      </c>
      <c r="O253" t="s">
        <v>693</v>
      </c>
      <c r="P253" s="4">
        <v>13505730</v>
      </c>
      <c r="Q253">
        <v>0</v>
      </c>
      <c r="R253" s="7">
        <v>3.01</v>
      </c>
      <c r="S253" s="8">
        <f>Table13[[#This Row],[Discount_%]]/100</f>
        <v>3.0099999999999998E-2</v>
      </c>
      <c r="T253" s="6" t="s">
        <v>960</v>
      </c>
      <c r="U253" t="s">
        <v>991</v>
      </c>
      <c r="V253">
        <v>2024</v>
      </c>
      <c r="W253" t="s">
        <v>994</v>
      </c>
      <c r="X253" t="s">
        <v>997</v>
      </c>
      <c r="Y253" t="s">
        <v>1002</v>
      </c>
      <c r="Z253">
        <v>4</v>
      </c>
      <c r="AA253">
        <v>18</v>
      </c>
      <c r="AB253" s="4">
        <f>Table13[[#This Row],[Total_Price]]*(1-Table13[[#This Row],[Discount 2]])</f>
        <v>13099207.527000001</v>
      </c>
      <c r="AC253" s="4" t="str" cm="1">
        <f t="array" ref="AC253">_xlfn.IFS(Table13[[#This Row],[Revenue]]&gt;=30000000,"High Value",Table13[[#This Row],[Revenue]]&gt;=10000000,"Moderate Value",TRUE,"Low Value")</f>
        <v>Moderate Value</v>
      </c>
      <c r="AD253" t="str">
        <f>IF(Table13[[#This Row],[Discount 2]]&gt;=5%, "YES", "NO")</f>
        <v>NO</v>
      </c>
      <c r="AE253" t="str" cm="1">
        <f t="array" ref="AE253">_xlfn.IFS(Table13[[#This Row],[Revenue]]&gt;=30000000,"High Spender",Table13[[#This Row],[Revenue]]&gt;=10000000,"Moderate Spender",TRUE,"Low Spender")</f>
        <v>Moderate Spender</v>
      </c>
      <c r="AF253" s="4" t="str" cm="1">
        <f t="array" ref="AF253">_xlfn.IFS(Table13[[#This Row],[Land_Size_SQM]]&gt;=730,"LARGE",Table13[[#This Row],[Land_Size_SQM]]&gt;=465,"MEDIUM",TRUE,"SMALL")</f>
        <v>SMALL</v>
      </c>
    </row>
    <row r="254" spans="1:32" x14ac:dyDescent="0.3">
      <c r="A254" t="s">
        <v>78</v>
      </c>
      <c r="B254" t="s">
        <v>565</v>
      </c>
      <c r="C254" t="s">
        <v>626</v>
      </c>
      <c r="D254">
        <v>56</v>
      </c>
      <c r="E254" t="s">
        <v>630</v>
      </c>
      <c r="F254">
        <v>667</v>
      </c>
      <c r="G254" s="4">
        <v>21799</v>
      </c>
      <c r="H254" s="4">
        <v>14539933</v>
      </c>
      <c r="I254" t="s">
        <v>633</v>
      </c>
      <c r="J254" t="s">
        <v>668</v>
      </c>
      <c r="K254" t="s">
        <v>677</v>
      </c>
      <c r="L254" t="s">
        <v>682</v>
      </c>
      <c r="M254" t="s">
        <v>687</v>
      </c>
      <c r="N254" t="s">
        <v>690</v>
      </c>
      <c r="O254" t="s">
        <v>693</v>
      </c>
      <c r="P254" s="4">
        <v>14539933</v>
      </c>
      <c r="Q254">
        <v>0</v>
      </c>
      <c r="R254" s="7">
        <v>9.99</v>
      </c>
      <c r="S254" s="8">
        <f>Table13[[#This Row],[Discount_%]]/100</f>
        <v>9.9900000000000003E-2</v>
      </c>
      <c r="T254" s="6" t="s">
        <v>742</v>
      </c>
      <c r="U254" t="s">
        <v>986</v>
      </c>
      <c r="V254">
        <v>2024</v>
      </c>
      <c r="W254" t="s">
        <v>993</v>
      </c>
      <c r="X254" t="s">
        <v>997</v>
      </c>
      <c r="Y254" t="s">
        <v>1002</v>
      </c>
      <c r="Z254">
        <v>3</v>
      </c>
      <c r="AA254">
        <v>1</v>
      </c>
      <c r="AB254" s="4">
        <f>Table13[[#This Row],[Total_Price]]*(1-Table13[[#This Row],[Discount 2]])</f>
        <v>13087393.693299999</v>
      </c>
      <c r="AC254" s="4" t="str" cm="1">
        <f t="array" ref="AC254">_xlfn.IFS(Table13[[#This Row],[Revenue]]&gt;=30000000,"High Value",Table13[[#This Row],[Revenue]]&gt;=10000000,"Moderate Value",TRUE,"Low Value")</f>
        <v>Moderate Value</v>
      </c>
      <c r="AD254" t="str">
        <f>IF(Table13[[#This Row],[Discount 2]]&gt;=5%, "YES", "NO")</f>
        <v>YES</v>
      </c>
      <c r="AE254" t="str" cm="1">
        <f t="array" ref="AE254">_xlfn.IFS(Table13[[#This Row],[Revenue]]&gt;=30000000,"High Spender",Table13[[#This Row],[Revenue]]&gt;=10000000,"Moderate Spender",TRUE,"Low Spender")</f>
        <v>Moderate Spender</v>
      </c>
      <c r="AF254" s="4" t="str" cm="1">
        <f t="array" ref="AF254">_xlfn.IFS(Table13[[#This Row],[Land_Size_SQM]]&gt;=730,"LARGE",Table13[[#This Row],[Land_Size_SQM]]&gt;=465,"MEDIUM",TRUE,"SMALL")</f>
        <v>MEDIUM</v>
      </c>
    </row>
    <row r="255" spans="1:32" x14ac:dyDescent="0.3">
      <c r="A255" t="s">
        <v>62</v>
      </c>
      <c r="B255" t="s">
        <v>554</v>
      </c>
      <c r="C255" t="s">
        <v>627</v>
      </c>
      <c r="D255">
        <v>39</v>
      </c>
      <c r="E255" t="s">
        <v>628</v>
      </c>
      <c r="F255">
        <v>421</v>
      </c>
      <c r="G255" s="4">
        <v>33732</v>
      </c>
      <c r="H255" s="4">
        <v>14201172</v>
      </c>
      <c r="I255" t="s">
        <v>653</v>
      </c>
      <c r="J255" t="s">
        <v>668</v>
      </c>
      <c r="K255" t="s">
        <v>679</v>
      </c>
      <c r="L255" t="s">
        <v>682</v>
      </c>
      <c r="M255" t="s">
        <v>686</v>
      </c>
      <c r="N255" t="s">
        <v>688</v>
      </c>
      <c r="O255" t="s">
        <v>694</v>
      </c>
      <c r="P255" s="4">
        <v>7017554</v>
      </c>
      <c r="Q255">
        <v>12</v>
      </c>
      <c r="R255" s="7">
        <v>8.33</v>
      </c>
      <c r="S255" s="8">
        <f>Table13[[#This Row],[Discount_%]]/100</f>
        <v>8.3299999999999999E-2</v>
      </c>
      <c r="T255" s="6" t="s">
        <v>729</v>
      </c>
      <c r="U255" t="s">
        <v>992</v>
      </c>
      <c r="V255">
        <v>2024</v>
      </c>
      <c r="W255" t="s">
        <v>994</v>
      </c>
      <c r="X255" t="s">
        <v>999</v>
      </c>
      <c r="Y255" t="s">
        <v>1000</v>
      </c>
      <c r="Z255">
        <v>5</v>
      </c>
      <c r="AA255">
        <v>19</v>
      </c>
      <c r="AB255" s="4">
        <f>Table13[[#This Row],[Total_Price]]*(1-Table13[[#This Row],[Discount 2]])</f>
        <v>13018214.372399999</v>
      </c>
      <c r="AC255" s="4" t="str" cm="1">
        <f t="array" ref="AC255">_xlfn.IFS(Table13[[#This Row],[Revenue]]&gt;=30000000,"High Value",Table13[[#This Row],[Revenue]]&gt;=10000000,"Moderate Value",TRUE,"Low Value")</f>
        <v>Moderate Value</v>
      </c>
      <c r="AD255" t="str">
        <f>IF(Table13[[#This Row],[Discount 2]]&gt;=5%, "YES", "NO")</f>
        <v>YES</v>
      </c>
      <c r="AE255" t="str" cm="1">
        <f t="array" ref="AE255">_xlfn.IFS(Table13[[#This Row],[Revenue]]&gt;=30000000,"High Spender",Table13[[#This Row],[Revenue]]&gt;=10000000,"Moderate Spender",TRUE,"Low Spender")</f>
        <v>Moderate Spender</v>
      </c>
      <c r="AF255" s="4" t="str" cm="1">
        <f t="array" ref="AF255">_xlfn.IFS(Table13[[#This Row],[Land_Size_SQM]]&gt;=730,"LARGE",Table13[[#This Row],[Land_Size_SQM]]&gt;=465,"MEDIUM",TRUE,"SMALL")</f>
        <v>SMALL</v>
      </c>
    </row>
    <row r="256" spans="1:32" x14ac:dyDescent="0.3">
      <c r="A256" t="s">
        <v>159</v>
      </c>
      <c r="B256" t="s">
        <v>529</v>
      </c>
      <c r="C256" t="s">
        <v>627</v>
      </c>
      <c r="D256">
        <v>57</v>
      </c>
      <c r="E256" t="s">
        <v>629</v>
      </c>
      <c r="F256">
        <v>789</v>
      </c>
      <c r="G256" s="4">
        <v>17887</v>
      </c>
      <c r="H256" s="4">
        <v>14112843</v>
      </c>
      <c r="I256" t="s">
        <v>659</v>
      </c>
      <c r="J256" t="s">
        <v>668</v>
      </c>
      <c r="K256" t="s">
        <v>678</v>
      </c>
      <c r="L256" t="s">
        <v>680</v>
      </c>
      <c r="M256" t="s">
        <v>686</v>
      </c>
      <c r="N256" t="s">
        <v>689</v>
      </c>
      <c r="O256" t="s">
        <v>694</v>
      </c>
      <c r="P256" s="4">
        <v>4009318</v>
      </c>
      <c r="Q256">
        <v>24</v>
      </c>
      <c r="R256" s="7">
        <v>7.86</v>
      </c>
      <c r="S256" s="8">
        <f>Table13[[#This Row],[Discount_%]]/100</f>
        <v>7.8600000000000003E-2</v>
      </c>
      <c r="T256" s="6" t="s">
        <v>802</v>
      </c>
      <c r="U256" t="s">
        <v>991</v>
      </c>
      <c r="V256">
        <v>2024</v>
      </c>
      <c r="W256" t="s">
        <v>995</v>
      </c>
      <c r="X256" t="s">
        <v>997</v>
      </c>
      <c r="Y256" t="s">
        <v>1000</v>
      </c>
      <c r="Z256">
        <v>4</v>
      </c>
      <c r="AA256">
        <v>19</v>
      </c>
      <c r="AB256" s="4">
        <f>Table13[[#This Row],[Total_Price]]*(1-Table13[[#This Row],[Discount 2]])</f>
        <v>13003573.540200001</v>
      </c>
      <c r="AC256" s="4" t="str" cm="1">
        <f t="array" ref="AC256">_xlfn.IFS(Table13[[#This Row],[Revenue]]&gt;=30000000,"High Value",Table13[[#This Row],[Revenue]]&gt;=10000000,"Moderate Value",TRUE,"Low Value")</f>
        <v>Moderate Value</v>
      </c>
      <c r="AD256" t="str">
        <f>IF(Table13[[#This Row],[Discount 2]]&gt;=5%, "YES", "NO")</f>
        <v>YES</v>
      </c>
      <c r="AE256" t="str" cm="1">
        <f t="array" ref="AE256">_xlfn.IFS(Table13[[#This Row],[Revenue]]&gt;=30000000,"High Spender",Table13[[#This Row],[Revenue]]&gt;=10000000,"Moderate Spender",TRUE,"Low Spender")</f>
        <v>Moderate Spender</v>
      </c>
      <c r="AF256" s="4" t="str" cm="1">
        <f t="array" ref="AF256">_xlfn.IFS(Table13[[#This Row],[Land_Size_SQM]]&gt;=730,"LARGE",Table13[[#This Row],[Land_Size_SQM]]&gt;=465,"MEDIUM",TRUE,"SMALL")</f>
        <v>LARGE</v>
      </c>
    </row>
    <row r="257" spans="1:32" x14ac:dyDescent="0.3">
      <c r="A257" t="s">
        <v>332</v>
      </c>
      <c r="B257" t="s">
        <v>570</v>
      </c>
      <c r="C257" t="s">
        <v>627</v>
      </c>
      <c r="D257">
        <v>50</v>
      </c>
      <c r="E257" t="s">
        <v>628</v>
      </c>
      <c r="F257">
        <v>440</v>
      </c>
      <c r="G257" s="4">
        <v>30292</v>
      </c>
      <c r="H257" s="4">
        <v>13328480</v>
      </c>
      <c r="I257" t="s">
        <v>646</v>
      </c>
      <c r="J257" t="s">
        <v>673</v>
      </c>
      <c r="K257" t="s">
        <v>664</v>
      </c>
      <c r="L257" t="s">
        <v>680</v>
      </c>
      <c r="M257" t="s">
        <v>686</v>
      </c>
      <c r="N257" t="s">
        <v>691</v>
      </c>
      <c r="O257" t="s">
        <v>694</v>
      </c>
      <c r="P257" s="4">
        <v>5511754</v>
      </c>
      <c r="Q257">
        <v>12</v>
      </c>
      <c r="R257" s="7">
        <v>4.0599999999999996</v>
      </c>
      <c r="S257" s="8">
        <f>Table13[[#This Row],[Discount_%]]/100</f>
        <v>4.0599999999999997E-2</v>
      </c>
      <c r="T257" s="6" t="s">
        <v>817</v>
      </c>
      <c r="U257" t="s">
        <v>989</v>
      </c>
      <c r="V257">
        <v>2024</v>
      </c>
      <c r="W257" t="s">
        <v>994</v>
      </c>
      <c r="X257" t="s">
        <v>998</v>
      </c>
      <c r="Y257" t="s">
        <v>1000</v>
      </c>
      <c r="Z257">
        <v>3</v>
      </c>
      <c r="AA257">
        <v>43</v>
      </c>
      <c r="AB257" s="4">
        <f>Table13[[#This Row],[Total_Price]]*(1-Table13[[#This Row],[Discount 2]])</f>
        <v>12787343.712000001</v>
      </c>
      <c r="AC257" s="4" t="str" cm="1">
        <f t="array" ref="AC257">_xlfn.IFS(Table13[[#This Row],[Revenue]]&gt;=30000000,"High Value",Table13[[#This Row],[Revenue]]&gt;=10000000,"Moderate Value",TRUE,"Low Value")</f>
        <v>Moderate Value</v>
      </c>
      <c r="AD257" t="str">
        <f>IF(Table13[[#This Row],[Discount 2]]&gt;=5%, "YES", "NO")</f>
        <v>NO</v>
      </c>
      <c r="AE257" t="str" cm="1">
        <f t="array" ref="AE257">_xlfn.IFS(Table13[[#This Row],[Revenue]]&gt;=30000000,"High Spender",Table13[[#This Row],[Revenue]]&gt;=10000000,"Moderate Spender",TRUE,"Low Spender")</f>
        <v>Moderate Spender</v>
      </c>
      <c r="AF257" s="4" t="str" cm="1">
        <f t="array" ref="AF257">_xlfn.IFS(Table13[[#This Row],[Land_Size_SQM]]&gt;=730,"LARGE",Table13[[#This Row],[Land_Size_SQM]]&gt;=465,"MEDIUM",TRUE,"SMALL")</f>
        <v>SMALL</v>
      </c>
    </row>
    <row r="258" spans="1:32" x14ac:dyDescent="0.3">
      <c r="A258" t="s">
        <v>481</v>
      </c>
      <c r="B258" t="s">
        <v>581</v>
      </c>
      <c r="C258" t="s">
        <v>627</v>
      </c>
      <c r="D258">
        <v>45</v>
      </c>
      <c r="E258" t="s">
        <v>629</v>
      </c>
      <c r="F258">
        <v>839</v>
      </c>
      <c r="G258" s="4">
        <v>15573</v>
      </c>
      <c r="H258" s="4">
        <v>13065747</v>
      </c>
      <c r="I258" t="s">
        <v>655</v>
      </c>
      <c r="J258" t="s">
        <v>672</v>
      </c>
      <c r="K258" t="s">
        <v>679</v>
      </c>
      <c r="L258" t="s">
        <v>681</v>
      </c>
      <c r="M258" t="s">
        <v>685</v>
      </c>
      <c r="N258" t="s">
        <v>691</v>
      </c>
      <c r="O258" t="s">
        <v>694</v>
      </c>
      <c r="P258" s="4">
        <v>3086668</v>
      </c>
      <c r="Q258">
        <v>24</v>
      </c>
      <c r="R258" s="7">
        <v>2.14</v>
      </c>
      <c r="S258" s="8">
        <f>Table13[[#This Row],[Discount_%]]/100</f>
        <v>2.1400000000000002E-2</v>
      </c>
      <c r="T258" s="6" t="s">
        <v>892</v>
      </c>
      <c r="U258" t="s">
        <v>991</v>
      </c>
      <c r="V258">
        <v>2024</v>
      </c>
      <c r="W258" t="s">
        <v>996</v>
      </c>
      <c r="X258" t="s">
        <v>998</v>
      </c>
      <c r="Y258" t="s">
        <v>1000</v>
      </c>
      <c r="Z258">
        <v>1</v>
      </c>
      <c r="AA258">
        <v>43</v>
      </c>
      <c r="AB258" s="4">
        <f>Table13[[#This Row],[Total_Price]]*(1-Table13[[#This Row],[Discount 2]])</f>
        <v>12786140.0142</v>
      </c>
      <c r="AC258" s="4" t="str" cm="1">
        <f t="array" ref="AC258">_xlfn.IFS(Table13[[#This Row],[Revenue]]&gt;=30000000,"High Value",Table13[[#This Row],[Revenue]]&gt;=10000000,"Moderate Value",TRUE,"Low Value")</f>
        <v>Moderate Value</v>
      </c>
      <c r="AD258" t="str">
        <f>IF(Table13[[#This Row],[Discount 2]]&gt;=5%, "YES", "NO")</f>
        <v>NO</v>
      </c>
      <c r="AE258" t="str" cm="1">
        <f t="array" ref="AE258">_xlfn.IFS(Table13[[#This Row],[Revenue]]&gt;=30000000,"High Spender",Table13[[#This Row],[Revenue]]&gt;=10000000,"Moderate Spender",TRUE,"Low Spender")</f>
        <v>Moderate Spender</v>
      </c>
      <c r="AF258" s="4" t="str" cm="1">
        <f t="array" ref="AF258">_xlfn.IFS(Table13[[#This Row],[Land_Size_SQM]]&gt;=730,"LARGE",Table13[[#This Row],[Land_Size_SQM]]&gt;=465,"MEDIUM",TRUE,"SMALL")</f>
        <v>LARGE</v>
      </c>
    </row>
    <row r="259" spans="1:32" x14ac:dyDescent="0.3">
      <c r="A259" t="s">
        <v>318</v>
      </c>
      <c r="B259" t="s">
        <v>575</v>
      </c>
      <c r="C259" t="s">
        <v>627</v>
      </c>
      <c r="D259">
        <v>39</v>
      </c>
      <c r="E259" t="s">
        <v>630</v>
      </c>
      <c r="F259">
        <v>852</v>
      </c>
      <c r="G259" s="4">
        <v>15915</v>
      </c>
      <c r="H259" s="4">
        <v>13559580</v>
      </c>
      <c r="I259" t="s">
        <v>657</v>
      </c>
      <c r="J259" t="s">
        <v>671</v>
      </c>
      <c r="K259" t="s">
        <v>675</v>
      </c>
      <c r="L259" t="s">
        <v>682</v>
      </c>
      <c r="M259" t="s">
        <v>686</v>
      </c>
      <c r="N259" t="s">
        <v>690</v>
      </c>
      <c r="O259" t="s">
        <v>693</v>
      </c>
      <c r="P259" s="4">
        <v>13559580</v>
      </c>
      <c r="Q259">
        <v>0</v>
      </c>
      <c r="R259" s="7">
        <v>6.41</v>
      </c>
      <c r="S259" s="8">
        <f>Table13[[#This Row],[Discount_%]]/100</f>
        <v>6.4100000000000004E-2</v>
      </c>
      <c r="T259" s="6" t="s">
        <v>836</v>
      </c>
      <c r="U259" t="s">
        <v>984</v>
      </c>
      <c r="V259">
        <v>2024</v>
      </c>
      <c r="W259" t="s">
        <v>993</v>
      </c>
      <c r="X259" t="s">
        <v>999</v>
      </c>
      <c r="Y259" t="s">
        <v>1001</v>
      </c>
      <c r="Z259">
        <v>3</v>
      </c>
      <c r="AA259">
        <v>22</v>
      </c>
      <c r="AB259" s="4">
        <f>Table13[[#This Row],[Total_Price]]*(1-Table13[[#This Row],[Discount 2]])</f>
        <v>12690410.922</v>
      </c>
      <c r="AC259" s="4" t="str" cm="1">
        <f t="array" ref="AC259">_xlfn.IFS(Table13[[#This Row],[Revenue]]&gt;=30000000,"High Value",Table13[[#This Row],[Revenue]]&gt;=10000000,"Moderate Value",TRUE,"Low Value")</f>
        <v>Moderate Value</v>
      </c>
      <c r="AD259" t="str">
        <f>IF(Table13[[#This Row],[Discount 2]]&gt;=5%, "YES", "NO")</f>
        <v>YES</v>
      </c>
      <c r="AE259" t="str" cm="1">
        <f t="array" ref="AE259">_xlfn.IFS(Table13[[#This Row],[Revenue]]&gt;=30000000,"High Spender",Table13[[#This Row],[Revenue]]&gt;=10000000,"Moderate Spender",TRUE,"Low Spender")</f>
        <v>Moderate Spender</v>
      </c>
      <c r="AF259" s="4" t="str" cm="1">
        <f t="array" ref="AF259">_xlfn.IFS(Table13[[#This Row],[Land_Size_SQM]]&gt;=730,"LARGE",Table13[[#This Row],[Land_Size_SQM]]&gt;=465,"MEDIUM",TRUE,"SMALL")</f>
        <v>LARGE</v>
      </c>
    </row>
    <row r="260" spans="1:32" x14ac:dyDescent="0.3">
      <c r="A260" t="s">
        <v>212</v>
      </c>
      <c r="B260" t="s">
        <v>559</v>
      </c>
      <c r="C260" t="s">
        <v>627</v>
      </c>
      <c r="D260">
        <v>61</v>
      </c>
      <c r="E260" t="s">
        <v>628</v>
      </c>
      <c r="F260">
        <v>893</v>
      </c>
      <c r="G260" s="4">
        <v>15548</v>
      </c>
      <c r="H260" s="4">
        <v>13884364</v>
      </c>
      <c r="I260" t="s">
        <v>654</v>
      </c>
      <c r="J260" t="s">
        <v>669</v>
      </c>
      <c r="K260" t="s">
        <v>679</v>
      </c>
      <c r="L260" t="s">
        <v>682</v>
      </c>
      <c r="M260" t="s">
        <v>685</v>
      </c>
      <c r="N260" t="s">
        <v>688</v>
      </c>
      <c r="O260" t="s">
        <v>694</v>
      </c>
      <c r="P260" s="4">
        <v>4914848</v>
      </c>
      <c r="Q260">
        <v>24</v>
      </c>
      <c r="R260" s="7">
        <v>8.65</v>
      </c>
      <c r="S260" s="8">
        <f>Table13[[#This Row],[Discount_%]]/100</f>
        <v>8.6500000000000007E-2</v>
      </c>
      <c r="T260" s="6" t="s">
        <v>698</v>
      </c>
      <c r="U260" t="s">
        <v>984</v>
      </c>
      <c r="V260">
        <v>2024</v>
      </c>
      <c r="W260" t="s">
        <v>994</v>
      </c>
      <c r="X260" t="s">
        <v>997</v>
      </c>
      <c r="Y260" t="s">
        <v>1002</v>
      </c>
      <c r="Z260">
        <v>3</v>
      </c>
      <c r="AA260">
        <v>28</v>
      </c>
      <c r="AB260" s="4">
        <f>Table13[[#This Row],[Total_Price]]*(1-Table13[[#This Row],[Discount 2]])</f>
        <v>12683366.514</v>
      </c>
      <c r="AC260" s="4" t="str" cm="1">
        <f t="array" ref="AC260">_xlfn.IFS(Table13[[#This Row],[Revenue]]&gt;=30000000,"High Value",Table13[[#This Row],[Revenue]]&gt;=10000000,"Moderate Value",TRUE,"Low Value")</f>
        <v>Moderate Value</v>
      </c>
      <c r="AD260" t="str">
        <f>IF(Table13[[#This Row],[Discount 2]]&gt;=5%, "YES", "NO")</f>
        <v>YES</v>
      </c>
      <c r="AE260" t="str" cm="1">
        <f t="array" ref="AE260">_xlfn.IFS(Table13[[#This Row],[Revenue]]&gt;=30000000,"High Spender",Table13[[#This Row],[Revenue]]&gt;=10000000,"Moderate Spender",TRUE,"Low Spender")</f>
        <v>Moderate Spender</v>
      </c>
      <c r="AF260" s="4" t="str" cm="1">
        <f t="array" ref="AF260">_xlfn.IFS(Table13[[#This Row],[Land_Size_SQM]]&gt;=730,"LARGE",Table13[[#This Row],[Land_Size_SQM]]&gt;=465,"MEDIUM",TRUE,"SMALL")</f>
        <v>LARGE</v>
      </c>
    </row>
    <row r="261" spans="1:32" x14ac:dyDescent="0.3">
      <c r="A261" t="s">
        <v>217</v>
      </c>
      <c r="B261" t="s">
        <v>539</v>
      </c>
      <c r="C261" t="s">
        <v>626</v>
      </c>
      <c r="D261">
        <v>23</v>
      </c>
      <c r="E261" t="s">
        <v>628</v>
      </c>
      <c r="F261">
        <v>399</v>
      </c>
      <c r="G261" s="4">
        <v>34799</v>
      </c>
      <c r="H261" s="4">
        <v>13884801</v>
      </c>
      <c r="I261" t="s">
        <v>638</v>
      </c>
      <c r="J261" t="s">
        <v>672</v>
      </c>
      <c r="K261" t="s">
        <v>678</v>
      </c>
      <c r="L261" t="s">
        <v>680</v>
      </c>
      <c r="M261" t="s">
        <v>683</v>
      </c>
      <c r="N261" t="s">
        <v>690</v>
      </c>
      <c r="O261" t="s">
        <v>693</v>
      </c>
      <c r="P261" s="4">
        <v>13884801</v>
      </c>
      <c r="Q261">
        <v>0</v>
      </c>
      <c r="R261" s="7">
        <v>8.67</v>
      </c>
      <c r="S261" s="8">
        <f>Table13[[#This Row],[Discount_%]]/100</f>
        <v>8.6699999999999999E-2</v>
      </c>
      <c r="T261" s="6" t="s">
        <v>840</v>
      </c>
      <c r="U261" t="s">
        <v>991</v>
      </c>
      <c r="V261">
        <v>2024</v>
      </c>
      <c r="W261" t="s">
        <v>995</v>
      </c>
      <c r="X261" t="s">
        <v>997</v>
      </c>
      <c r="Y261" t="s">
        <v>1002</v>
      </c>
      <c r="Z261">
        <v>2</v>
      </c>
      <c r="AA261">
        <v>21</v>
      </c>
      <c r="AB261" s="4">
        <f>Table13[[#This Row],[Total_Price]]*(1-Table13[[#This Row],[Discount 2]])</f>
        <v>12680988.7533</v>
      </c>
      <c r="AC261" s="4" t="str" cm="1">
        <f t="array" ref="AC261">_xlfn.IFS(Table13[[#This Row],[Revenue]]&gt;=30000000,"High Value",Table13[[#This Row],[Revenue]]&gt;=10000000,"Moderate Value",TRUE,"Low Value")</f>
        <v>Moderate Value</v>
      </c>
      <c r="AD261" t="str">
        <f>IF(Table13[[#This Row],[Discount 2]]&gt;=5%, "YES", "NO")</f>
        <v>YES</v>
      </c>
      <c r="AE261" t="str" cm="1">
        <f t="array" ref="AE261">_xlfn.IFS(Table13[[#This Row],[Revenue]]&gt;=30000000,"High Spender",Table13[[#This Row],[Revenue]]&gt;=10000000,"Moderate Spender",TRUE,"Low Spender")</f>
        <v>Moderate Spender</v>
      </c>
      <c r="AF261" s="4" t="str" cm="1">
        <f t="array" ref="AF261">_xlfn.IFS(Table13[[#This Row],[Land_Size_SQM]]&gt;=730,"LARGE",Table13[[#This Row],[Land_Size_SQM]]&gt;=465,"MEDIUM",TRUE,"SMALL")</f>
        <v>SMALL</v>
      </c>
    </row>
    <row r="262" spans="1:32" x14ac:dyDescent="0.3">
      <c r="A262" t="s">
        <v>518</v>
      </c>
      <c r="B262" t="s">
        <v>556</v>
      </c>
      <c r="C262" t="s">
        <v>627</v>
      </c>
      <c r="D262">
        <v>25</v>
      </c>
      <c r="E262" t="s">
        <v>629</v>
      </c>
      <c r="F262">
        <v>292</v>
      </c>
      <c r="G262" s="4">
        <v>43594</v>
      </c>
      <c r="H262" s="4">
        <v>12729448</v>
      </c>
      <c r="I262" t="s">
        <v>658</v>
      </c>
      <c r="J262" t="s">
        <v>670</v>
      </c>
      <c r="K262" t="s">
        <v>651</v>
      </c>
      <c r="L262" t="s">
        <v>681</v>
      </c>
      <c r="M262" t="s">
        <v>686</v>
      </c>
      <c r="N262" t="s">
        <v>691</v>
      </c>
      <c r="O262" t="s">
        <v>693</v>
      </c>
      <c r="P262" s="4">
        <v>12729448</v>
      </c>
      <c r="Q262">
        <v>0</v>
      </c>
      <c r="R262" s="7">
        <v>0.77</v>
      </c>
      <c r="S262" s="8">
        <f>Table13[[#This Row],[Discount_%]]/100</f>
        <v>7.7000000000000002E-3</v>
      </c>
      <c r="T262" s="6" t="s">
        <v>723</v>
      </c>
      <c r="U262" t="s">
        <v>992</v>
      </c>
      <c r="V262">
        <v>2024</v>
      </c>
      <c r="W262" t="s">
        <v>993</v>
      </c>
      <c r="X262" t="s">
        <v>998</v>
      </c>
      <c r="Y262" t="s">
        <v>1001</v>
      </c>
      <c r="Z262">
        <v>5</v>
      </c>
      <c r="AA262">
        <v>47</v>
      </c>
      <c r="AB262" s="4">
        <f>Table13[[#This Row],[Total_Price]]*(1-Table13[[#This Row],[Discount 2]])</f>
        <v>12631431.250399999</v>
      </c>
      <c r="AC262" s="4" t="str" cm="1">
        <f t="array" ref="AC262">_xlfn.IFS(Table13[[#This Row],[Revenue]]&gt;=30000000,"High Value",Table13[[#This Row],[Revenue]]&gt;=10000000,"Moderate Value",TRUE,"Low Value")</f>
        <v>Moderate Value</v>
      </c>
      <c r="AD262" t="str">
        <f>IF(Table13[[#This Row],[Discount 2]]&gt;=5%, "YES", "NO")</f>
        <v>NO</v>
      </c>
      <c r="AE262" t="str" cm="1">
        <f t="array" ref="AE262">_xlfn.IFS(Table13[[#This Row],[Revenue]]&gt;=30000000,"High Spender",Table13[[#This Row],[Revenue]]&gt;=10000000,"Moderate Spender",TRUE,"Low Spender")</f>
        <v>Moderate Spender</v>
      </c>
      <c r="AF262" s="4" t="str" cm="1">
        <f t="array" ref="AF262">_xlfn.IFS(Table13[[#This Row],[Land_Size_SQM]]&gt;=730,"LARGE",Table13[[#This Row],[Land_Size_SQM]]&gt;=465,"MEDIUM",TRUE,"SMALL")</f>
        <v>SMALL</v>
      </c>
    </row>
    <row r="263" spans="1:32" x14ac:dyDescent="0.3">
      <c r="A263" t="s">
        <v>359</v>
      </c>
      <c r="B263" t="s">
        <v>572</v>
      </c>
      <c r="C263" t="s">
        <v>626</v>
      </c>
      <c r="D263">
        <v>49</v>
      </c>
      <c r="E263" t="s">
        <v>630</v>
      </c>
      <c r="F263">
        <v>766</v>
      </c>
      <c r="G263" s="4">
        <v>17053</v>
      </c>
      <c r="H263" s="4">
        <v>13062598</v>
      </c>
      <c r="I263" t="s">
        <v>640</v>
      </c>
      <c r="J263" t="s">
        <v>672</v>
      </c>
      <c r="K263" t="s">
        <v>674</v>
      </c>
      <c r="L263" t="s">
        <v>680</v>
      </c>
      <c r="M263" t="s">
        <v>684</v>
      </c>
      <c r="N263" t="s">
        <v>688</v>
      </c>
      <c r="O263" t="s">
        <v>693</v>
      </c>
      <c r="P263" s="4">
        <v>13062598</v>
      </c>
      <c r="Q263">
        <v>0</v>
      </c>
      <c r="R263" s="7">
        <v>4.12</v>
      </c>
      <c r="S263" s="8">
        <f>Table13[[#This Row],[Discount_%]]/100</f>
        <v>4.1200000000000001E-2</v>
      </c>
      <c r="T263" s="6" t="s">
        <v>932</v>
      </c>
      <c r="U263" t="s">
        <v>986</v>
      </c>
      <c r="V263">
        <v>2024</v>
      </c>
      <c r="W263" t="s">
        <v>996</v>
      </c>
      <c r="X263" t="s">
        <v>998</v>
      </c>
      <c r="Y263" t="s">
        <v>1002</v>
      </c>
      <c r="Z263">
        <v>5</v>
      </c>
      <c r="AA263">
        <v>15</v>
      </c>
      <c r="AB263" s="4">
        <f>Table13[[#This Row],[Total_Price]]*(1-Table13[[#This Row],[Discount 2]])</f>
        <v>12524418.962400001</v>
      </c>
      <c r="AC263" s="4" t="str" cm="1">
        <f t="array" ref="AC263">_xlfn.IFS(Table13[[#This Row],[Revenue]]&gt;=30000000,"High Value",Table13[[#This Row],[Revenue]]&gt;=10000000,"Moderate Value",TRUE,"Low Value")</f>
        <v>Moderate Value</v>
      </c>
      <c r="AD263" t="str">
        <f>IF(Table13[[#This Row],[Discount 2]]&gt;=5%, "YES", "NO")</f>
        <v>NO</v>
      </c>
      <c r="AE263" t="str" cm="1">
        <f t="array" ref="AE263">_xlfn.IFS(Table13[[#This Row],[Revenue]]&gt;=30000000,"High Spender",Table13[[#This Row],[Revenue]]&gt;=10000000,"Moderate Spender",TRUE,"Low Spender")</f>
        <v>Moderate Spender</v>
      </c>
      <c r="AF263" s="4" t="str" cm="1">
        <f t="array" ref="AF263">_xlfn.IFS(Table13[[#This Row],[Land_Size_SQM]]&gt;=730,"LARGE",Table13[[#This Row],[Land_Size_SQM]]&gt;=465,"MEDIUM",TRUE,"SMALL")</f>
        <v>LARGE</v>
      </c>
    </row>
    <row r="264" spans="1:32" x14ac:dyDescent="0.3">
      <c r="A264" t="s">
        <v>437</v>
      </c>
      <c r="B264" t="s">
        <v>578</v>
      </c>
      <c r="C264" t="s">
        <v>627</v>
      </c>
      <c r="D264">
        <v>39</v>
      </c>
      <c r="E264" t="s">
        <v>630</v>
      </c>
      <c r="F264">
        <v>512</v>
      </c>
      <c r="G264" s="4">
        <v>26540</v>
      </c>
      <c r="H264" s="4">
        <v>13588480</v>
      </c>
      <c r="I264" t="s">
        <v>649</v>
      </c>
      <c r="J264" t="s">
        <v>669</v>
      </c>
      <c r="K264" t="s">
        <v>651</v>
      </c>
      <c r="L264" t="s">
        <v>680</v>
      </c>
      <c r="M264" t="s">
        <v>683</v>
      </c>
      <c r="N264" t="s">
        <v>691</v>
      </c>
      <c r="O264" t="s">
        <v>694</v>
      </c>
      <c r="P264" s="4">
        <v>4698593</v>
      </c>
      <c r="Q264">
        <v>12</v>
      </c>
      <c r="R264" s="7">
        <v>7.91</v>
      </c>
      <c r="S264" s="8">
        <f>Table13[[#This Row],[Discount_%]]/100</f>
        <v>7.9100000000000004E-2</v>
      </c>
      <c r="T264" s="6" t="s">
        <v>958</v>
      </c>
      <c r="U264" t="s">
        <v>987</v>
      </c>
      <c r="V264">
        <v>2024</v>
      </c>
      <c r="W264" t="s">
        <v>993</v>
      </c>
      <c r="X264" t="s">
        <v>999</v>
      </c>
      <c r="Y264" t="s">
        <v>1001</v>
      </c>
      <c r="Z264">
        <v>3</v>
      </c>
      <c r="AA264">
        <v>5</v>
      </c>
      <c r="AB264" s="4">
        <f>Table13[[#This Row],[Total_Price]]*(1-Table13[[#This Row],[Discount 2]])</f>
        <v>12513631.232000001</v>
      </c>
      <c r="AC264" s="4" t="str" cm="1">
        <f t="array" ref="AC264">_xlfn.IFS(Table13[[#This Row],[Revenue]]&gt;=30000000,"High Value",Table13[[#This Row],[Revenue]]&gt;=10000000,"Moderate Value",TRUE,"Low Value")</f>
        <v>Moderate Value</v>
      </c>
      <c r="AD264" t="str">
        <f>IF(Table13[[#This Row],[Discount 2]]&gt;=5%, "YES", "NO")</f>
        <v>YES</v>
      </c>
      <c r="AE264" t="str" cm="1">
        <f t="array" ref="AE264">_xlfn.IFS(Table13[[#This Row],[Revenue]]&gt;=30000000,"High Spender",Table13[[#This Row],[Revenue]]&gt;=10000000,"Moderate Spender",TRUE,"Low Spender")</f>
        <v>Moderate Spender</v>
      </c>
      <c r="AF264" s="4" t="str" cm="1">
        <f t="array" ref="AF264">_xlfn.IFS(Table13[[#This Row],[Land_Size_SQM]]&gt;=730,"LARGE",Table13[[#This Row],[Land_Size_SQM]]&gt;=465,"MEDIUM",TRUE,"SMALL")</f>
        <v>MEDIUM</v>
      </c>
    </row>
    <row r="265" spans="1:32" x14ac:dyDescent="0.3">
      <c r="A265" t="s">
        <v>205</v>
      </c>
      <c r="B265" t="s">
        <v>588</v>
      </c>
      <c r="C265" t="s">
        <v>627</v>
      </c>
      <c r="D265">
        <v>27</v>
      </c>
      <c r="E265" t="s">
        <v>630</v>
      </c>
      <c r="F265">
        <v>786</v>
      </c>
      <c r="G265" s="4">
        <v>17443</v>
      </c>
      <c r="H265" s="4">
        <v>13710198</v>
      </c>
      <c r="I265" t="s">
        <v>647</v>
      </c>
      <c r="J265" t="s">
        <v>670</v>
      </c>
      <c r="K265" t="s">
        <v>678</v>
      </c>
      <c r="L265" t="s">
        <v>680</v>
      </c>
      <c r="M265" t="s">
        <v>683</v>
      </c>
      <c r="N265" t="s">
        <v>688</v>
      </c>
      <c r="O265" t="s">
        <v>694</v>
      </c>
      <c r="P265" s="4">
        <v>3066786</v>
      </c>
      <c r="Q265">
        <v>12</v>
      </c>
      <c r="R265" s="7">
        <v>9.0299999999999994</v>
      </c>
      <c r="S265" s="8">
        <f>Table13[[#This Row],[Discount_%]]/100</f>
        <v>9.0299999999999991E-2</v>
      </c>
      <c r="T265" s="6" t="s">
        <v>834</v>
      </c>
      <c r="U265" t="s">
        <v>984</v>
      </c>
      <c r="V265">
        <v>2024</v>
      </c>
      <c r="W265" t="s">
        <v>996</v>
      </c>
      <c r="X265" t="s">
        <v>999</v>
      </c>
      <c r="Y265" t="s">
        <v>1000</v>
      </c>
      <c r="Z265">
        <v>4</v>
      </c>
      <c r="AA265">
        <v>6</v>
      </c>
      <c r="AB265" s="4">
        <f>Table13[[#This Row],[Total_Price]]*(1-Table13[[#This Row],[Discount 2]])</f>
        <v>12472167.1206</v>
      </c>
      <c r="AC265" s="4" t="str" cm="1">
        <f t="array" ref="AC265">_xlfn.IFS(Table13[[#This Row],[Revenue]]&gt;=30000000,"High Value",Table13[[#This Row],[Revenue]]&gt;=10000000,"Moderate Value",TRUE,"Low Value")</f>
        <v>Moderate Value</v>
      </c>
      <c r="AD265" t="str">
        <f>IF(Table13[[#This Row],[Discount 2]]&gt;=5%, "YES", "NO")</f>
        <v>YES</v>
      </c>
      <c r="AE265" t="str" cm="1">
        <f t="array" ref="AE265">_xlfn.IFS(Table13[[#This Row],[Revenue]]&gt;=30000000,"High Spender",Table13[[#This Row],[Revenue]]&gt;=10000000,"Moderate Spender",TRUE,"Low Spender")</f>
        <v>Moderate Spender</v>
      </c>
      <c r="AF265" s="4" t="str" cm="1">
        <f t="array" ref="AF265">_xlfn.IFS(Table13[[#This Row],[Land_Size_SQM]]&gt;=730,"LARGE",Table13[[#This Row],[Land_Size_SQM]]&gt;=465,"MEDIUM",TRUE,"SMALL")</f>
        <v>LARGE</v>
      </c>
    </row>
    <row r="266" spans="1:32" x14ac:dyDescent="0.3">
      <c r="A266" t="s">
        <v>371</v>
      </c>
      <c r="B266" t="s">
        <v>535</v>
      </c>
      <c r="C266" t="s">
        <v>627</v>
      </c>
      <c r="D266">
        <v>37</v>
      </c>
      <c r="E266" t="s">
        <v>628</v>
      </c>
      <c r="F266">
        <v>425</v>
      </c>
      <c r="G266" s="4">
        <v>31227</v>
      </c>
      <c r="H266" s="4">
        <v>13271475</v>
      </c>
      <c r="I266" t="s">
        <v>661</v>
      </c>
      <c r="J266" t="s">
        <v>673</v>
      </c>
      <c r="K266" t="s">
        <v>674</v>
      </c>
      <c r="L266" t="s">
        <v>680</v>
      </c>
      <c r="M266" t="s">
        <v>685</v>
      </c>
      <c r="N266" t="s">
        <v>692</v>
      </c>
      <c r="O266" t="s">
        <v>694</v>
      </c>
      <c r="P266" s="4">
        <v>3953704</v>
      </c>
      <c r="Q266">
        <v>3</v>
      </c>
      <c r="R266" s="7">
        <v>6.08</v>
      </c>
      <c r="S266" s="8">
        <f>Table13[[#This Row],[Discount_%]]/100</f>
        <v>6.08E-2</v>
      </c>
      <c r="T266" s="6" t="s">
        <v>939</v>
      </c>
      <c r="U266" t="s">
        <v>990</v>
      </c>
      <c r="V266">
        <v>2024</v>
      </c>
      <c r="W266" t="s">
        <v>995</v>
      </c>
      <c r="X266" t="s">
        <v>997</v>
      </c>
      <c r="Y266" t="s">
        <v>1001</v>
      </c>
      <c r="Z266">
        <v>1</v>
      </c>
      <c r="AA266">
        <v>33</v>
      </c>
      <c r="AB266" s="4">
        <f>Table13[[#This Row],[Total_Price]]*(1-Table13[[#This Row],[Discount 2]])</f>
        <v>12464569.32</v>
      </c>
      <c r="AC266" s="4" t="str" cm="1">
        <f t="array" ref="AC266">_xlfn.IFS(Table13[[#This Row],[Revenue]]&gt;=30000000,"High Value",Table13[[#This Row],[Revenue]]&gt;=10000000,"Moderate Value",TRUE,"Low Value")</f>
        <v>Moderate Value</v>
      </c>
      <c r="AD266" t="str">
        <f>IF(Table13[[#This Row],[Discount 2]]&gt;=5%, "YES", "NO")</f>
        <v>YES</v>
      </c>
      <c r="AE266" t="str" cm="1">
        <f t="array" ref="AE266">_xlfn.IFS(Table13[[#This Row],[Revenue]]&gt;=30000000,"High Spender",Table13[[#This Row],[Revenue]]&gt;=10000000,"Moderate Spender",TRUE,"Low Spender")</f>
        <v>Moderate Spender</v>
      </c>
      <c r="AF266" s="4" t="str" cm="1">
        <f t="array" ref="AF266">_xlfn.IFS(Table13[[#This Row],[Land_Size_SQM]]&gt;=730,"LARGE",Table13[[#This Row],[Land_Size_SQM]]&gt;=465,"MEDIUM",TRUE,"SMALL")</f>
        <v>SMALL</v>
      </c>
    </row>
    <row r="267" spans="1:32" x14ac:dyDescent="0.3">
      <c r="A267" t="s">
        <v>43</v>
      </c>
      <c r="B267" t="s">
        <v>527</v>
      </c>
      <c r="C267" t="s">
        <v>626</v>
      </c>
      <c r="D267">
        <v>55</v>
      </c>
      <c r="E267" t="s">
        <v>629</v>
      </c>
      <c r="F267">
        <v>294</v>
      </c>
      <c r="G267" s="4">
        <v>43568</v>
      </c>
      <c r="H267" s="4">
        <v>12808992</v>
      </c>
      <c r="I267" t="s">
        <v>645</v>
      </c>
      <c r="J267" t="s">
        <v>670</v>
      </c>
      <c r="K267" t="s">
        <v>664</v>
      </c>
      <c r="L267" t="s">
        <v>681</v>
      </c>
      <c r="M267" t="s">
        <v>686</v>
      </c>
      <c r="N267" t="s">
        <v>689</v>
      </c>
      <c r="O267" t="s">
        <v>694</v>
      </c>
      <c r="P267" s="4">
        <v>2731210</v>
      </c>
      <c r="Q267">
        <v>12</v>
      </c>
      <c r="R267" s="7">
        <v>3.34</v>
      </c>
      <c r="S267" s="8">
        <f>Table13[[#This Row],[Discount_%]]/100</f>
        <v>3.3399999999999999E-2</v>
      </c>
      <c r="T267" s="6" t="s">
        <v>712</v>
      </c>
      <c r="U267" t="s">
        <v>987</v>
      </c>
      <c r="V267">
        <v>2024</v>
      </c>
      <c r="W267" t="s">
        <v>993</v>
      </c>
      <c r="X267" t="s">
        <v>999</v>
      </c>
      <c r="Y267" t="s">
        <v>1001</v>
      </c>
      <c r="Z267">
        <v>2</v>
      </c>
      <c r="AA267">
        <v>35</v>
      </c>
      <c r="AB267" s="4">
        <f>Table13[[#This Row],[Total_Price]]*(1-Table13[[#This Row],[Discount 2]])</f>
        <v>12381171.667200001</v>
      </c>
      <c r="AC267" s="4" t="str" cm="1">
        <f t="array" ref="AC267">_xlfn.IFS(Table13[[#This Row],[Revenue]]&gt;=30000000,"High Value",Table13[[#This Row],[Revenue]]&gt;=10000000,"Moderate Value",TRUE,"Low Value")</f>
        <v>Moderate Value</v>
      </c>
      <c r="AD267" t="str">
        <f>IF(Table13[[#This Row],[Discount 2]]&gt;=5%, "YES", "NO")</f>
        <v>NO</v>
      </c>
      <c r="AE267" t="str" cm="1">
        <f t="array" ref="AE267">_xlfn.IFS(Table13[[#This Row],[Revenue]]&gt;=30000000,"High Spender",Table13[[#This Row],[Revenue]]&gt;=10000000,"Moderate Spender",TRUE,"Low Spender")</f>
        <v>Moderate Spender</v>
      </c>
      <c r="AF267" s="4" t="str" cm="1">
        <f t="array" ref="AF267">_xlfn.IFS(Table13[[#This Row],[Land_Size_SQM]]&gt;=730,"LARGE",Table13[[#This Row],[Land_Size_SQM]]&gt;=465,"MEDIUM",TRUE,"SMALL")</f>
        <v>SMALL</v>
      </c>
    </row>
    <row r="268" spans="1:32" x14ac:dyDescent="0.3">
      <c r="A268" t="s">
        <v>409</v>
      </c>
      <c r="B268" t="s">
        <v>567</v>
      </c>
      <c r="C268" t="s">
        <v>626</v>
      </c>
      <c r="D268">
        <v>41</v>
      </c>
      <c r="E268" t="s">
        <v>630</v>
      </c>
      <c r="F268">
        <v>335</v>
      </c>
      <c r="G268" s="4">
        <v>38671</v>
      </c>
      <c r="H268" s="4">
        <v>12954785</v>
      </c>
      <c r="I268" t="s">
        <v>639</v>
      </c>
      <c r="J268" t="s">
        <v>671</v>
      </c>
      <c r="K268" t="s">
        <v>651</v>
      </c>
      <c r="L268" t="s">
        <v>680</v>
      </c>
      <c r="M268" t="s">
        <v>685</v>
      </c>
      <c r="N268" t="s">
        <v>690</v>
      </c>
      <c r="O268" t="s">
        <v>693</v>
      </c>
      <c r="P268" s="4">
        <v>12954785</v>
      </c>
      <c r="Q268">
        <v>0</v>
      </c>
      <c r="R268" s="7">
        <v>5.8</v>
      </c>
      <c r="S268" s="8">
        <f>Table13[[#This Row],[Discount_%]]/100</f>
        <v>5.7999999999999996E-2</v>
      </c>
      <c r="T268" s="6" t="s">
        <v>949</v>
      </c>
      <c r="U268" t="s">
        <v>992</v>
      </c>
      <c r="V268">
        <v>2024</v>
      </c>
      <c r="W268" t="s">
        <v>995</v>
      </c>
      <c r="X268" t="s">
        <v>999</v>
      </c>
      <c r="Y268" t="s">
        <v>1002</v>
      </c>
      <c r="Z268">
        <v>1</v>
      </c>
      <c r="AA268">
        <v>21</v>
      </c>
      <c r="AB268" s="4">
        <f>Table13[[#This Row],[Total_Price]]*(1-Table13[[#This Row],[Discount 2]])</f>
        <v>12203407.469999999</v>
      </c>
      <c r="AC268" s="4" t="str" cm="1">
        <f t="array" ref="AC268">_xlfn.IFS(Table13[[#This Row],[Revenue]]&gt;=30000000,"High Value",Table13[[#This Row],[Revenue]]&gt;=10000000,"Moderate Value",TRUE,"Low Value")</f>
        <v>Moderate Value</v>
      </c>
      <c r="AD268" t="str">
        <f>IF(Table13[[#This Row],[Discount 2]]&gt;=5%, "YES", "NO")</f>
        <v>YES</v>
      </c>
      <c r="AE268" t="str" cm="1">
        <f t="array" ref="AE268">_xlfn.IFS(Table13[[#This Row],[Revenue]]&gt;=30000000,"High Spender",Table13[[#This Row],[Revenue]]&gt;=10000000,"Moderate Spender",TRUE,"Low Spender")</f>
        <v>Moderate Spender</v>
      </c>
      <c r="AF268" s="4" t="str" cm="1">
        <f t="array" ref="AF268">_xlfn.IFS(Table13[[#This Row],[Land_Size_SQM]]&gt;=730,"LARGE",Table13[[#This Row],[Land_Size_SQM]]&gt;=465,"MEDIUM",TRUE,"SMALL")</f>
        <v>SMALL</v>
      </c>
    </row>
    <row r="269" spans="1:32" x14ac:dyDescent="0.3">
      <c r="A269" t="s">
        <v>410</v>
      </c>
      <c r="B269" t="s">
        <v>597</v>
      </c>
      <c r="C269" t="s">
        <v>626</v>
      </c>
      <c r="D269">
        <v>30</v>
      </c>
      <c r="E269" t="s">
        <v>630</v>
      </c>
      <c r="F269">
        <v>487</v>
      </c>
      <c r="G269" s="4">
        <v>25631</v>
      </c>
      <c r="H269" s="4">
        <v>12482297</v>
      </c>
      <c r="I269" t="s">
        <v>641</v>
      </c>
      <c r="J269" t="s">
        <v>673</v>
      </c>
      <c r="K269" t="s">
        <v>678</v>
      </c>
      <c r="L269" t="s">
        <v>682</v>
      </c>
      <c r="M269" t="s">
        <v>684</v>
      </c>
      <c r="N269" t="s">
        <v>688</v>
      </c>
      <c r="O269" t="s">
        <v>694</v>
      </c>
      <c r="P269" s="4">
        <v>5877137</v>
      </c>
      <c r="Q269">
        <v>12</v>
      </c>
      <c r="R269" s="7">
        <v>2.63</v>
      </c>
      <c r="S269" s="8">
        <f>Table13[[#This Row],[Discount_%]]/100</f>
        <v>2.63E-2</v>
      </c>
      <c r="T269" s="6" t="s">
        <v>950</v>
      </c>
      <c r="U269" t="s">
        <v>992</v>
      </c>
      <c r="V269">
        <v>2024</v>
      </c>
      <c r="W269" t="s">
        <v>995</v>
      </c>
      <c r="X269" t="s">
        <v>999</v>
      </c>
      <c r="Y269" t="s">
        <v>1000</v>
      </c>
      <c r="Z269">
        <v>2</v>
      </c>
      <c r="AA269">
        <v>4</v>
      </c>
      <c r="AB269" s="4">
        <f>Table13[[#This Row],[Total_Price]]*(1-Table13[[#This Row],[Discount 2]])</f>
        <v>12154012.5889</v>
      </c>
      <c r="AC269" s="4" t="str" cm="1">
        <f t="array" ref="AC269">_xlfn.IFS(Table13[[#This Row],[Revenue]]&gt;=30000000,"High Value",Table13[[#This Row],[Revenue]]&gt;=10000000,"Moderate Value",TRUE,"Low Value")</f>
        <v>Moderate Value</v>
      </c>
      <c r="AD269" t="str">
        <f>IF(Table13[[#This Row],[Discount 2]]&gt;=5%, "YES", "NO")</f>
        <v>NO</v>
      </c>
      <c r="AE269" t="str" cm="1">
        <f t="array" ref="AE269">_xlfn.IFS(Table13[[#This Row],[Revenue]]&gt;=30000000,"High Spender",Table13[[#This Row],[Revenue]]&gt;=10000000,"Moderate Spender",TRUE,"Low Spender")</f>
        <v>Moderate Spender</v>
      </c>
      <c r="AF269" s="4" t="str" cm="1">
        <f t="array" ref="AF269">_xlfn.IFS(Table13[[#This Row],[Land_Size_SQM]]&gt;=730,"LARGE",Table13[[#This Row],[Land_Size_SQM]]&gt;=465,"MEDIUM",TRUE,"SMALL")</f>
        <v>MEDIUM</v>
      </c>
    </row>
    <row r="270" spans="1:32" x14ac:dyDescent="0.3">
      <c r="A270" t="s">
        <v>55</v>
      </c>
      <c r="B270" t="s">
        <v>549</v>
      </c>
      <c r="C270" t="s">
        <v>626</v>
      </c>
      <c r="D270">
        <v>25</v>
      </c>
      <c r="E270" t="s">
        <v>630</v>
      </c>
      <c r="F270">
        <v>466</v>
      </c>
      <c r="G270" s="4">
        <v>26844</v>
      </c>
      <c r="H270" s="4">
        <v>12509304</v>
      </c>
      <c r="I270" t="s">
        <v>650</v>
      </c>
      <c r="J270" t="s">
        <v>670</v>
      </c>
      <c r="K270" t="s">
        <v>664</v>
      </c>
      <c r="L270" t="s">
        <v>680</v>
      </c>
      <c r="M270" t="s">
        <v>686</v>
      </c>
      <c r="N270" t="s">
        <v>689</v>
      </c>
      <c r="O270" t="s">
        <v>694</v>
      </c>
      <c r="P270" s="4">
        <v>4208252</v>
      </c>
      <c r="Q270">
        <v>6</v>
      </c>
      <c r="R270" s="7">
        <v>3.38</v>
      </c>
      <c r="S270" s="8">
        <f>Table13[[#This Row],[Discount_%]]/100</f>
        <v>3.3799999999999997E-2</v>
      </c>
      <c r="T270" s="6" t="s">
        <v>716</v>
      </c>
      <c r="U270" t="s">
        <v>991</v>
      </c>
      <c r="V270">
        <v>2024</v>
      </c>
      <c r="W270" t="s">
        <v>994</v>
      </c>
      <c r="X270" t="s">
        <v>999</v>
      </c>
      <c r="Y270" t="s">
        <v>1001</v>
      </c>
      <c r="Z270">
        <v>1</v>
      </c>
      <c r="AA270">
        <v>50</v>
      </c>
      <c r="AB270" s="4">
        <f>Table13[[#This Row],[Total_Price]]*(1-Table13[[#This Row],[Discount 2]])</f>
        <v>12086489.524799999</v>
      </c>
      <c r="AC270" s="4" t="str" cm="1">
        <f t="array" ref="AC270">_xlfn.IFS(Table13[[#This Row],[Revenue]]&gt;=30000000,"High Value",Table13[[#This Row],[Revenue]]&gt;=10000000,"Moderate Value",TRUE,"Low Value")</f>
        <v>Moderate Value</v>
      </c>
      <c r="AD270" t="str">
        <f>IF(Table13[[#This Row],[Discount 2]]&gt;=5%, "YES", "NO")</f>
        <v>NO</v>
      </c>
      <c r="AE270" t="str" cm="1">
        <f t="array" ref="AE270">_xlfn.IFS(Table13[[#This Row],[Revenue]]&gt;=30000000,"High Spender",Table13[[#This Row],[Revenue]]&gt;=10000000,"Moderate Spender",TRUE,"Low Spender")</f>
        <v>Moderate Spender</v>
      </c>
      <c r="AF270" s="4" t="str" cm="1">
        <f t="array" ref="AF270">_xlfn.IFS(Table13[[#This Row],[Land_Size_SQM]]&gt;=730,"LARGE",Table13[[#This Row],[Land_Size_SQM]]&gt;=465,"MEDIUM",TRUE,"SMALL")</f>
        <v>MEDIUM</v>
      </c>
    </row>
    <row r="271" spans="1:32" x14ac:dyDescent="0.3">
      <c r="A271" t="s">
        <v>411</v>
      </c>
      <c r="B271" t="s">
        <v>589</v>
      </c>
      <c r="C271" t="s">
        <v>627</v>
      </c>
      <c r="D271">
        <v>48</v>
      </c>
      <c r="E271" t="s">
        <v>630</v>
      </c>
      <c r="F271">
        <v>681</v>
      </c>
      <c r="G271" s="4">
        <v>19054</v>
      </c>
      <c r="H271" s="4">
        <v>12975774</v>
      </c>
      <c r="I271" t="s">
        <v>654</v>
      </c>
      <c r="J271" t="s">
        <v>669</v>
      </c>
      <c r="K271" t="s">
        <v>664</v>
      </c>
      <c r="L271" t="s">
        <v>682</v>
      </c>
      <c r="M271" t="s">
        <v>686</v>
      </c>
      <c r="N271" t="s">
        <v>691</v>
      </c>
      <c r="O271" t="s">
        <v>693</v>
      </c>
      <c r="P271" s="4">
        <v>12975774</v>
      </c>
      <c r="Q271">
        <v>0</v>
      </c>
      <c r="R271" s="7">
        <v>7.06</v>
      </c>
      <c r="S271" s="8">
        <f>Table13[[#This Row],[Discount_%]]/100</f>
        <v>7.0599999999999996E-2</v>
      </c>
      <c r="T271" s="6" t="s">
        <v>951</v>
      </c>
      <c r="U271" t="s">
        <v>989</v>
      </c>
      <c r="V271">
        <v>2024</v>
      </c>
      <c r="W271" t="s">
        <v>995</v>
      </c>
      <c r="X271" t="s">
        <v>998</v>
      </c>
      <c r="Y271" t="s">
        <v>1000</v>
      </c>
      <c r="Z271">
        <v>2</v>
      </c>
      <c r="AA271">
        <v>8</v>
      </c>
      <c r="AB271" s="4">
        <f>Table13[[#This Row],[Total_Price]]*(1-Table13[[#This Row],[Discount 2]])</f>
        <v>12059684.355599999</v>
      </c>
      <c r="AC271" s="4" t="str" cm="1">
        <f t="array" ref="AC271">_xlfn.IFS(Table13[[#This Row],[Revenue]]&gt;=30000000,"High Value",Table13[[#This Row],[Revenue]]&gt;=10000000,"Moderate Value",TRUE,"Low Value")</f>
        <v>Moderate Value</v>
      </c>
      <c r="AD271" t="str">
        <f>IF(Table13[[#This Row],[Discount 2]]&gt;=5%, "YES", "NO")</f>
        <v>YES</v>
      </c>
      <c r="AE271" t="str" cm="1">
        <f t="array" ref="AE271">_xlfn.IFS(Table13[[#This Row],[Revenue]]&gt;=30000000,"High Spender",Table13[[#This Row],[Revenue]]&gt;=10000000,"Moderate Spender",TRUE,"Low Spender")</f>
        <v>Moderate Spender</v>
      </c>
      <c r="AF271" s="4" t="str" cm="1">
        <f t="array" ref="AF271">_xlfn.IFS(Table13[[#This Row],[Land_Size_SQM]]&gt;=730,"LARGE",Table13[[#This Row],[Land_Size_SQM]]&gt;=465,"MEDIUM",TRUE,"SMALL")</f>
        <v>MEDIUM</v>
      </c>
    </row>
    <row r="272" spans="1:32" x14ac:dyDescent="0.3">
      <c r="A272" t="s">
        <v>517</v>
      </c>
      <c r="B272" t="s">
        <v>548</v>
      </c>
      <c r="C272" t="s">
        <v>626</v>
      </c>
      <c r="D272">
        <v>49</v>
      </c>
      <c r="E272" t="s">
        <v>629</v>
      </c>
      <c r="F272">
        <v>254</v>
      </c>
      <c r="G272" s="4">
        <v>49541</v>
      </c>
      <c r="H272" s="4">
        <v>12583414</v>
      </c>
      <c r="I272" t="s">
        <v>655</v>
      </c>
      <c r="J272" t="s">
        <v>672</v>
      </c>
      <c r="K272" t="s">
        <v>677</v>
      </c>
      <c r="L272" t="s">
        <v>681</v>
      </c>
      <c r="M272" t="s">
        <v>687</v>
      </c>
      <c r="N272" t="s">
        <v>691</v>
      </c>
      <c r="O272" t="s">
        <v>694</v>
      </c>
      <c r="P272" s="4">
        <v>5076962</v>
      </c>
      <c r="Q272">
        <v>6</v>
      </c>
      <c r="R272" s="7">
        <v>4.18</v>
      </c>
      <c r="S272" s="8">
        <f>Table13[[#This Row],[Discount_%]]/100</f>
        <v>4.1799999999999997E-2</v>
      </c>
      <c r="T272" s="6" t="s">
        <v>899</v>
      </c>
      <c r="U272" t="s">
        <v>989</v>
      </c>
      <c r="V272">
        <v>2024</v>
      </c>
      <c r="W272" t="s">
        <v>996</v>
      </c>
      <c r="X272" t="s">
        <v>998</v>
      </c>
      <c r="Y272" t="s">
        <v>1001</v>
      </c>
      <c r="Z272">
        <v>1</v>
      </c>
      <c r="AA272">
        <v>20</v>
      </c>
      <c r="AB272" s="4">
        <f>Table13[[#This Row],[Total_Price]]*(1-Table13[[#This Row],[Discount 2]])</f>
        <v>12057427.2948</v>
      </c>
      <c r="AC272" s="4" t="str" cm="1">
        <f t="array" ref="AC272">_xlfn.IFS(Table13[[#This Row],[Revenue]]&gt;=30000000,"High Value",Table13[[#This Row],[Revenue]]&gt;=10000000,"Moderate Value",TRUE,"Low Value")</f>
        <v>Moderate Value</v>
      </c>
      <c r="AD272" t="str">
        <f>IF(Table13[[#This Row],[Discount 2]]&gt;=5%, "YES", "NO")</f>
        <v>NO</v>
      </c>
      <c r="AE272" t="str" cm="1">
        <f t="array" ref="AE272">_xlfn.IFS(Table13[[#This Row],[Revenue]]&gt;=30000000,"High Spender",Table13[[#This Row],[Revenue]]&gt;=10000000,"Moderate Spender",TRUE,"Low Spender")</f>
        <v>Moderate Spender</v>
      </c>
      <c r="AF272" s="4" t="str" cm="1">
        <f t="array" ref="AF272">_xlfn.IFS(Table13[[#This Row],[Land_Size_SQM]]&gt;=730,"LARGE",Table13[[#This Row],[Land_Size_SQM]]&gt;=465,"MEDIUM",TRUE,"SMALL")</f>
        <v>SMALL</v>
      </c>
    </row>
    <row r="273" spans="1:32" x14ac:dyDescent="0.3">
      <c r="A273" t="s">
        <v>333</v>
      </c>
      <c r="B273" t="s">
        <v>564</v>
      </c>
      <c r="C273" t="s">
        <v>627</v>
      </c>
      <c r="D273">
        <v>28</v>
      </c>
      <c r="E273" t="s">
        <v>629</v>
      </c>
      <c r="F273">
        <v>273</v>
      </c>
      <c r="G273" s="4">
        <v>44492</v>
      </c>
      <c r="H273" s="4">
        <v>12146316</v>
      </c>
      <c r="I273" t="s">
        <v>654</v>
      </c>
      <c r="J273" t="s">
        <v>669</v>
      </c>
      <c r="K273" t="s">
        <v>664</v>
      </c>
      <c r="L273" t="s">
        <v>681</v>
      </c>
      <c r="M273" t="s">
        <v>684</v>
      </c>
      <c r="N273" t="s">
        <v>692</v>
      </c>
      <c r="O273" t="s">
        <v>693</v>
      </c>
      <c r="P273" s="4">
        <v>12146316</v>
      </c>
      <c r="Q273">
        <v>0</v>
      </c>
      <c r="R273" s="7">
        <v>1.44</v>
      </c>
      <c r="S273" s="8">
        <f>Table13[[#This Row],[Discount_%]]/100</f>
        <v>1.44E-2</v>
      </c>
      <c r="T273" s="6" t="s">
        <v>739</v>
      </c>
      <c r="U273" t="s">
        <v>986</v>
      </c>
      <c r="V273">
        <v>2024</v>
      </c>
      <c r="W273" t="s">
        <v>995</v>
      </c>
      <c r="X273" t="s">
        <v>997</v>
      </c>
      <c r="Y273" t="s">
        <v>1000</v>
      </c>
      <c r="Z273">
        <v>4</v>
      </c>
      <c r="AA273">
        <v>33</v>
      </c>
      <c r="AB273" s="4">
        <f>Table13[[#This Row],[Total_Price]]*(1-Table13[[#This Row],[Discount 2]])</f>
        <v>11971409.0496</v>
      </c>
      <c r="AC273" s="4" t="str" cm="1">
        <f t="array" ref="AC273">_xlfn.IFS(Table13[[#This Row],[Revenue]]&gt;=30000000,"High Value",Table13[[#This Row],[Revenue]]&gt;=10000000,"Moderate Value",TRUE,"Low Value")</f>
        <v>Moderate Value</v>
      </c>
      <c r="AD273" t="str">
        <f>IF(Table13[[#This Row],[Discount 2]]&gt;=5%, "YES", "NO")</f>
        <v>NO</v>
      </c>
      <c r="AE273" t="str" cm="1">
        <f t="array" ref="AE273">_xlfn.IFS(Table13[[#This Row],[Revenue]]&gt;=30000000,"High Spender",Table13[[#This Row],[Revenue]]&gt;=10000000,"Moderate Spender",TRUE,"Low Spender")</f>
        <v>Moderate Spender</v>
      </c>
      <c r="AF273" s="4" t="str" cm="1">
        <f t="array" ref="AF273">_xlfn.IFS(Table13[[#This Row],[Land_Size_SQM]]&gt;=730,"LARGE",Table13[[#This Row],[Land_Size_SQM]]&gt;=465,"MEDIUM",TRUE,"SMALL")</f>
        <v>SMALL</v>
      </c>
    </row>
    <row r="274" spans="1:32" x14ac:dyDescent="0.3">
      <c r="A274" t="s">
        <v>479</v>
      </c>
      <c r="B274" t="s">
        <v>541</v>
      </c>
      <c r="C274" t="s">
        <v>626</v>
      </c>
      <c r="D274">
        <v>48</v>
      </c>
      <c r="E274" t="s">
        <v>628</v>
      </c>
      <c r="F274">
        <v>421</v>
      </c>
      <c r="G274" s="4">
        <v>30970</v>
      </c>
      <c r="H274" s="4">
        <v>13038370</v>
      </c>
      <c r="I274" t="s">
        <v>662</v>
      </c>
      <c r="J274" t="s">
        <v>673</v>
      </c>
      <c r="K274" t="s">
        <v>675</v>
      </c>
      <c r="L274" t="s">
        <v>682</v>
      </c>
      <c r="M274" t="s">
        <v>685</v>
      </c>
      <c r="N274" t="s">
        <v>689</v>
      </c>
      <c r="O274" t="s">
        <v>693</v>
      </c>
      <c r="P274" s="4">
        <v>13038370</v>
      </c>
      <c r="Q274">
        <v>0</v>
      </c>
      <c r="R274" s="7">
        <v>8.3699999999999992</v>
      </c>
      <c r="S274" s="8">
        <f>Table13[[#This Row],[Discount_%]]/100</f>
        <v>8.3699999999999997E-2</v>
      </c>
      <c r="T274" s="6" t="s">
        <v>932</v>
      </c>
      <c r="U274" t="s">
        <v>986</v>
      </c>
      <c r="V274">
        <v>2024</v>
      </c>
      <c r="W274" t="s">
        <v>995</v>
      </c>
      <c r="X274" t="s">
        <v>999</v>
      </c>
      <c r="Y274" t="s">
        <v>1000</v>
      </c>
      <c r="Z274">
        <v>3</v>
      </c>
      <c r="AA274">
        <v>16</v>
      </c>
      <c r="AB274" s="4">
        <f>Table13[[#This Row],[Total_Price]]*(1-Table13[[#This Row],[Discount 2]])</f>
        <v>11947058.431</v>
      </c>
      <c r="AC274" s="4" t="str" cm="1">
        <f t="array" ref="AC274">_xlfn.IFS(Table13[[#This Row],[Revenue]]&gt;=30000000,"High Value",Table13[[#This Row],[Revenue]]&gt;=10000000,"Moderate Value",TRUE,"Low Value")</f>
        <v>Moderate Value</v>
      </c>
      <c r="AD274" t="str">
        <f>IF(Table13[[#This Row],[Discount 2]]&gt;=5%, "YES", "NO")</f>
        <v>YES</v>
      </c>
      <c r="AE274" t="str" cm="1">
        <f t="array" ref="AE274">_xlfn.IFS(Table13[[#This Row],[Revenue]]&gt;=30000000,"High Spender",Table13[[#This Row],[Revenue]]&gt;=10000000,"Moderate Spender",TRUE,"Low Spender")</f>
        <v>Moderate Spender</v>
      </c>
      <c r="AF274" s="4" t="str" cm="1">
        <f t="array" ref="AF274">_xlfn.IFS(Table13[[#This Row],[Land_Size_SQM]]&gt;=730,"LARGE",Table13[[#This Row],[Land_Size_SQM]]&gt;=465,"MEDIUM",TRUE,"SMALL")</f>
        <v>SMALL</v>
      </c>
    </row>
    <row r="275" spans="1:32" x14ac:dyDescent="0.3">
      <c r="A275" t="s">
        <v>204</v>
      </c>
      <c r="B275" t="s">
        <v>606</v>
      </c>
      <c r="C275" t="s">
        <v>627</v>
      </c>
      <c r="D275">
        <v>25</v>
      </c>
      <c r="E275" t="s">
        <v>629</v>
      </c>
      <c r="F275">
        <v>676</v>
      </c>
      <c r="G275" s="4">
        <v>19262</v>
      </c>
      <c r="H275" s="4">
        <v>13021112</v>
      </c>
      <c r="I275" t="s">
        <v>646</v>
      </c>
      <c r="J275" t="s">
        <v>673</v>
      </c>
      <c r="K275" t="s">
        <v>678</v>
      </c>
      <c r="L275" t="s">
        <v>681</v>
      </c>
      <c r="M275" t="s">
        <v>686</v>
      </c>
      <c r="N275" t="s">
        <v>691</v>
      </c>
      <c r="O275" t="s">
        <v>693</v>
      </c>
      <c r="P275" s="4">
        <v>13021112</v>
      </c>
      <c r="Q275">
        <v>0</v>
      </c>
      <c r="R275" s="7">
        <v>8.3699999999999992</v>
      </c>
      <c r="S275" s="8">
        <f>Table13[[#This Row],[Discount_%]]/100</f>
        <v>8.3699999999999997E-2</v>
      </c>
      <c r="T275" s="6" t="s">
        <v>833</v>
      </c>
      <c r="U275" t="s">
        <v>985</v>
      </c>
      <c r="V275">
        <v>2024</v>
      </c>
      <c r="W275" t="s">
        <v>996</v>
      </c>
      <c r="X275" t="s">
        <v>997</v>
      </c>
      <c r="Y275" t="s">
        <v>1000</v>
      </c>
      <c r="Z275">
        <v>4</v>
      </c>
      <c r="AA275">
        <v>34</v>
      </c>
      <c r="AB275" s="4">
        <f>Table13[[#This Row],[Total_Price]]*(1-Table13[[#This Row],[Discount 2]])</f>
        <v>11931244.9256</v>
      </c>
      <c r="AC275" s="4" t="str" cm="1">
        <f t="array" ref="AC275">_xlfn.IFS(Table13[[#This Row],[Revenue]]&gt;=30000000,"High Value",Table13[[#This Row],[Revenue]]&gt;=10000000,"Moderate Value",TRUE,"Low Value")</f>
        <v>Moderate Value</v>
      </c>
      <c r="AD275" t="str">
        <f>IF(Table13[[#This Row],[Discount 2]]&gt;=5%, "YES", "NO")</f>
        <v>YES</v>
      </c>
      <c r="AE275" t="str" cm="1">
        <f t="array" ref="AE275">_xlfn.IFS(Table13[[#This Row],[Revenue]]&gt;=30000000,"High Spender",Table13[[#This Row],[Revenue]]&gt;=10000000,"Moderate Spender",TRUE,"Low Spender")</f>
        <v>Moderate Spender</v>
      </c>
      <c r="AF275" s="4" t="str" cm="1">
        <f t="array" ref="AF275">_xlfn.IFS(Table13[[#This Row],[Land_Size_SQM]]&gt;=730,"LARGE",Table13[[#This Row],[Land_Size_SQM]]&gt;=465,"MEDIUM",TRUE,"SMALL")</f>
        <v>MEDIUM</v>
      </c>
    </row>
    <row r="276" spans="1:32" x14ac:dyDescent="0.3">
      <c r="A276" t="s">
        <v>33</v>
      </c>
      <c r="B276" t="s">
        <v>533</v>
      </c>
      <c r="C276" t="s">
        <v>627</v>
      </c>
      <c r="D276">
        <v>58</v>
      </c>
      <c r="E276" t="s">
        <v>630</v>
      </c>
      <c r="F276">
        <v>823</v>
      </c>
      <c r="G276" s="4">
        <v>15035</v>
      </c>
      <c r="H276" s="4">
        <v>12373805</v>
      </c>
      <c r="I276" t="s">
        <v>635</v>
      </c>
      <c r="J276" t="s">
        <v>668</v>
      </c>
      <c r="K276" t="s">
        <v>675</v>
      </c>
      <c r="L276" t="s">
        <v>681</v>
      </c>
      <c r="M276" t="s">
        <v>685</v>
      </c>
      <c r="N276" t="s">
        <v>689</v>
      </c>
      <c r="O276" t="s">
        <v>693</v>
      </c>
      <c r="P276" s="4">
        <v>12373805</v>
      </c>
      <c r="Q276">
        <v>0</v>
      </c>
      <c r="R276" s="7">
        <v>3.74</v>
      </c>
      <c r="S276" s="8">
        <f>Table13[[#This Row],[Discount_%]]/100</f>
        <v>3.7400000000000003E-2</v>
      </c>
      <c r="T276" s="6" t="s">
        <v>702</v>
      </c>
      <c r="U276" t="s">
        <v>987</v>
      </c>
      <c r="V276">
        <v>2024</v>
      </c>
      <c r="W276" t="s">
        <v>994</v>
      </c>
      <c r="X276" t="s">
        <v>998</v>
      </c>
      <c r="Y276" t="s">
        <v>1000</v>
      </c>
      <c r="Z276">
        <v>1</v>
      </c>
      <c r="AA276">
        <v>16</v>
      </c>
      <c r="AB276" s="4">
        <f>Table13[[#This Row],[Total_Price]]*(1-Table13[[#This Row],[Discount 2]])</f>
        <v>11911024.693</v>
      </c>
      <c r="AC276" s="4" t="str" cm="1">
        <f t="array" ref="AC276">_xlfn.IFS(Table13[[#This Row],[Revenue]]&gt;=30000000,"High Value",Table13[[#This Row],[Revenue]]&gt;=10000000,"Moderate Value",TRUE,"Low Value")</f>
        <v>Moderate Value</v>
      </c>
      <c r="AD276" t="str">
        <f>IF(Table13[[#This Row],[Discount 2]]&gt;=5%, "YES", "NO")</f>
        <v>NO</v>
      </c>
      <c r="AE276" t="str" cm="1">
        <f t="array" ref="AE276">_xlfn.IFS(Table13[[#This Row],[Revenue]]&gt;=30000000,"High Spender",Table13[[#This Row],[Revenue]]&gt;=10000000,"Moderate Spender",TRUE,"Low Spender")</f>
        <v>Moderate Spender</v>
      </c>
      <c r="AF276" s="4" t="str" cm="1">
        <f t="array" ref="AF276">_xlfn.IFS(Table13[[#This Row],[Land_Size_SQM]]&gt;=730,"LARGE",Table13[[#This Row],[Land_Size_SQM]]&gt;=465,"MEDIUM",TRUE,"SMALL")</f>
        <v>LARGE</v>
      </c>
    </row>
    <row r="277" spans="1:32" x14ac:dyDescent="0.3">
      <c r="A277" t="s">
        <v>213</v>
      </c>
      <c r="B277" t="s">
        <v>568</v>
      </c>
      <c r="C277" t="s">
        <v>626</v>
      </c>
      <c r="D277">
        <v>57</v>
      </c>
      <c r="E277" t="s">
        <v>628</v>
      </c>
      <c r="F277">
        <v>670</v>
      </c>
      <c r="G277" s="4">
        <v>18514</v>
      </c>
      <c r="H277" s="4">
        <v>12404380</v>
      </c>
      <c r="I277" t="s">
        <v>658</v>
      </c>
      <c r="J277" t="s">
        <v>670</v>
      </c>
      <c r="K277" t="s">
        <v>651</v>
      </c>
      <c r="L277" t="s">
        <v>680</v>
      </c>
      <c r="M277" t="s">
        <v>686</v>
      </c>
      <c r="N277" t="s">
        <v>690</v>
      </c>
      <c r="O277" t="s">
        <v>693</v>
      </c>
      <c r="P277" s="4">
        <v>12404380</v>
      </c>
      <c r="Q277">
        <v>0</v>
      </c>
      <c r="R277" s="7">
        <v>4.67</v>
      </c>
      <c r="S277" s="8">
        <f>Table13[[#This Row],[Discount_%]]/100</f>
        <v>4.6699999999999998E-2</v>
      </c>
      <c r="T277" s="6" t="s">
        <v>839</v>
      </c>
      <c r="U277" t="s">
        <v>984</v>
      </c>
      <c r="V277">
        <v>2024</v>
      </c>
      <c r="W277" t="s">
        <v>994</v>
      </c>
      <c r="X277" t="s">
        <v>998</v>
      </c>
      <c r="Y277" t="s">
        <v>1001</v>
      </c>
      <c r="Z277">
        <v>1</v>
      </c>
      <c r="AA277">
        <v>31</v>
      </c>
      <c r="AB277" s="4">
        <f>Table13[[#This Row],[Total_Price]]*(1-Table13[[#This Row],[Discount 2]])</f>
        <v>11825095.454</v>
      </c>
      <c r="AC277" s="4" t="str" cm="1">
        <f t="array" ref="AC277">_xlfn.IFS(Table13[[#This Row],[Revenue]]&gt;=30000000,"High Value",Table13[[#This Row],[Revenue]]&gt;=10000000,"Moderate Value",TRUE,"Low Value")</f>
        <v>Moderate Value</v>
      </c>
      <c r="AD277" t="str">
        <f>IF(Table13[[#This Row],[Discount 2]]&gt;=5%, "YES", "NO")</f>
        <v>NO</v>
      </c>
      <c r="AE277" t="str" cm="1">
        <f t="array" ref="AE277">_xlfn.IFS(Table13[[#This Row],[Revenue]]&gt;=30000000,"High Spender",Table13[[#This Row],[Revenue]]&gt;=10000000,"Moderate Spender",TRUE,"Low Spender")</f>
        <v>Moderate Spender</v>
      </c>
      <c r="AF277" s="4" t="str" cm="1">
        <f t="array" ref="AF277">_xlfn.IFS(Table13[[#This Row],[Land_Size_SQM]]&gt;=730,"LARGE",Table13[[#This Row],[Land_Size_SQM]]&gt;=465,"MEDIUM",TRUE,"SMALL")</f>
        <v>MEDIUM</v>
      </c>
    </row>
    <row r="278" spans="1:32" x14ac:dyDescent="0.3">
      <c r="A278" t="s">
        <v>399</v>
      </c>
      <c r="B278" t="s">
        <v>539</v>
      </c>
      <c r="C278" t="s">
        <v>626</v>
      </c>
      <c r="D278">
        <v>25</v>
      </c>
      <c r="E278" t="s">
        <v>628</v>
      </c>
      <c r="F278">
        <v>314</v>
      </c>
      <c r="G278" s="4">
        <v>39419</v>
      </c>
      <c r="H278" s="4">
        <v>12377566</v>
      </c>
      <c r="I278" t="s">
        <v>653</v>
      </c>
      <c r="J278" t="s">
        <v>668</v>
      </c>
      <c r="K278" t="s">
        <v>679</v>
      </c>
      <c r="L278" t="s">
        <v>682</v>
      </c>
      <c r="M278" t="s">
        <v>685</v>
      </c>
      <c r="N278" t="s">
        <v>690</v>
      </c>
      <c r="O278" t="s">
        <v>693</v>
      </c>
      <c r="P278" s="4">
        <v>12377566</v>
      </c>
      <c r="Q278">
        <v>0</v>
      </c>
      <c r="R278" s="7">
        <v>5.22</v>
      </c>
      <c r="S278" s="8">
        <f>Table13[[#This Row],[Discount_%]]/100</f>
        <v>5.2199999999999996E-2</v>
      </c>
      <c r="T278" s="6" t="s">
        <v>775</v>
      </c>
      <c r="U278" t="s">
        <v>985</v>
      </c>
      <c r="V278">
        <v>2024</v>
      </c>
      <c r="W278" t="s">
        <v>994</v>
      </c>
      <c r="X278" t="s">
        <v>997</v>
      </c>
      <c r="Y278" t="s">
        <v>1001</v>
      </c>
      <c r="Z278">
        <v>4</v>
      </c>
      <c r="AA278">
        <v>48</v>
      </c>
      <c r="AB278" s="4">
        <f>Table13[[#This Row],[Total_Price]]*(1-Table13[[#This Row],[Discount 2]])</f>
        <v>11731457.0548</v>
      </c>
      <c r="AC278" s="4" t="str" cm="1">
        <f t="array" ref="AC278">_xlfn.IFS(Table13[[#This Row],[Revenue]]&gt;=30000000,"High Value",Table13[[#This Row],[Revenue]]&gt;=10000000,"Moderate Value",TRUE,"Low Value")</f>
        <v>Moderate Value</v>
      </c>
      <c r="AD278" t="str">
        <f>IF(Table13[[#This Row],[Discount 2]]&gt;=5%, "YES", "NO")</f>
        <v>YES</v>
      </c>
      <c r="AE278" t="str" cm="1">
        <f t="array" ref="AE278">_xlfn.IFS(Table13[[#This Row],[Revenue]]&gt;=30000000,"High Spender",Table13[[#This Row],[Revenue]]&gt;=10000000,"Moderate Spender",TRUE,"Low Spender")</f>
        <v>Moderate Spender</v>
      </c>
      <c r="AF278" s="4" t="str" cm="1">
        <f t="array" ref="AF278">_xlfn.IFS(Table13[[#This Row],[Land_Size_SQM]]&gt;=730,"LARGE",Table13[[#This Row],[Land_Size_SQM]]&gt;=465,"MEDIUM",TRUE,"SMALL")</f>
        <v>SMALL</v>
      </c>
    </row>
    <row r="279" spans="1:32" x14ac:dyDescent="0.3">
      <c r="A279" t="s">
        <v>66</v>
      </c>
      <c r="B279" t="s">
        <v>550</v>
      </c>
      <c r="C279" t="s">
        <v>626</v>
      </c>
      <c r="D279">
        <v>27</v>
      </c>
      <c r="E279" t="s">
        <v>629</v>
      </c>
      <c r="F279">
        <v>272</v>
      </c>
      <c r="G279" s="4">
        <v>47048</v>
      </c>
      <c r="H279" s="4">
        <v>12797056</v>
      </c>
      <c r="I279" t="s">
        <v>636</v>
      </c>
      <c r="J279" t="s">
        <v>671</v>
      </c>
      <c r="K279" t="s">
        <v>678</v>
      </c>
      <c r="L279" t="s">
        <v>680</v>
      </c>
      <c r="M279" t="s">
        <v>683</v>
      </c>
      <c r="N279" t="s">
        <v>690</v>
      </c>
      <c r="O279" t="s">
        <v>693</v>
      </c>
      <c r="P279" s="4">
        <v>12797056</v>
      </c>
      <c r="Q279">
        <v>0</v>
      </c>
      <c r="R279" s="7">
        <v>9.24</v>
      </c>
      <c r="S279" s="8">
        <f>Table13[[#This Row],[Discount_%]]/100</f>
        <v>9.2399999999999996E-2</v>
      </c>
      <c r="T279" s="6" t="s">
        <v>732</v>
      </c>
      <c r="U279" t="s">
        <v>983</v>
      </c>
      <c r="V279">
        <v>2024</v>
      </c>
      <c r="W279" t="s">
        <v>996</v>
      </c>
      <c r="X279" t="s">
        <v>999</v>
      </c>
      <c r="Y279" t="s">
        <v>1000</v>
      </c>
      <c r="Z279">
        <v>2</v>
      </c>
      <c r="AA279">
        <v>20</v>
      </c>
      <c r="AB279" s="4">
        <f>Table13[[#This Row],[Total_Price]]*(1-Table13[[#This Row],[Discount 2]])</f>
        <v>11614608.025599999</v>
      </c>
      <c r="AC279" s="4" t="str" cm="1">
        <f t="array" ref="AC279">_xlfn.IFS(Table13[[#This Row],[Revenue]]&gt;=30000000,"High Value",Table13[[#This Row],[Revenue]]&gt;=10000000,"Moderate Value",TRUE,"Low Value")</f>
        <v>Moderate Value</v>
      </c>
      <c r="AD279" t="str">
        <f>IF(Table13[[#This Row],[Discount 2]]&gt;=5%, "YES", "NO")</f>
        <v>YES</v>
      </c>
      <c r="AE279" t="str" cm="1">
        <f t="array" ref="AE279">_xlfn.IFS(Table13[[#This Row],[Revenue]]&gt;=30000000,"High Spender",Table13[[#This Row],[Revenue]]&gt;=10000000,"Moderate Spender",TRUE,"Low Spender")</f>
        <v>Moderate Spender</v>
      </c>
      <c r="AF279" s="4" t="str" cm="1">
        <f t="array" ref="AF279">_xlfn.IFS(Table13[[#This Row],[Land_Size_SQM]]&gt;=730,"LARGE",Table13[[#This Row],[Land_Size_SQM]]&gt;=465,"MEDIUM",TRUE,"SMALL")</f>
        <v>SMALL</v>
      </c>
    </row>
    <row r="280" spans="1:32" x14ac:dyDescent="0.3">
      <c r="A280" t="s">
        <v>253</v>
      </c>
      <c r="B280" t="s">
        <v>604</v>
      </c>
      <c r="C280" t="s">
        <v>626</v>
      </c>
      <c r="D280">
        <v>58</v>
      </c>
      <c r="E280" t="s">
        <v>628</v>
      </c>
      <c r="F280">
        <v>457</v>
      </c>
      <c r="G280" s="4">
        <v>26663</v>
      </c>
      <c r="H280" s="4">
        <v>12184991</v>
      </c>
      <c r="I280" t="s">
        <v>631</v>
      </c>
      <c r="J280" t="s">
        <v>668</v>
      </c>
      <c r="K280" t="s">
        <v>675</v>
      </c>
      <c r="L280" t="s">
        <v>682</v>
      </c>
      <c r="M280" t="s">
        <v>683</v>
      </c>
      <c r="N280" t="s">
        <v>691</v>
      </c>
      <c r="O280" t="s">
        <v>693</v>
      </c>
      <c r="P280" s="4">
        <v>12184991</v>
      </c>
      <c r="Q280">
        <v>0</v>
      </c>
      <c r="R280" s="7">
        <v>5.16</v>
      </c>
      <c r="S280" s="8">
        <f>Table13[[#This Row],[Discount_%]]/100</f>
        <v>5.16E-2</v>
      </c>
      <c r="T280" s="6" t="s">
        <v>771</v>
      </c>
      <c r="U280" t="s">
        <v>982</v>
      </c>
      <c r="V280">
        <v>2024</v>
      </c>
      <c r="W280" t="s">
        <v>996</v>
      </c>
      <c r="X280" t="s">
        <v>999</v>
      </c>
      <c r="Y280" t="s">
        <v>1000</v>
      </c>
      <c r="Z280">
        <v>5</v>
      </c>
      <c r="AA280">
        <v>42</v>
      </c>
      <c r="AB280" s="4">
        <f>Table13[[#This Row],[Total_Price]]*(1-Table13[[#This Row],[Discount 2]])</f>
        <v>11556245.464400001</v>
      </c>
      <c r="AC280" s="4" t="str" cm="1">
        <f t="array" ref="AC280">_xlfn.IFS(Table13[[#This Row],[Revenue]]&gt;=30000000,"High Value",Table13[[#This Row],[Revenue]]&gt;=10000000,"Moderate Value",TRUE,"Low Value")</f>
        <v>Moderate Value</v>
      </c>
      <c r="AD280" t="str">
        <f>IF(Table13[[#This Row],[Discount 2]]&gt;=5%, "YES", "NO")</f>
        <v>YES</v>
      </c>
      <c r="AE280" t="str" cm="1">
        <f t="array" ref="AE280">_xlfn.IFS(Table13[[#This Row],[Revenue]]&gt;=30000000,"High Spender",Table13[[#This Row],[Revenue]]&gt;=10000000,"Moderate Spender",TRUE,"Low Spender")</f>
        <v>Moderate Spender</v>
      </c>
      <c r="AF280" s="4" t="str" cm="1">
        <f t="array" ref="AF280">_xlfn.IFS(Table13[[#This Row],[Land_Size_SQM]]&gt;=730,"LARGE",Table13[[#This Row],[Land_Size_SQM]]&gt;=465,"MEDIUM",TRUE,"SMALL")</f>
        <v>SMALL</v>
      </c>
    </row>
    <row r="281" spans="1:32" x14ac:dyDescent="0.3">
      <c r="A281" t="s">
        <v>240</v>
      </c>
      <c r="B281" t="s">
        <v>537</v>
      </c>
      <c r="C281" t="s">
        <v>626</v>
      </c>
      <c r="D281">
        <v>25</v>
      </c>
      <c r="E281" t="s">
        <v>630</v>
      </c>
      <c r="F281">
        <v>738</v>
      </c>
      <c r="G281" s="4">
        <v>16415</v>
      </c>
      <c r="H281" s="4">
        <v>12114270</v>
      </c>
      <c r="I281" t="s">
        <v>662</v>
      </c>
      <c r="J281" t="s">
        <v>673</v>
      </c>
      <c r="K281" t="s">
        <v>651</v>
      </c>
      <c r="L281" t="s">
        <v>680</v>
      </c>
      <c r="M281" t="s">
        <v>683</v>
      </c>
      <c r="N281" t="s">
        <v>690</v>
      </c>
      <c r="O281" t="s">
        <v>693</v>
      </c>
      <c r="P281" s="4">
        <v>12114270</v>
      </c>
      <c r="Q281">
        <v>0</v>
      </c>
      <c r="R281" s="7">
        <v>5.21</v>
      </c>
      <c r="S281" s="8">
        <f>Table13[[#This Row],[Discount_%]]/100</f>
        <v>5.21E-2</v>
      </c>
      <c r="T281" s="6" t="s">
        <v>857</v>
      </c>
      <c r="U281" t="s">
        <v>986</v>
      </c>
      <c r="V281">
        <v>2024</v>
      </c>
      <c r="W281" t="s">
        <v>994</v>
      </c>
      <c r="X281" t="s">
        <v>998</v>
      </c>
      <c r="Y281" t="s">
        <v>1002</v>
      </c>
      <c r="Z281">
        <v>2</v>
      </c>
      <c r="AA281">
        <v>49</v>
      </c>
      <c r="AB281" s="4">
        <f>Table13[[#This Row],[Total_Price]]*(1-Table13[[#This Row],[Discount 2]])</f>
        <v>11483116.533</v>
      </c>
      <c r="AC281" s="4" t="str" cm="1">
        <f t="array" ref="AC281">_xlfn.IFS(Table13[[#This Row],[Revenue]]&gt;=30000000,"High Value",Table13[[#This Row],[Revenue]]&gt;=10000000,"Moderate Value",TRUE,"Low Value")</f>
        <v>Moderate Value</v>
      </c>
      <c r="AD281" t="str">
        <f>IF(Table13[[#This Row],[Discount 2]]&gt;=5%, "YES", "NO")</f>
        <v>YES</v>
      </c>
      <c r="AE281" t="str" cm="1">
        <f t="array" ref="AE281">_xlfn.IFS(Table13[[#This Row],[Revenue]]&gt;=30000000,"High Spender",Table13[[#This Row],[Revenue]]&gt;=10000000,"Moderate Spender",TRUE,"Low Spender")</f>
        <v>Moderate Spender</v>
      </c>
      <c r="AF281" s="4" t="str" cm="1">
        <f t="array" ref="AF281">_xlfn.IFS(Table13[[#This Row],[Land_Size_SQM]]&gt;=730,"LARGE",Table13[[#This Row],[Land_Size_SQM]]&gt;=465,"MEDIUM",TRUE,"SMALL")</f>
        <v>LARGE</v>
      </c>
    </row>
    <row r="282" spans="1:32" x14ac:dyDescent="0.3">
      <c r="A282" t="s">
        <v>488</v>
      </c>
      <c r="B282" t="s">
        <v>566</v>
      </c>
      <c r="C282" t="s">
        <v>627</v>
      </c>
      <c r="D282">
        <v>55</v>
      </c>
      <c r="E282" t="s">
        <v>629</v>
      </c>
      <c r="F282">
        <v>978</v>
      </c>
      <c r="G282" s="4">
        <v>12215</v>
      </c>
      <c r="H282" s="4">
        <v>11946270</v>
      </c>
      <c r="I282" t="s">
        <v>655</v>
      </c>
      <c r="J282" t="s">
        <v>672</v>
      </c>
      <c r="K282" t="s">
        <v>640</v>
      </c>
      <c r="L282" t="s">
        <v>680</v>
      </c>
      <c r="M282" t="s">
        <v>687</v>
      </c>
      <c r="N282" t="s">
        <v>691</v>
      </c>
      <c r="O282" t="s">
        <v>694</v>
      </c>
      <c r="P282" s="4">
        <v>5119918</v>
      </c>
      <c r="Q282">
        <v>3</v>
      </c>
      <c r="R282" s="7">
        <v>4.2699999999999996</v>
      </c>
      <c r="S282" s="8">
        <f>Table13[[#This Row],[Discount_%]]/100</f>
        <v>4.2699999999999995E-2</v>
      </c>
      <c r="T282" s="6" t="s">
        <v>969</v>
      </c>
      <c r="U282" t="s">
        <v>981</v>
      </c>
      <c r="V282">
        <v>2024</v>
      </c>
      <c r="W282" t="s">
        <v>995</v>
      </c>
      <c r="X282" t="s">
        <v>998</v>
      </c>
      <c r="Y282" t="s">
        <v>1002</v>
      </c>
      <c r="Z282">
        <v>3</v>
      </c>
      <c r="AA282">
        <v>25</v>
      </c>
      <c r="AB282" s="4">
        <f>Table13[[#This Row],[Total_Price]]*(1-Table13[[#This Row],[Discount 2]])</f>
        <v>11436164.271</v>
      </c>
      <c r="AC282" s="4" t="str" cm="1">
        <f t="array" ref="AC282">_xlfn.IFS(Table13[[#This Row],[Revenue]]&gt;=30000000,"High Value",Table13[[#This Row],[Revenue]]&gt;=10000000,"Moderate Value",TRUE,"Low Value")</f>
        <v>Moderate Value</v>
      </c>
      <c r="AD282" t="str">
        <f>IF(Table13[[#This Row],[Discount 2]]&gt;=5%, "YES", "NO")</f>
        <v>NO</v>
      </c>
      <c r="AE282" t="str" cm="1">
        <f t="array" ref="AE282">_xlfn.IFS(Table13[[#This Row],[Revenue]]&gt;=30000000,"High Spender",Table13[[#This Row],[Revenue]]&gt;=10000000,"Moderate Spender",TRUE,"Low Spender")</f>
        <v>Moderate Spender</v>
      </c>
      <c r="AF282" s="4" t="str" cm="1">
        <f t="array" ref="AF282">_xlfn.IFS(Table13[[#This Row],[Land_Size_SQM]]&gt;=730,"LARGE",Table13[[#This Row],[Land_Size_SQM]]&gt;=465,"MEDIUM",TRUE,"SMALL")</f>
        <v>LARGE</v>
      </c>
    </row>
    <row r="283" spans="1:32" x14ac:dyDescent="0.3">
      <c r="A283" t="s">
        <v>189</v>
      </c>
      <c r="B283" t="s">
        <v>556</v>
      </c>
      <c r="C283" t="s">
        <v>626</v>
      </c>
      <c r="D283">
        <v>65</v>
      </c>
      <c r="E283" t="s">
        <v>629</v>
      </c>
      <c r="F283">
        <v>323</v>
      </c>
      <c r="G283" s="4">
        <v>37122</v>
      </c>
      <c r="H283" s="4">
        <v>11990406</v>
      </c>
      <c r="I283" t="s">
        <v>645</v>
      </c>
      <c r="J283" t="s">
        <v>670</v>
      </c>
      <c r="K283" t="s">
        <v>640</v>
      </c>
      <c r="L283" t="s">
        <v>682</v>
      </c>
      <c r="M283" t="s">
        <v>685</v>
      </c>
      <c r="N283" t="s">
        <v>688</v>
      </c>
      <c r="O283" t="s">
        <v>694</v>
      </c>
      <c r="P283" s="4">
        <v>4023682</v>
      </c>
      <c r="Q283">
        <v>6</v>
      </c>
      <c r="R283" s="7">
        <v>4.63</v>
      </c>
      <c r="S283" s="8">
        <f>Table13[[#This Row],[Discount_%]]/100</f>
        <v>4.6300000000000001E-2</v>
      </c>
      <c r="T283" s="6" t="s">
        <v>822</v>
      </c>
      <c r="U283" t="s">
        <v>987</v>
      </c>
      <c r="V283">
        <v>2024</v>
      </c>
      <c r="W283" t="s">
        <v>994</v>
      </c>
      <c r="X283" t="s">
        <v>999</v>
      </c>
      <c r="Y283" t="s">
        <v>1000</v>
      </c>
      <c r="Z283">
        <v>2</v>
      </c>
      <c r="AA283">
        <v>23</v>
      </c>
      <c r="AB283" s="4">
        <f>Table13[[#This Row],[Total_Price]]*(1-Table13[[#This Row],[Discount 2]])</f>
        <v>11435250.202199999</v>
      </c>
      <c r="AC283" s="4" t="str" cm="1">
        <f t="array" ref="AC283">_xlfn.IFS(Table13[[#This Row],[Revenue]]&gt;=30000000,"High Value",Table13[[#This Row],[Revenue]]&gt;=10000000,"Moderate Value",TRUE,"Low Value")</f>
        <v>Moderate Value</v>
      </c>
      <c r="AD283" t="str">
        <f>IF(Table13[[#This Row],[Discount 2]]&gt;=5%, "YES", "NO")</f>
        <v>NO</v>
      </c>
      <c r="AE283" t="str" cm="1">
        <f t="array" ref="AE283">_xlfn.IFS(Table13[[#This Row],[Revenue]]&gt;=30000000,"High Spender",Table13[[#This Row],[Revenue]]&gt;=10000000,"Moderate Spender",TRUE,"Low Spender")</f>
        <v>Moderate Spender</v>
      </c>
      <c r="AF283" s="4" t="str" cm="1">
        <f t="array" ref="AF283">_xlfn.IFS(Table13[[#This Row],[Land_Size_SQM]]&gt;=730,"LARGE",Table13[[#This Row],[Land_Size_SQM]]&gt;=465,"MEDIUM",TRUE,"SMALL")</f>
        <v>SMALL</v>
      </c>
    </row>
    <row r="284" spans="1:32" x14ac:dyDescent="0.3">
      <c r="A284" t="s">
        <v>391</v>
      </c>
      <c r="B284" t="s">
        <v>566</v>
      </c>
      <c r="C284" t="s">
        <v>627</v>
      </c>
      <c r="D284">
        <v>64</v>
      </c>
      <c r="E284" t="s">
        <v>628</v>
      </c>
      <c r="F284">
        <v>257</v>
      </c>
      <c r="G284" s="4">
        <v>45335</v>
      </c>
      <c r="H284" s="4">
        <v>11651095</v>
      </c>
      <c r="I284" t="s">
        <v>639</v>
      </c>
      <c r="J284" t="s">
        <v>671</v>
      </c>
      <c r="K284" t="s">
        <v>651</v>
      </c>
      <c r="L284" t="s">
        <v>681</v>
      </c>
      <c r="M284" t="s">
        <v>685</v>
      </c>
      <c r="N284" t="s">
        <v>690</v>
      </c>
      <c r="O284" t="s">
        <v>693</v>
      </c>
      <c r="P284" s="4">
        <v>11651095</v>
      </c>
      <c r="Q284">
        <v>0</v>
      </c>
      <c r="R284" s="7">
        <v>2.48</v>
      </c>
      <c r="S284" s="8">
        <f>Table13[[#This Row],[Discount_%]]/100</f>
        <v>2.4799999999999999E-2</v>
      </c>
      <c r="T284" s="6" t="s">
        <v>855</v>
      </c>
      <c r="U284" t="s">
        <v>983</v>
      </c>
      <c r="V284">
        <v>2024</v>
      </c>
      <c r="W284" t="s">
        <v>996</v>
      </c>
      <c r="X284" t="s">
        <v>999</v>
      </c>
      <c r="Y284" t="s">
        <v>1001</v>
      </c>
      <c r="Z284">
        <v>3</v>
      </c>
      <c r="AA284">
        <v>3</v>
      </c>
      <c r="AB284" s="4">
        <f>Table13[[#This Row],[Total_Price]]*(1-Table13[[#This Row],[Discount 2]])</f>
        <v>11362147.843999999</v>
      </c>
      <c r="AC284" s="4" t="str" cm="1">
        <f t="array" ref="AC284">_xlfn.IFS(Table13[[#This Row],[Revenue]]&gt;=30000000,"High Value",Table13[[#This Row],[Revenue]]&gt;=10000000,"Moderate Value",TRUE,"Low Value")</f>
        <v>Moderate Value</v>
      </c>
      <c r="AD284" t="str">
        <f>IF(Table13[[#This Row],[Discount 2]]&gt;=5%, "YES", "NO")</f>
        <v>NO</v>
      </c>
      <c r="AE284" t="str" cm="1">
        <f t="array" ref="AE284">_xlfn.IFS(Table13[[#This Row],[Revenue]]&gt;=30000000,"High Spender",Table13[[#This Row],[Revenue]]&gt;=10000000,"Moderate Spender",TRUE,"Low Spender")</f>
        <v>Moderate Spender</v>
      </c>
      <c r="AF284" s="4" t="str" cm="1">
        <f t="array" ref="AF284">_xlfn.IFS(Table13[[#This Row],[Land_Size_SQM]]&gt;=730,"LARGE",Table13[[#This Row],[Land_Size_SQM]]&gt;=465,"MEDIUM",TRUE,"SMALL")</f>
        <v>SMALL</v>
      </c>
    </row>
    <row r="285" spans="1:32" x14ac:dyDescent="0.3">
      <c r="A285" t="s">
        <v>379</v>
      </c>
      <c r="B285" t="s">
        <v>597</v>
      </c>
      <c r="C285" t="s">
        <v>627</v>
      </c>
      <c r="D285">
        <v>65</v>
      </c>
      <c r="E285" t="s">
        <v>630</v>
      </c>
      <c r="F285">
        <v>556</v>
      </c>
      <c r="G285" s="4">
        <v>22419</v>
      </c>
      <c r="H285" s="4">
        <v>12464964</v>
      </c>
      <c r="I285" t="s">
        <v>649</v>
      </c>
      <c r="J285" t="s">
        <v>669</v>
      </c>
      <c r="K285" t="s">
        <v>678</v>
      </c>
      <c r="L285" t="s">
        <v>680</v>
      </c>
      <c r="M285" t="s">
        <v>685</v>
      </c>
      <c r="N285" t="s">
        <v>688</v>
      </c>
      <c r="O285" t="s">
        <v>694</v>
      </c>
      <c r="P285" s="4">
        <v>5548300</v>
      </c>
      <c r="Q285">
        <v>6</v>
      </c>
      <c r="R285" s="7">
        <v>8.9</v>
      </c>
      <c r="S285" s="8">
        <f>Table13[[#This Row],[Discount_%]]/100</f>
        <v>8.900000000000001E-2</v>
      </c>
      <c r="T285" s="6" t="s">
        <v>891</v>
      </c>
      <c r="U285" t="s">
        <v>983</v>
      </c>
      <c r="V285">
        <v>2024</v>
      </c>
      <c r="W285" t="s">
        <v>996</v>
      </c>
      <c r="X285" t="s">
        <v>997</v>
      </c>
      <c r="Y285" t="s">
        <v>1000</v>
      </c>
      <c r="Z285">
        <v>2</v>
      </c>
      <c r="AA285">
        <v>20</v>
      </c>
      <c r="AB285" s="4">
        <f>Table13[[#This Row],[Total_Price]]*(1-Table13[[#This Row],[Discount 2]])</f>
        <v>11355582.204</v>
      </c>
      <c r="AC285" s="4" t="str" cm="1">
        <f t="array" ref="AC285">_xlfn.IFS(Table13[[#This Row],[Revenue]]&gt;=30000000,"High Value",Table13[[#This Row],[Revenue]]&gt;=10000000,"Moderate Value",TRUE,"Low Value")</f>
        <v>Moderate Value</v>
      </c>
      <c r="AD285" t="str">
        <f>IF(Table13[[#This Row],[Discount 2]]&gt;=5%, "YES", "NO")</f>
        <v>YES</v>
      </c>
      <c r="AE285" t="str" cm="1">
        <f t="array" ref="AE285">_xlfn.IFS(Table13[[#This Row],[Revenue]]&gt;=30000000,"High Spender",Table13[[#This Row],[Revenue]]&gt;=10000000,"Moderate Spender",TRUE,"Low Spender")</f>
        <v>Moderate Spender</v>
      </c>
      <c r="AF285" s="4" t="str" cm="1">
        <f t="array" ref="AF285">_xlfn.IFS(Table13[[#This Row],[Land_Size_SQM]]&gt;=730,"LARGE",Table13[[#This Row],[Land_Size_SQM]]&gt;=465,"MEDIUM",TRUE,"SMALL")</f>
        <v>MEDIUM</v>
      </c>
    </row>
    <row r="286" spans="1:32" x14ac:dyDescent="0.3">
      <c r="A286" t="s">
        <v>307</v>
      </c>
      <c r="B286" t="s">
        <v>534</v>
      </c>
      <c r="C286" t="s">
        <v>627</v>
      </c>
      <c r="D286">
        <v>34</v>
      </c>
      <c r="E286" t="s">
        <v>628</v>
      </c>
      <c r="F286">
        <v>337</v>
      </c>
      <c r="G286" s="4">
        <v>34920</v>
      </c>
      <c r="H286" s="4">
        <v>11768040</v>
      </c>
      <c r="I286" t="s">
        <v>662</v>
      </c>
      <c r="J286" t="s">
        <v>673</v>
      </c>
      <c r="K286" t="s">
        <v>678</v>
      </c>
      <c r="L286" t="s">
        <v>681</v>
      </c>
      <c r="M286" t="s">
        <v>685</v>
      </c>
      <c r="N286" t="s">
        <v>690</v>
      </c>
      <c r="O286" t="s">
        <v>694</v>
      </c>
      <c r="P286" s="4">
        <v>3003121</v>
      </c>
      <c r="Q286">
        <v>12</v>
      </c>
      <c r="R286" s="7">
        <v>3.87</v>
      </c>
      <c r="S286" s="8">
        <f>Table13[[#This Row],[Discount_%]]/100</f>
        <v>3.8699999999999998E-2</v>
      </c>
      <c r="T286" s="6" t="s">
        <v>903</v>
      </c>
      <c r="U286" t="s">
        <v>989</v>
      </c>
      <c r="V286">
        <v>2024</v>
      </c>
      <c r="W286" t="s">
        <v>995</v>
      </c>
      <c r="X286" t="s">
        <v>999</v>
      </c>
      <c r="Y286" t="s">
        <v>1001</v>
      </c>
      <c r="Z286">
        <v>2</v>
      </c>
      <c r="AA286">
        <v>49</v>
      </c>
      <c r="AB286" s="4">
        <f>Table13[[#This Row],[Total_Price]]*(1-Table13[[#This Row],[Discount 2]])</f>
        <v>11312616.852</v>
      </c>
      <c r="AC286" s="4" t="str" cm="1">
        <f t="array" ref="AC286">_xlfn.IFS(Table13[[#This Row],[Revenue]]&gt;=30000000,"High Value",Table13[[#This Row],[Revenue]]&gt;=10000000,"Moderate Value",TRUE,"Low Value")</f>
        <v>Moderate Value</v>
      </c>
      <c r="AD286" t="str">
        <f>IF(Table13[[#This Row],[Discount 2]]&gt;=5%, "YES", "NO")</f>
        <v>NO</v>
      </c>
      <c r="AE286" t="str" cm="1">
        <f t="array" ref="AE286">_xlfn.IFS(Table13[[#This Row],[Revenue]]&gt;=30000000,"High Spender",Table13[[#This Row],[Revenue]]&gt;=10000000,"Moderate Spender",TRUE,"Low Spender")</f>
        <v>Moderate Spender</v>
      </c>
      <c r="AF286" s="4" t="str" cm="1">
        <f t="array" ref="AF286">_xlfn.IFS(Table13[[#This Row],[Land_Size_SQM]]&gt;=730,"LARGE",Table13[[#This Row],[Land_Size_SQM]]&gt;=465,"MEDIUM",TRUE,"SMALL")</f>
        <v>SMALL</v>
      </c>
    </row>
    <row r="287" spans="1:32" x14ac:dyDescent="0.3">
      <c r="A287" t="s">
        <v>511</v>
      </c>
      <c r="B287" t="s">
        <v>574</v>
      </c>
      <c r="C287" t="s">
        <v>626</v>
      </c>
      <c r="D287">
        <v>22</v>
      </c>
      <c r="E287" t="s">
        <v>629</v>
      </c>
      <c r="F287">
        <v>327</v>
      </c>
      <c r="G287" s="4">
        <v>35170</v>
      </c>
      <c r="H287" s="4">
        <v>11500590</v>
      </c>
      <c r="I287" t="s">
        <v>643</v>
      </c>
      <c r="J287" t="s">
        <v>671</v>
      </c>
      <c r="K287" t="s">
        <v>676</v>
      </c>
      <c r="L287" t="s">
        <v>681</v>
      </c>
      <c r="M287" t="s">
        <v>686</v>
      </c>
      <c r="N287" t="s">
        <v>691</v>
      </c>
      <c r="O287" t="s">
        <v>694</v>
      </c>
      <c r="P287" s="4">
        <v>5633942</v>
      </c>
      <c r="Q287">
        <v>12</v>
      </c>
      <c r="R287" s="7">
        <v>1.72</v>
      </c>
      <c r="S287" s="8">
        <f>Table13[[#This Row],[Discount_%]]/100</f>
        <v>1.72E-2</v>
      </c>
      <c r="T287" s="6" t="s">
        <v>921</v>
      </c>
      <c r="U287" t="s">
        <v>984</v>
      </c>
      <c r="V287">
        <v>2024</v>
      </c>
      <c r="W287" t="s">
        <v>996</v>
      </c>
      <c r="X287" t="s">
        <v>997</v>
      </c>
      <c r="Y287" t="s">
        <v>1002</v>
      </c>
      <c r="Z287">
        <v>3</v>
      </c>
      <c r="AA287">
        <v>34</v>
      </c>
      <c r="AB287" s="4">
        <f>Table13[[#This Row],[Total_Price]]*(1-Table13[[#This Row],[Discount 2]])</f>
        <v>11302779.852</v>
      </c>
      <c r="AC287" s="4" t="str" cm="1">
        <f t="array" ref="AC287">_xlfn.IFS(Table13[[#This Row],[Revenue]]&gt;=30000000,"High Value",Table13[[#This Row],[Revenue]]&gt;=10000000,"Moderate Value",TRUE,"Low Value")</f>
        <v>Moderate Value</v>
      </c>
      <c r="AD287" t="str">
        <f>IF(Table13[[#This Row],[Discount 2]]&gt;=5%, "YES", "NO")</f>
        <v>NO</v>
      </c>
      <c r="AE287" t="str" cm="1">
        <f t="array" ref="AE287">_xlfn.IFS(Table13[[#This Row],[Revenue]]&gt;=30000000,"High Spender",Table13[[#This Row],[Revenue]]&gt;=10000000,"Moderate Spender",TRUE,"Low Spender")</f>
        <v>Moderate Spender</v>
      </c>
      <c r="AF287" s="4" t="str" cm="1">
        <f t="array" ref="AF287">_xlfn.IFS(Table13[[#This Row],[Land_Size_SQM]]&gt;=730,"LARGE",Table13[[#This Row],[Land_Size_SQM]]&gt;=465,"MEDIUM",TRUE,"SMALL")</f>
        <v>SMALL</v>
      </c>
    </row>
    <row r="288" spans="1:32" x14ac:dyDescent="0.3">
      <c r="A288" t="s">
        <v>85</v>
      </c>
      <c r="B288" t="s">
        <v>567</v>
      </c>
      <c r="C288" t="s">
        <v>626</v>
      </c>
      <c r="D288">
        <v>31</v>
      </c>
      <c r="E288" t="s">
        <v>628</v>
      </c>
      <c r="F288">
        <v>992</v>
      </c>
      <c r="G288" s="4">
        <v>11670</v>
      </c>
      <c r="H288" s="4">
        <v>11576640</v>
      </c>
      <c r="I288" t="s">
        <v>654</v>
      </c>
      <c r="J288" t="s">
        <v>669</v>
      </c>
      <c r="K288" t="s">
        <v>651</v>
      </c>
      <c r="L288" t="s">
        <v>682</v>
      </c>
      <c r="M288" t="s">
        <v>685</v>
      </c>
      <c r="N288" t="s">
        <v>688</v>
      </c>
      <c r="O288" t="s">
        <v>693</v>
      </c>
      <c r="P288" s="4">
        <v>11576640</v>
      </c>
      <c r="Q288">
        <v>0</v>
      </c>
      <c r="R288" s="7">
        <v>2.77</v>
      </c>
      <c r="S288" s="8">
        <f>Table13[[#This Row],[Discount_%]]/100</f>
        <v>2.7699999999999999E-2</v>
      </c>
      <c r="T288" s="6" t="s">
        <v>748</v>
      </c>
      <c r="U288" t="s">
        <v>987</v>
      </c>
      <c r="V288">
        <v>2024</v>
      </c>
      <c r="W288" t="s">
        <v>993</v>
      </c>
      <c r="X288" t="s">
        <v>998</v>
      </c>
      <c r="Y288" t="s">
        <v>1000</v>
      </c>
      <c r="Z288">
        <v>5</v>
      </c>
      <c r="AA288">
        <v>21</v>
      </c>
      <c r="AB288" s="4">
        <f>Table13[[#This Row],[Total_Price]]*(1-Table13[[#This Row],[Discount 2]])</f>
        <v>11255967.072000001</v>
      </c>
      <c r="AC288" s="4" t="str" cm="1">
        <f t="array" ref="AC288">_xlfn.IFS(Table13[[#This Row],[Revenue]]&gt;=30000000,"High Value",Table13[[#This Row],[Revenue]]&gt;=10000000,"Moderate Value",TRUE,"Low Value")</f>
        <v>Moderate Value</v>
      </c>
      <c r="AD288" t="str">
        <f>IF(Table13[[#This Row],[Discount 2]]&gt;=5%, "YES", "NO")</f>
        <v>NO</v>
      </c>
      <c r="AE288" t="str" cm="1">
        <f t="array" ref="AE288">_xlfn.IFS(Table13[[#This Row],[Revenue]]&gt;=30000000,"High Spender",Table13[[#This Row],[Revenue]]&gt;=10000000,"Moderate Spender",TRUE,"Low Spender")</f>
        <v>Moderate Spender</v>
      </c>
      <c r="AF288" s="4" t="str" cm="1">
        <f t="array" ref="AF288">_xlfn.IFS(Table13[[#This Row],[Land_Size_SQM]]&gt;=730,"LARGE",Table13[[#This Row],[Land_Size_SQM]]&gt;=465,"MEDIUM",TRUE,"SMALL")</f>
        <v>LARGE</v>
      </c>
    </row>
    <row r="289" spans="1:32" x14ac:dyDescent="0.3">
      <c r="A289" t="s">
        <v>264</v>
      </c>
      <c r="B289" t="s">
        <v>540</v>
      </c>
      <c r="C289" t="s">
        <v>626</v>
      </c>
      <c r="D289">
        <v>55</v>
      </c>
      <c r="E289" t="s">
        <v>629</v>
      </c>
      <c r="F289">
        <v>800</v>
      </c>
      <c r="G289" s="4">
        <v>15127</v>
      </c>
      <c r="H289" s="4">
        <v>12101600</v>
      </c>
      <c r="I289" t="s">
        <v>633</v>
      </c>
      <c r="J289" t="s">
        <v>668</v>
      </c>
      <c r="K289" t="s">
        <v>640</v>
      </c>
      <c r="L289" t="s">
        <v>681</v>
      </c>
      <c r="M289" t="s">
        <v>687</v>
      </c>
      <c r="N289" t="s">
        <v>690</v>
      </c>
      <c r="O289" t="s">
        <v>693</v>
      </c>
      <c r="P289" s="4">
        <v>12101600</v>
      </c>
      <c r="Q289">
        <v>0</v>
      </c>
      <c r="R289" s="7">
        <v>7.37</v>
      </c>
      <c r="S289" s="8">
        <f>Table13[[#This Row],[Discount_%]]/100</f>
        <v>7.3700000000000002E-2</v>
      </c>
      <c r="T289" s="6" t="s">
        <v>871</v>
      </c>
      <c r="U289" t="s">
        <v>981</v>
      </c>
      <c r="V289">
        <v>2024</v>
      </c>
      <c r="W289" t="s">
        <v>996</v>
      </c>
      <c r="X289" t="s">
        <v>997</v>
      </c>
      <c r="Y289" t="s">
        <v>1000</v>
      </c>
      <c r="Z289">
        <v>4</v>
      </c>
      <c r="AA289">
        <v>26</v>
      </c>
      <c r="AB289" s="4">
        <f>Table13[[#This Row],[Total_Price]]*(1-Table13[[#This Row],[Discount 2]])</f>
        <v>11209712.08</v>
      </c>
      <c r="AC289" s="4" t="str" cm="1">
        <f t="array" ref="AC289">_xlfn.IFS(Table13[[#This Row],[Revenue]]&gt;=30000000,"High Value",Table13[[#This Row],[Revenue]]&gt;=10000000,"Moderate Value",TRUE,"Low Value")</f>
        <v>Moderate Value</v>
      </c>
      <c r="AD289" t="str">
        <f>IF(Table13[[#This Row],[Discount 2]]&gt;=5%, "YES", "NO")</f>
        <v>YES</v>
      </c>
      <c r="AE289" t="str" cm="1">
        <f t="array" ref="AE289">_xlfn.IFS(Table13[[#This Row],[Revenue]]&gt;=30000000,"High Spender",Table13[[#This Row],[Revenue]]&gt;=10000000,"Moderate Spender",TRUE,"Low Spender")</f>
        <v>Moderate Spender</v>
      </c>
      <c r="AF289" s="4" t="str" cm="1">
        <f t="array" ref="AF289">_xlfn.IFS(Table13[[#This Row],[Land_Size_SQM]]&gt;=730,"LARGE",Table13[[#This Row],[Land_Size_SQM]]&gt;=465,"MEDIUM",TRUE,"SMALL")</f>
        <v>LARGE</v>
      </c>
    </row>
    <row r="290" spans="1:32" x14ac:dyDescent="0.3">
      <c r="A290" t="s">
        <v>340</v>
      </c>
      <c r="B290" t="s">
        <v>591</v>
      </c>
      <c r="C290" t="s">
        <v>626</v>
      </c>
      <c r="D290">
        <v>44</v>
      </c>
      <c r="E290" t="s">
        <v>629</v>
      </c>
      <c r="F290">
        <v>439</v>
      </c>
      <c r="G290" s="4">
        <v>26890</v>
      </c>
      <c r="H290" s="4">
        <v>11804710</v>
      </c>
      <c r="I290" t="s">
        <v>634</v>
      </c>
      <c r="J290" t="s">
        <v>670</v>
      </c>
      <c r="K290" t="s">
        <v>675</v>
      </c>
      <c r="L290" t="s">
        <v>681</v>
      </c>
      <c r="M290" t="s">
        <v>686</v>
      </c>
      <c r="N290" t="s">
        <v>689</v>
      </c>
      <c r="O290" t="s">
        <v>694</v>
      </c>
      <c r="P290" s="4">
        <v>3291006</v>
      </c>
      <c r="Q290">
        <v>24</v>
      </c>
      <c r="R290" s="7">
        <v>5.3</v>
      </c>
      <c r="S290" s="8">
        <f>Table13[[#This Row],[Discount_%]]/100</f>
        <v>5.2999999999999999E-2</v>
      </c>
      <c r="T290" s="6" t="s">
        <v>817</v>
      </c>
      <c r="U290" t="s">
        <v>989</v>
      </c>
      <c r="V290">
        <v>2024</v>
      </c>
      <c r="W290" t="s">
        <v>993</v>
      </c>
      <c r="X290" t="s">
        <v>997</v>
      </c>
      <c r="Y290" t="s">
        <v>1001</v>
      </c>
      <c r="Z290">
        <v>3</v>
      </c>
      <c r="AA290">
        <v>28</v>
      </c>
      <c r="AB290" s="4">
        <f>Table13[[#This Row],[Total_Price]]*(1-Table13[[#This Row],[Discount 2]])</f>
        <v>11179060.369999999</v>
      </c>
      <c r="AC290" s="4" t="str" cm="1">
        <f t="array" ref="AC290">_xlfn.IFS(Table13[[#This Row],[Revenue]]&gt;=30000000,"High Value",Table13[[#This Row],[Revenue]]&gt;=10000000,"Moderate Value",TRUE,"Low Value")</f>
        <v>Moderate Value</v>
      </c>
      <c r="AD290" t="str">
        <f>IF(Table13[[#This Row],[Discount 2]]&gt;=5%, "YES", "NO")</f>
        <v>YES</v>
      </c>
      <c r="AE290" t="str" cm="1">
        <f t="array" ref="AE290">_xlfn.IFS(Table13[[#This Row],[Revenue]]&gt;=30000000,"High Spender",Table13[[#This Row],[Revenue]]&gt;=10000000,"Moderate Spender",TRUE,"Low Spender")</f>
        <v>Moderate Spender</v>
      </c>
      <c r="AF290" s="4" t="str" cm="1">
        <f t="array" ref="AF290">_xlfn.IFS(Table13[[#This Row],[Land_Size_SQM]]&gt;=730,"LARGE",Table13[[#This Row],[Land_Size_SQM]]&gt;=465,"MEDIUM",TRUE,"SMALL")</f>
        <v>SMALL</v>
      </c>
    </row>
    <row r="291" spans="1:32" x14ac:dyDescent="0.3">
      <c r="A291" t="s">
        <v>477</v>
      </c>
      <c r="B291" t="s">
        <v>579</v>
      </c>
      <c r="C291" t="s">
        <v>626</v>
      </c>
      <c r="D291">
        <v>51</v>
      </c>
      <c r="E291" t="s">
        <v>630</v>
      </c>
      <c r="F291">
        <v>399</v>
      </c>
      <c r="G291" s="4">
        <v>27996</v>
      </c>
      <c r="H291" s="4">
        <v>11170404</v>
      </c>
      <c r="I291" t="s">
        <v>636</v>
      </c>
      <c r="J291" t="s">
        <v>671</v>
      </c>
      <c r="K291" t="s">
        <v>640</v>
      </c>
      <c r="L291" t="s">
        <v>680</v>
      </c>
      <c r="M291" t="s">
        <v>685</v>
      </c>
      <c r="N291" t="s">
        <v>692</v>
      </c>
      <c r="O291" t="s">
        <v>693</v>
      </c>
      <c r="P291" s="4">
        <v>11170404</v>
      </c>
      <c r="Q291">
        <v>0</v>
      </c>
      <c r="R291" s="7">
        <v>0.11</v>
      </c>
      <c r="S291" s="8">
        <f>Table13[[#This Row],[Discount_%]]/100</f>
        <v>1.1000000000000001E-3</v>
      </c>
      <c r="T291" s="6" t="s">
        <v>758</v>
      </c>
      <c r="U291" t="s">
        <v>981</v>
      </c>
      <c r="V291">
        <v>2024</v>
      </c>
      <c r="W291" t="s">
        <v>996</v>
      </c>
      <c r="X291" t="s">
        <v>997</v>
      </c>
      <c r="Y291" t="s">
        <v>1002</v>
      </c>
      <c r="Z291">
        <v>2</v>
      </c>
      <c r="AA291">
        <v>31</v>
      </c>
      <c r="AB291" s="4">
        <f>Table13[[#This Row],[Total_Price]]*(1-Table13[[#This Row],[Discount 2]])</f>
        <v>11158116.555600001</v>
      </c>
      <c r="AC291" s="4" t="str" cm="1">
        <f t="array" ref="AC291">_xlfn.IFS(Table13[[#This Row],[Revenue]]&gt;=30000000,"High Value",Table13[[#This Row],[Revenue]]&gt;=10000000,"Moderate Value",TRUE,"Low Value")</f>
        <v>Moderate Value</v>
      </c>
      <c r="AD291" t="str">
        <f>IF(Table13[[#This Row],[Discount 2]]&gt;=5%, "YES", "NO")</f>
        <v>NO</v>
      </c>
      <c r="AE291" t="str" cm="1">
        <f t="array" ref="AE291">_xlfn.IFS(Table13[[#This Row],[Revenue]]&gt;=30000000,"High Spender",Table13[[#This Row],[Revenue]]&gt;=10000000,"Moderate Spender",TRUE,"Low Spender")</f>
        <v>Moderate Spender</v>
      </c>
      <c r="AF291" s="4" t="str" cm="1">
        <f t="array" ref="AF291">_xlfn.IFS(Table13[[#This Row],[Land_Size_SQM]]&gt;=730,"LARGE",Table13[[#This Row],[Land_Size_SQM]]&gt;=465,"MEDIUM",TRUE,"SMALL")</f>
        <v>SMALL</v>
      </c>
    </row>
    <row r="292" spans="1:32" x14ac:dyDescent="0.3">
      <c r="A292" t="s">
        <v>84</v>
      </c>
      <c r="B292" t="s">
        <v>565</v>
      </c>
      <c r="C292" t="s">
        <v>627</v>
      </c>
      <c r="D292">
        <v>23</v>
      </c>
      <c r="E292" t="s">
        <v>630</v>
      </c>
      <c r="F292">
        <v>607</v>
      </c>
      <c r="G292" s="4">
        <v>20080</v>
      </c>
      <c r="H292" s="4">
        <v>12188560</v>
      </c>
      <c r="I292" t="s">
        <v>635</v>
      </c>
      <c r="J292" t="s">
        <v>668</v>
      </c>
      <c r="K292" t="s">
        <v>664</v>
      </c>
      <c r="L292" t="s">
        <v>680</v>
      </c>
      <c r="M292" t="s">
        <v>683</v>
      </c>
      <c r="N292" t="s">
        <v>692</v>
      </c>
      <c r="O292" t="s">
        <v>693</v>
      </c>
      <c r="P292" s="4">
        <v>12188560</v>
      </c>
      <c r="Q292">
        <v>0</v>
      </c>
      <c r="R292" s="7">
        <v>9.68</v>
      </c>
      <c r="S292" s="8">
        <f>Table13[[#This Row],[Discount_%]]/100</f>
        <v>9.6799999999999997E-2</v>
      </c>
      <c r="T292" s="6" t="s">
        <v>747</v>
      </c>
      <c r="U292" t="s">
        <v>989</v>
      </c>
      <c r="V292">
        <v>2024</v>
      </c>
      <c r="W292" t="s">
        <v>996</v>
      </c>
      <c r="X292" t="s">
        <v>999</v>
      </c>
      <c r="Y292" t="s">
        <v>1001</v>
      </c>
      <c r="Z292">
        <v>2</v>
      </c>
      <c r="AA292">
        <v>38</v>
      </c>
      <c r="AB292" s="4">
        <f>Table13[[#This Row],[Total_Price]]*(1-Table13[[#This Row],[Discount 2]])</f>
        <v>11008707.392000001</v>
      </c>
      <c r="AC292" s="4" t="str" cm="1">
        <f t="array" ref="AC292">_xlfn.IFS(Table13[[#This Row],[Revenue]]&gt;=30000000,"High Value",Table13[[#This Row],[Revenue]]&gt;=10000000,"Moderate Value",TRUE,"Low Value")</f>
        <v>Moderate Value</v>
      </c>
      <c r="AD292" t="str">
        <f>IF(Table13[[#This Row],[Discount 2]]&gt;=5%, "YES", "NO")</f>
        <v>YES</v>
      </c>
      <c r="AE292" t="str" cm="1">
        <f t="array" ref="AE292">_xlfn.IFS(Table13[[#This Row],[Revenue]]&gt;=30000000,"High Spender",Table13[[#This Row],[Revenue]]&gt;=10000000,"Moderate Spender",TRUE,"Low Spender")</f>
        <v>Moderate Spender</v>
      </c>
      <c r="AF292" s="4" t="str" cm="1">
        <f t="array" ref="AF292">_xlfn.IFS(Table13[[#This Row],[Land_Size_SQM]]&gt;=730,"LARGE",Table13[[#This Row],[Land_Size_SQM]]&gt;=465,"MEDIUM",TRUE,"SMALL")</f>
        <v>MEDIUM</v>
      </c>
    </row>
    <row r="293" spans="1:32" x14ac:dyDescent="0.3">
      <c r="A293" t="s">
        <v>491</v>
      </c>
      <c r="B293" t="s">
        <v>606</v>
      </c>
      <c r="C293" t="s">
        <v>626</v>
      </c>
      <c r="D293">
        <v>58</v>
      </c>
      <c r="E293" t="s">
        <v>630</v>
      </c>
      <c r="F293">
        <v>634</v>
      </c>
      <c r="G293" s="4">
        <v>18173</v>
      </c>
      <c r="H293" s="4">
        <v>11521682</v>
      </c>
      <c r="I293" t="s">
        <v>662</v>
      </c>
      <c r="J293" t="s">
        <v>673</v>
      </c>
      <c r="K293" t="s">
        <v>640</v>
      </c>
      <c r="L293" t="s">
        <v>682</v>
      </c>
      <c r="M293" t="s">
        <v>683</v>
      </c>
      <c r="N293" t="s">
        <v>690</v>
      </c>
      <c r="O293" t="s">
        <v>693</v>
      </c>
      <c r="P293" s="4">
        <v>11521682</v>
      </c>
      <c r="Q293">
        <v>0</v>
      </c>
      <c r="R293" s="7">
        <v>4.78</v>
      </c>
      <c r="S293" s="8">
        <f>Table13[[#This Row],[Discount_%]]/100</f>
        <v>4.7800000000000002E-2</v>
      </c>
      <c r="T293" s="6" t="s">
        <v>749</v>
      </c>
      <c r="U293" t="s">
        <v>991</v>
      </c>
      <c r="V293">
        <v>2024</v>
      </c>
      <c r="W293" t="s">
        <v>996</v>
      </c>
      <c r="X293" t="s">
        <v>997</v>
      </c>
      <c r="Y293" t="s">
        <v>1001</v>
      </c>
      <c r="Z293">
        <v>2</v>
      </c>
      <c r="AA293">
        <v>1</v>
      </c>
      <c r="AB293" s="4">
        <f>Table13[[#This Row],[Total_Price]]*(1-Table13[[#This Row],[Discount 2]])</f>
        <v>10970945.600400001</v>
      </c>
      <c r="AC293" s="4" t="str" cm="1">
        <f t="array" ref="AC293">_xlfn.IFS(Table13[[#This Row],[Revenue]]&gt;=30000000,"High Value",Table13[[#This Row],[Revenue]]&gt;=10000000,"Moderate Value",TRUE,"Low Value")</f>
        <v>Moderate Value</v>
      </c>
      <c r="AD293" t="str">
        <f>IF(Table13[[#This Row],[Discount 2]]&gt;=5%, "YES", "NO")</f>
        <v>NO</v>
      </c>
      <c r="AE293" t="str" cm="1">
        <f t="array" ref="AE293">_xlfn.IFS(Table13[[#This Row],[Revenue]]&gt;=30000000,"High Spender",Table13[[#This Row],[Revenue]]&gt;=10000000,"Moderate Spender",TRUE,"Low Spender")</f>
        <v>Moderate Spender</v>
      </c>
      <c r="AF293" s="4" t="str" cm="1">
        <f t="array" ref="AF293">_xlfn.IFS(Table13[[#This Row],[Land_Size_SQM]]&gt;=730,"LARGE",Table13[[#This Row],[Land_Size_SQM]]&gt;=465,"MEDIUM",TRUE,"SMALL")</f>
        <v>MEDIUM</v>
      </c>
    </row>
    <row r="294" spans="1:32" x14ac:dyDescent="0.3">
      <c r="A294" t="s">
        <v>60</v>
      </c>
      <c r="B294" t="s">
        <v>552</v>
      </c>
      <c r="C294" t="s">
        <v>627</v>
      </c>
      <c r="D294">
        <v>64</v>
      </c>
      <c r="E294" t="s">
        <v>630</v>
      </c>
      <c r="F294">
        <v>548</v>
      </c>
      <c r="G294" s="4">
        <v>20327</v>
      </c>
      <c r="H294" s="4">
        <v>11139196</v>
      </c>
      <c r="I294" t="s">
        <v>651</v>
      </c>
      <c r="J294" t="s">
        <v>669</v>
      </c>
      <c r="K294" t="s">
        <v>677</v>
      </c>
      <c r="L294" t="s">
        <v>682</v>
      </c>
      <c r="M294" t="s">
        <v>684</v>
      </c>
      <c r="N294" t="s">
        <v>691</v>
      </c>
      <c r="O294" t="s">
        <v>694</v>
      </c>
      <c r="P294" s="4">
        <v>3954283</v>
      </c>
      <c r="Q294">
        <v>3</v>
      </c>
      <c r="R294" s="7">
        <v>1.91</v>
      </c>
      <c r="S294" s="8">
        <f>Table13[[#This Row],[Discount_%]]/100</f>
        <v>1.9099999999999999E-2</v>
      </c>
      <c r="T294" s="6" t="s">
        <v>727</v>
      </c>
      <c r="U294" t="s">
        <v>992</v>
      </c>
      <c r="V294">
        <v>2024</v>
      </c>
      <c r="W294" t="s">
        <v>993</v>
      </c>
      <c r="X294" t="s">
        <v>999</v>
      </c>
      <c r="Y294" t="s">
        <v>1002</v>
      </c>
      <c r="Z294">
        <v>2</v>
      </c>
      <c r="AA294">
        <v>26</v>
      </c>
      <c r="AB294" s="4">
        <f>Table13[[#This Row],[Total_Price]]*(1-Table13[[#This Row],[Discount 2]])</f>
        <v>10926437.3564</v>
      </c>
      <c r="AC294" s="4" t="str" cm="1">
        <f t="array" ref="AC294">_xlfn.IFS(Table13[[#This Row],[Revenue]]&gt;=30000000,"High Value",Table13[[#This Row],[Revenue]]&gt;=10000000,"Moderate Value",TRUE,"Low Value")</f>
        <v>Moderate Value</v>
      </c>
      <c r="AD294" t="str">
        <f>IF(Table13[[#This Row],[Discount 2]]&gt;=5%, "YES", "NO")</f>
        <v>NO</v>
      </c>
      <c r="AE294" t="str" cm="1">
        <f t="array" ref="AE294">_xlfn.IFS(Table13[[#This Row],[Revenue]]&gt;=30000000,"High Spender",Table13[[#This Row],[Revenue]]&gt;=10000000,"Moderate Spender",TRUE,"Low Spender")</f>
        <v>Moderate Spender</v>
      </c>
      <c r="AF294" s="4" t="str" cm="1">
        <f t="array" ref="AF294">_xlfn.IFS(Table13[[#This Row],[Land_Size_SQM]]&gt;=730,"LARGE",Table13[[#This Row],[Land_Size_SQM]]&gt;=465,"MEDIUM",TRUE,"SMALL")</f>
        <v>MEDIUM</v>
      </c>
    </row>
    <row r="295" spans="1:32" x14ac:dyDescent="0.3">
      <c r="A295" t="s">
        <v>211</v>
      </c>
      <c r="B295" t="s">
        <v>597</v>
      </c>
      <c r="C295" t="s">
        <v>626</v>
      </c>
      <c r="D295">
        <v>30</v>
      </c>
      <c r="E295" t="s">
        <v>630</v>
      </c>
      <c r="F295">
        <v>447</v>
      </c>
      <c r="G295" s="4">
        <v>26409</v>
      </c>
      <c r="H295" s="4">
        <v>11804823</v>
      </c>
      <c r="I295" t="s">
        <v>662</v>
      </c>
      <c r="J295" t="s">
        <v>673</v>
      </c>
      <c r="K295" t="s">
        <v>664</v>
      </c>
      <c r="L295" t="s">
        <v>682</v>
      </c>
      <c r="M295" t="s">
        <v>685</v>
      </c>
      <c r="N295" t="s">
        <v>690</v>
      </c>
      <c r="O295" t="s">
        <v>694</v>
      </c>
      <c r="P295" s="4">
        <v>2989868</v>
      </c>
      <c r="Q295">
        <v>24</v>
      </c>
      <c r="R295" s="7">
        <v>8.6999999999999993</v>
      </c>
      <c r="S295" s="8">
        <f>Table13[[#This Row],[Discount_%]]/100</f>
        <v>8.6999999999999994E-2</v>
      </c>
      <c r="T295" s="6" t="s">
        <v>838</v>
      </c>
      <c r="U295" t="s">
        <v>985</v>
      </c>
      <c r="V295">
        <v>2024</v>
      </c>
      <c r="W295" t="s">
        <v>993</v>
      </c>
      <c r="X295" t="s">
        <v>998</v>
      </c>
      <c r="Y295" t="s">
        <v>1000</v>
      </c>
      <c r="Z295">
        <v>2</v>
      </c>
      <c r="AA295">
        <v>37</v>
      </c>
      <c r="AB295" s="4">
        <f>Table13[[#This Row],[Total_Price]]*(1-Table13[[#This Row],[Discount 2]])</f>
        <v>10777803.399</v>
      </c>
      <c r="AC295" s="4" t="str" cm="1">
        <f t="array" ref="AC295">_xlfn.IFS(Table13[[#This Row],[Revenue]]&gt;=30000000,"High Value",Table13[[#This Row],[Revenue]]&gt;=10000000,"Moderate Value",TRUE,"Low Value")</f>
        <v>Moderate Value</v>
      </c>
      <c r="AD295" t="str">
        <f>IF(Table13[[#This Row],[Discount 2]]&gt;=5%, "YES", "NO")</f>
        <v>YES</v>
      </c>
      <c r="AE295" t="str" cm="1">
        <f t="array" ref="AE295">_xlfn.IFS(Table13[[#This Row],[Revenue]]&gt;=30000000,"High Spender",Table13[[#This Row],[Revenue]]&gt;=10000000,"Moderate Spender",TRUE,"Low Spender")</f>
        <v>Moderate Spender</v>
      </c>
      <c r="AF295" s="4" t="str" cm="1">
        <f t="array" ref="AF295">_xlfn.IFS(Table13[[#This Row],[Land_Size_SQM]]&gt;=730,"LARGE",Table13[[#This Row],[Land_Size_SQM]]&gt;=465,"MEDIUM",TRUE,"SMALL")</f>
        <v>SMALL</v>
      </c>
    </row>
    <row r="296" spans="1:32" x14ac:dyDescent="0.3">
      <c r="A296" t="s">
        <v>512</v>
      </c>
      <c r="B296" t="s">
        <v>607</v>
      </c>
      <c r="C296" t="s">
        <v>627</v>
      </c>
      <c r="D296">
        <v>29</v>
      </c>
      <c r="E296" t="s">
        <v>630</v>
      </c>
      <c r="F296">
        <v>722</v>
      </c>
      <c r="G296" s="4">
        <v>15752</v>
      </c>
      <c r="H296" s="4">
        <v>11372944</v>
      </c>
      <c r="I296" t="s">
        <v>667</v>
      </c>
      <c r="J296" t="s">
        <v>671</v>
      </c>
      <c r="K296" t="s">
        <v>675</v>
      </c>
      <c r="L296" t="s">
        <v>680</v>
      </c>
      <c r="M296" t="s">
        <v>683</v>
      </c>
      <c r="N296" t="s">
        <v>692</v>
      </c>
      <c r="O296" t="s">
        <v>693</v>
      </c>
      <c r="P296" s="4">
        <v>11372944</v>
      </c>
      <c r="Q296">
        <v>0</v>
      </c>
      <c r="R296" s="7">
        <v>6.63</v>
      </c>
      <c r="S296" s="8">
        <f>Table13[[#This Row],[Discount_%]]/100</f>
        <v>6.6299999999999998E-2</v>
      </c>
      <c r="T296" s="6" t="s">
        <v>977</v>
      </c>
      <c r="U296" t="s">
        <v>988</v>
      </c>
      <c r="V296">
        <v>2024</v>
      </c>
      <c r="W296" t="s">
        <v>996</v>
      </c>
      <c r="X296" t="s">
        <v>997</v>
      </c>
      <c r="Y296" t="s">
        <v>1002</v>
      </c>
      <c r="Z296">
        <v>3</v>
      </c>
      <c r="AA296">
        <v>9</v>
      </c>
      <c r="AB296" s="4">
        <f>Table13[[#This Row],[Total_Price]]*(1-Table13[[#This Row],[Discount 2]])</f>
        <v>10618917.812799999</v>
      </c>
      <c r="AC296" s="4" t="str" cm="1">
        <f t="array" ref="AC296">_xlfn.IFS(Table13[[#This Row],[Revenue]]&gt;=30000000,"High Value",Table13[[#This Row],[Revenue]]&gt;=10000000,"Moderate Value",TRUE,"Low Value")</f>
        <v>Moderate Value</v>
      </c>
      <c r="AD296" t="str">
        <f>IF(Table13[[#This Row],[Discount 2]]&gt;=5%, "YES", "NO")</f>
        <v>YES</v>
      </c>
      <c r="AE296" t="str" cm="1">
        <f t="array" ref="AE296">_xlfn.IFS(Table13[[#This Row],[Revenue]]&gt;=30000000,"High Spender",Table13[[#This Row],[Revenue]]&gt;=10000000,"Moderate Spender",TRUE,"Low Spender")</f>
        <v>Moderate Spender</v>
      </c>
      <c r="AF296" s="4" t="str" cm="1">
        <f t="array" ref="AF296">_xlfn.IFS(Table13[[#This Row],[Land_Size_SQM]]&gt;=730,"LARGE",Table13[[#This Row],[Land_Size_SQM]]&gt;=465,"MEDIUM",TRUE,"SMALL")</f>
        <v>MEDIUM</v>
      </c>
    </row>
    <row r="297" spans="1:32" x14ac:dyDescent="0.3">
      <c r="A297" t="s">
        <v>424</v>
      </c>
      <c r="B297" t="s">
        <v>598</v>
      </c>
      <c r="C297" t="s">
        <v>626</v>
      </c>
      <c r="D297">
        <v>28</v>
      </c>
      <c r="E297" t="s">
        <v>630</v>
      </c>
      <c r="F297">
        <v>648</v>
      </c>
      <c r="G297" s="4">
        <v>17211</v>
      </c>
      <c r="H297" s="4">
        <v>11152728</v>
      </c>
      <c r="I297" t="s">
        <v>632</v>
      </c>
      <c r="J297" t="s">
        <v>669</v>
      </c>
      <c r="K297" t="s">
        <v>651</v>
      </c>
      <c r="L297" t="s">
        <v>682</v>
      </c>
      <c r="M297" t="s">
        <v>684</v>
      </c>
      <c r="N297" t="s">
        <v>691</v>
      </c>
      <c r="O297" t="s">
        <v>693</v>
      </c>
      <c r="P297" s="4">
        <v>11152728</v>
      </c>
      <c r="Q297">
        <v>0</v>
      </c>
      <c r="R297" s="7">
        <v>5.88</v>
      </c>
      <c r="S297" s="8">
        <f>Table13[[#This Row],[Discount_%]]/100</f>
        <v>5.8799999999999998E-2</v>
      </c>
      <c r="T297" s="6" t="s">
        <v>762</v>
      </c>
      <c r="U297" t="s">
        <v>984</v>
      </c>
      <c r="V297">
        <v>2024</v>
      </c>
      <c r="W297" t="s">
        <v>994</v>
      </c>
      <c r="X297" t="s">
        <v>998</v>
      </c>
      <c r="Y297" t="s">
        <v>1000</v>
      </c>
      <c r="Z297">
        <v>5</v>
      </c>
      <c r="AA297">
        <v>14</v>
      </c>
      <c r="AB297" s="4">
        <f>Table13[[#This Row],[Total_Price]]*(1-Table13[[#This Row],[Discount 2]])</f>
        <v>10496947.593600001</v>
      </c>
      <c r="AC297" s="4" t="str" cm="1">
        <f t="array" ref="AC297">_xlfn.IFS(Table13[[#This Row],[Revenue]]&gt;=30000000,"High Value",Table13[[#This Row],[Revenue]]&gt;=10000000,"Moderate Value",TRUE,"Low Value")</f>
        <v>Moderate Value</v>
      </c>
      <c r="AD297" t="str">
        <f>IF(Table13[[#This Row],[Discount 2]]&gt;=5%, "YES", "NO")</f>
        <v>YES</v>
      </c>
      <c r="AE297" t="str" cm="1">
        <f t="array" ref="AE297">_xlfn.IFS(Table13[[#This Row],[Revenue]]&gt;=30000000,"High Spender",Table13[[#This Row],[Revenue]]&gt;=10000000,"Moderate Spender",TRUE,"Low Spender")</f>
        <v>Moderate Spender</v>
      </c>
      <c r="AF297" s="4" t="str" cm="1">
        <f t="array" ref="AF297">_xlfn.IFS(Table13[[#This Row],[Land_Size_SQM]]&gt;=730,"LARGE",Table13[[#This Row],[Land_Size_SQM]]&gt;=465,"MEDIUM",TRUE,"SMALL")</f>
        <v>MEDIUM</v>
      </c>
    </row>
    <row r="298" spans="1:32" x14ac:dyDescent="0.3">
      <c r="A298" t="s">
        <v>141</v>
      </c>
      <c r="B298" t="s">
        <v>567</v>
      </c>
      <c r="C298" t="s">
        <v>626</v>
      </c>
      <c r="D298">
        <v>34</v>
      </c>
      <c r="E298" t="s">
        <v>629</v>
      </c>
      <c r="F298">
        <v>649</v>
      </c>
      <c r="G298" s="4">
        <v>17357</v>
      </c>
      <c r="H298" s="4">
        <v>11264693</v>
      </c>
      <c r="I298" t="s">
        <v>631</v>
      </c>
      <c r="J298" t="s">
        <v>668</v>
      </c>
      <c r="K298" t="s">
        <v>640</v>
      </c>
      <c r="L298" t="s">
        <v>682</v>
      </c>
      <c r="M298" t="s">
        <v>687</v>
      </c>
      <c r="N298" t="s">
        <v>692</v>
      </c>
      <c r="O298" t="s">
        <v>693</v>
      </c>
      <c r="P298" s="4">
        <v>11264693</v>
      </c>
      <c r="Q298">
        <v>0</v>
      </c>
      <c r="R298" s="7">
        <v>7.54</v>
      </c>
      <c r="S298" s="8">
        <f>Table13[[#This Row],[Discount_%]]/100</f>
        <v>7.5399999999999995E-2</v>
      </c>
      <c r="T298" s="6" t="s">
        <v>791</v>
      </c>
      <c r="U298" t="s">
        <v>988</v>
      </c>
      <c r="V298">
        <v>2024</v>
      </c>
      <c r="W298" t="s">
        <v>994</v>
      </c>
      <c r="X298" t="s">
        <v>999</v>
      </c>
      <c r="Y298" t="s">
        <v>1002</v>
      </c>
      <c r="Z298">
        <v>2</v>
      </c>
      <c r="AA298">
        <v>43</v>
      </c>
      <c r="AB298" s="4">
        <f>Table13[[#This Row],[Total_Price]]*(1-Table13[[#This Row],[Discount 2]])</f>
        <v>10415335.1478</v>
      </c>
      <c r="AC298" s="4" t="str" cm="1">
        <f t="array" ref="AC298">_xlfn.IFS(Table13[[#This Row],[Revenue]]&gt;=30000000,"High Value",Table13[[#This Row],[Revenue]]&gt;=10000000,"Moderate Value",TRUE,"Low Value")</f>
        <v>Moderate Value</v>
      </c>
      <c r="AD298" t="str">
        <f>IF(Table13[[#This Row],[Discount 2]]&gt;=5%, "YES", "NO")</f>
        <v>YES</v>
      </c>
      <c r="AE298" t="str" cm="1">
        <f t="array" ref="AE298">_xlfn.IFS(Table13[[#This Row],[Revenue]]&gt;=30000000,"High Spender",Table13[[#This Row],[Revenue]]&gt;=10000000,"Moderate Spender",TRUE,"Low Spender")</f>
        <v>Moderate Spender</v>
      </c>
      <c r="AF298" s="4" t="str" cm="1">
        <f t="array" ref="AF298">_xlfn.IFS(Table13[[#This Row],[Land_Size_SQM]]&gt;=730,"LARGE",Table13[[#This Row],[Land_Size_SQM]]&gt;=465,"MEDIUM",TRUE,"SMALL")</f>
        <v>MEDIUM</v>
      </c>
    </row>
    <row r="299" spans="1:32" x14ac:dyDescent="0.3">
      <c r="A299" t="s">
        <v>200</v>
      </c>
      <c r="B299" t="s">
        <v>550</v>
      </c>
      <c r="C299" t="s">
        <v>627</v>
      </c>
      <c r="D299">
        <v>48</v>
      </c>
      <c r="E299" t="s">
        <v>628</v>
      </c>
      <c r="F299">
        <v>370</v>
      </c>
      <c r="G299" s="4">
        <v>29133</v>
      </c>
      <c r="H299" s="4">
        <v>10779210</v>
      </c>
      <c r="I299" t="s">
        <v>666</v>
      </c>
      <c r="J299" t="s">
        <v>670</v>
      </c>
      <c r="K299" t="s">
        <v>640</v>
      </c>
      <c r="L299" t="s">
        <v>680</v>
      </c>
      <c r="M299" t="s">
        <v>687</v>
      </c>
      <c r="N299" t="s">
        <v>689</v>
      </c>
      <c r="O299" t="s">
        <v>694</v>
      </c>
      <c r="P299" s="4">
        <v>3291640</v>
      </c>
      <c r="Q299">
        <v>24</v>
      </c>
      <c r="R299" s="7">
        <v>3.75</v>
      </c>
      <c r="S299" s="8">
        <f>Table13[[#This Row],[Discount_%]]/100</f>
        <v>3.7499999999999999E-2</v>
      </c>
      <c r="T299" s="6" t="s">
        <v>830</v>
      </c>
      <c r="U299" t="s">
        <v>986</v>
      </c>
      <c r="V299">
        <v>2024</v>
      </c>
      <c r="W299" t="s">
        <v>994</v>
      </c>
      <c r="X299" t="s">
        <v>998</v>
      </c>
      <c r="Y299" t="s">
        <v>1000</v>
      </c>
      <c r="Z299">
        <v>1</v>
      </c>
      <c r="AA299">
        <v>22</v>
      </c>
      <c r="AB299" s="4">
        <f>Table13[[#This Row],[Total_Price]]*(1-Table13[[#This Row],[Discount 2]])</f>
        <v>10374989.625</v>
      </c>
      <c r="AC299" s="4" t="str" cm="1">
        <f t="array" ref="AC299">_xlfn.IFS(Table13[[#This Row],[Revenue]]&gt;=30000000,"High Value",Table13[[#This Row],[Revenue]]&gt;=10000000,"Moderate Value",TRUE,"Low Value")</f>
        <v>Moderate Value</v>
      </c>
      <c r="AD299" t="str">
        <f>IF(Table13[[#This Row],[Discount 2]]&gt;=5%, "YES", "NO")</f>
        <v>NO</v>
      </c>
      <c r="AE299" t="str" cm="1">
        <f t="array" ref="AE299">_xlfn.IFS(Table13[[#This Row],[Revenue]]&gt;=30000000,"High Spender",Table13[[#This Row],[Revenue]]&gt;=10000000,"Moderate Spender",TRUE,"Low Spender")</f>
        <v>Moderate Spender</v>
      </c>
      <c r="AF299" s="4" t="str" cm="1">
        <f t="array" ref="AF299">_xlfn.IFS(Table13[[#This Row],[Land_Size_SQM]]&gt;=730,"LARGE",Table13[[#This Row],[Land_Size_SQM]]&gt;=465,"MEDIUM",TRUE,"SMALL")</f>
        <v>SMALL</v>
      </c>
    </row>
    <row r="300" spans="1:32" x14ac:dyDescent="0.3">
      <c r="A300" t="s">
        <v>100</v>
      </c>
      <c r="B300" t="s">
        <v>575</v>
      </c>
      <c r="C300" t="s">
        <v>627</v>
      </c>
      <c r="D300">
        <v>41</v>
      </c>
      <c r="E300" t="s">
        <v>628</v>
      </c>
      <c r="F300">
        <v>253</v>
      </c>
      <c r="G300" s="4">
        <v>43345</v>
      </c>
      <c r="H300" s="4">
        <v>10966285</v>
      </c>
      <c r="I300" t="s">
        <v>636</v>
      </c>
      <c r="J300" t="s">
        <v>671</v>
      </c>
      <c r="K300" t="s">
        <v>674</v>
      </c>
      <c r="L300" t="s">
        <v>682</v>
      </c>
      <c r="M300" t="s">
        <v>683</v>
      </c>
      <c r="N300" t="s">
        <v>690</v>
      </c>
      <c r="O300" t="s">
        <v>694</v>
      </c>
      <c r="P300" s="4">
        <v>3277902</v>
      </c>
      <c r="Q300">
        <v>3</v>
      </c>
      <c r="R300" s="7">
        <v>5.58</v>
      </c>
      <c r="S300" s="8">
        <f>Table13[[#This Row],[Discount_%]]/100</f>
        <v>5.5800000000000002E-2</v>
      </c>
      <c r="T300" s="6" t="s">
        <v>761</v>
      </c>
      <c r="U300" t="s">
        <v>991</v>
      </c>
      <c r="V300">
        <v>2024</v>
      </c>
      <c r="W300" t="s">
        <v>994</v>
      </c>
      <c r="X300" t="s">
        <v>997</v>
      </c>
      <c r="Y300" t="s">
        <v>1001</v>
      </c>
      <c r="Z300">
        <v>4</v>
      </c>
      <c r="AA300">
        <v>9</v>
      </c>
      <c r="AB300" s="4">
        <f>Table13[[#This Row],[Total_Price]]*(1-Table13[[#This Row],[Discount 2]])</f>
        <v>10354366.297</v>
      </c>
      <c r="AC300" s="4" t="str" cm="1">
        <f t="array" ref="AC300">_xlfn.IFS(Table13[[#This Row],[Revenue]]&gt;=30000000,"High Value",Table13[[#This Row],[Revenue]]&gt;=10000000,"Moderate Value",TRUE,"Low Value")</f>
        <v>Moderate Value</v>
      </c>
      <c r="AD300" t="str">
        <f>IF(Table13[[#This Row],[Discount 2]]&gt;=5%, "YES", "NO")</f>
        <v>YES</v>
      </c>
      <c r="AE300" t="str" cm="1">
        <f t="array" ref="AE300">_xlfn.IFS(Table13[[#This Row],[Revenue]]&gt;=30000000,"High Spender",Table13[[#This Row],[Revenue]]&gt;=10000000,"Moderate Spender",TRUE,"Low Spender")</f>
        <v>Moderate Spender</v>
      </c>
      <c r="AF300" s="4" t="str" cm="1">
        <f t="array" ref="AF300">_xlfn.IFS(Table13[[#This Row],[Land_Size_SQM]]&gt;=730,"LARGE",Table13[[#This Row],[Land_Size_SQM]]&gt;=465,"MEDIUM",TRUE,"SMALL")</f>
        <v>SMALL</v>
      </c>
    </row>
    <row r="301" spans="1:32" x14ac:dyDescent="0.3">
      <c r="A301" t="s">
        <v>233</v>
      </c>
      <c r="B301" t="s">
        <v>612</v>
      </c>
      <c r="C301" t="s">
        <v>626</v>
      </c>
      <c r="D301">
        <v>52</v>
      </c>
      <c r="E301" t="s">
        <v>628</v>
      </c>
      <c r="F301">
        <v>326</v>
      </c>
      <c r="G301" s="4">
        <v>31524</v>
      </c>
      <c r="H301" s="4">
        <v>10276824</v>
      </c>
      <c r="I301" t="s">
        <v>663</v>
      </c>
      <c r="J301" t="s">
        <v>670</v>
      </c>
      <c r="K301" t="s">
        <v>674</v>
      </c>
      <c r="L301" t="s">
        <v>682</v>
      </c>
      <c r="M301" t="s">
        <v>686</v>
      </c>
      <c r="N301" t="s">
        <v>688</v>
      </c>
      <c r="O301" t="s">
        <v>694</v>
      </c>
      <c r="P301" s="4">
        <v>5026975</v>
      </c>
      <c r="Q301">
        <v>6</v>
      </c>
      <c r="R301" s="7">
        <v>0.04</v>
      </c>
      <c r="S301" s="8">
        <f>Table13[[#This Row],[Discount_%]]/100</f>
        <v>4.0000000000000002E-4</v>
      </c>
      <c r="T301" s="6" t="s">
        <v>852</v>
      </c>
      <c r="U301" t="s">
        <v>988</v>
      </c>
      <c r="V301">
        <v>2024</v>
      </c>
      <c r="W301" t="s">
        <v>996</v>
      </c>
      <c r="X301" t="s">
        <v>999</v>
      </c>
      <c r="Y301" t="s">
        <v>1002</v>
      </c>
      <c r="Z301">
        <v>5</v>
      </c>
      <c r="AA301">
        <v>39</v>
      </c>
      <c r="AB301" s="4">
        <f>Table13[[#This Row],[Total_Price]]*(1-Table13[[#This Row],[Discount 2]])</f>
        <v>10272713.270400001</v>
      </c>
      <c r="AC301" s="4" t="str" cm="1">
        <f t="array" ref="AC301">_xlfn.IFS(Table13[[#This Row],[Revenue]]&gt;=30000000,"High Value",Table13[[#This Row],[Revenue]]&gt;=10000000,"Moderate Value",TRUE,"Low Value")</f>
        <v>Moderate Value</v>
      </c>
      <c r="AD301" t="str">
        <f>IF(Table13[[#This Row],[Discount 2]]&gt;=5%, "YES", "NO")</f>
        <v>NO</v>
      </c>
      <c r="AE301" t="str" cm="1">
        <f t="array" ref="AE301">_xlfn.IFS(Table13[[#This Row],[Revenue]]&gt;=30000000,"High Spender",Table13[[#This Row],[Revenue]]&gt;=10000000,"Moderate Spender",TRUE,"Low Spender")</f>
        <v>Moderate Spender</v>
      </c>
      <c r="AF301" s="4" t="str" cm="1">
        <f t="array" ref="AF301">_xlfn.IFS(Table13[[#This Row],[Land_Size_SQM]]&gt;=730,"LARGE",Table13[[#This Row],[Land_Size_SQM]]&gt;=465,"MEDIUM",TRUE,"SMALL")</f>
        <v>SMALL</v>
      </c>
    </row>
    <row r="302" spans="1:32" x14ac:dyDescent="0.3">
      <c r="A302" t="s">
        <v>418</v>
      </c>
      <c r="B302" t="s">
        <v>532</v>
      </c>
      <c r="C302" t="s">
        <v>626</v>
      </c>
      <c r="D302">
        <v>57</v>
      </c>
      <c r="E302" t="s">
        <v>628</v>
      </c>
      <c r="F302">
        <v>310</v>
      </c>
      <c r="G302" s="4">
        <v>35466</v>
      </c>
      <c r="H302" s="4">
        <v>10994460</v>
      </c>
      <c r="I302" t="s">
        <v>664</v>
      </c>
      <c r="J302" t="s">
        <v>673</v>
      </c>
      <c r="K302" t="s">
        <v>675</v>
      </c>
      <c r="L302" t="s">
        <v>682</v>
      </c>
      <c r="M302" t="s">
        <v>685</v>
      </c>
      <c r="N302" t="s">
        <v>689</v>
      </c>
      <c r="O302" t="s">
        <v>694</v>
      </c>
      <c r="P302" s="4">
        <v>2510533</v>
      </c>
      <c r="Q302">
        <v>24</v>
      </c>
      <c r="R302" s="7">
        <v>6.61</v>
      </c>
      <c r="S302" s="8">
        <f>Table13[[#This Row],[Discount_%]]/100</f>
        <v>6.6100000000000006E-2</v>
      </c>
      <c r="T302" s="6" t="s">
        <v>816</v>
      </c>
      <c r="U302" t="s">
        <v>985</v>
      </c>
      <c r="V302">
        <v>2024</v>
      </c>
      <c r="W302" t="s">
        <v>995</v>
      </c>
      <c r="X302" t="s">
        <v>999</v>
      </c>
      <c r="Y302" t="s">
        <v>1000</v>
      </c>
      <c r="Z302">
        <v>4</v>
      </c>
      <c r="AA302">
        <v>3</v>
      </c>
      <c r="AB302" s="4">
        <f>Table13[[#This Row],[Total_Price]]*(1-Table13[[#This Row],[Discount 2]])</f>
        <v>10267726.194</v>
      </c>
      <c r="AC302" s="4" t="str" cm="1">
        <f t="array" ref="AC302">_xlfn.IFS(Table13[[#This Row],[Revenue]]&gt;=30000000,"High Value",Table13[[#This Row],[Revenue]]&gt;=10000000,"Moderate Value",TRUE,"Low Value")</f>
        <v>Moderate Value</v>
      </c>
      <c r="AD302" t="str">
        <f>IF(Table13[[#This Row],[Discount 2]]&gt;=5%, "YES", "NO")</f>
        <v>YES</v>
      </c>
      <c r="AE302" t="str" cm="1">
        <f t="array" ref="AE302">_xlfn.IFS(Table13[[#This Row],[Revenue]]&gt;=30000000,"High Spender",Table13[[#This Row],[Revenue]]&gt;=10000000,"Moderate Spender",TRUE,"Low Spender")</f>
        <v>Moderate Spender</v>
      </c>
      <c r="AF302" s="4" t="str" cm="1">
        <f t="array" ref="AF302">_xlfn.IFS(Table13[[#This Row],[Land_Size_SQM]]&gt;=730,"LARGE",Table13[[#This Row],[Land_Size_SQM]]&gt;=465,"MEDIUM",TRUE,"SMALL")</f>
        <v>SMALL</v>
      </c>
    </row>
    <row r="303" spans="1:32" x14ac:dyDescent="0.3">
      <c r="A303" t="s">
        <v>265</v>
      </c>
      <c r="B303" t="s">
        <v>532</v>
      </c>
      <c r="C303" t="s">
        <v>627</v>
      </c>
      <c r="D303">
        <v>52</v>
      </c>
      <c r="E303" t="s">
        <v>630</v>
      </c>
      <c r="F303">
        <v>379</v>
      </c>
      <c r="G303" s="4">
        <v>28681</v>
      </c>
      <c r="H303" s="4">
        <v>10870099</v>
      </c>
      <c r="I303" t="s">
        <v>638</v>
      </c>
      <c r="J303" t="s">
        <v>672</v>
      </c>
      <c r="K303" t="s">
        <v>677</v>
      </c>
      <c r="L303" t="s">
        <v>682</v>
      </c>
      <c r="M303" t="s">
        <v>686</v>
      </c>
      <c r="N303" t="s">
        <v>690</v>
      </c>
      <c r="O303" t="s">
        <v>693</v>
      </c>
      <c r="P303" s="4">
        <v>10870099</v>
      </c>
      <c r="Q303">
        <v>0</v>
      </c>
      <c r="R303" s="7">
        <v>5.59</v>
      </c>
      <c r="S303" s="8">
        <f>Table13[[#This Row],[Discount_%]]/100</f>
        <v>5.5899999999999998E-2</v>
      </c>
      <c r="T303" s="6" t="s">
        <v>872</v>
      </c>
      <c r="U303" t="s">
        <v>986</v>
      </c>
      <c r="V303">
        <v>2024</v>
      </c>
      <c r="W303" t="s">
        <v>995</v>
      </c>
      <c r="X303" t="s">
        <v>998</v>
      </c>
      <c r="Y303" t="s">
        <v>1001</v>
      </c>
      <c r="Z303">
        <v>4</v>
      </c>
      <c r="AA303">
        <v>50</v>
      </c>
      <c r="AB303" s="4">
        <f>Table13[[#This Row],[Total_Price]]*(1-Table13[[#This Row],[Discount 2]])</f>
        <v>10262460.4659</v>
      </c>
      <c r="AC303" s="4" t="str" cm="1">
        <f t="array" ref="AC303">_xlfn.IFS(Table13[[#This Row],[Revenue]]&gt;=30000000,"High Value",Table13[[#This Row],[Revenue]]&gt;=10000000,"Moderate Value",TRUE,"Low Value")</f>
        <v>Moderate Value</v>
      </c>
      <c r="AD303" t="str">
        <f>IF(Table13[[#This Row],[Discount 2]]&gt;=5%, "YES", "NO")</f>
        <v>YES</v>
      </c>
      <c r="AE303" t="str" cm="1">
        <f t="array" ref="AE303">_xlfn.IFS(Table13[[#This Row],[Revenue]]&gt;=30000000,"High Spender",Table13[[#This Row],[Revenue]]&gt;=10000000,"Moderate Spender",TRUE,"Low Spender")</f>
        <v>Moderate Spender</v>
      </c>
      <c r="AF303" s="4" t="str" cm="1">
        <f t="array" ref="AF303">_xlfn.IFS(Table13[[#This Row],[Land_Size_SQM]]&gt;=730,"LARGE",Table13[[#This Row],[Land_Size_SQM]]&gt;=465,"MEDIUM",TRUE,"SMALL")</f>
        <v>SMALL</v>
      </c>
    </row>
    <row r="304" spans="1:32" x14ac:dyDescent="0.3">
      <c r="A304" t="s">
        <v>394</v>
      </c>
      <c r="B304" t="s">
        <v>545</v>
      </c>
      <c r="C304" t="s">
        <v>627</v>
      </c>
      <c r="D304">
        <v>42</v>
      </c>
      <c r="E304" t="s">
        <v>628</v>
      </c>
      <c r="F304">
        <v>544</v>
      </c>
      <c r="G304" s="4">
        <v>19915</v>
      </c>
      <c r="H304" s="4">
        <v>10833760</v>
      </c>
      <c r="I304" t="s">
        <v>638</v>
      </c>
      <c r="J304" t="s">
        <v>672</v>
      </c>
      <c r="K304" t="s">
        <v>674</v>
      </c>
      <c r="L304" t="s">
        <v>682</v>
      </c>
      <c r="M304" t="s">
        <v>687</v>
      </c>
      <c r="N304" t="s">
        <v>692</v>
      </c>
      <c r="O304" t="s">
        <v>693</v>
      </c>
      <c r="P304" s="4">
        <v>10833760</v>
      </c>
      <c r="Q304">
        <v>0</v>
      </c>
      <c r="R304" s="7">
        <v>5.66</v>
      </c>
      <c r="S304" s="8">
        <f>Table13[[#This Row],[Discount_%]]/100</f>
        <v>5.6600000000000004E-2</v>
      </c>
      <c r="T304" s="6" t="s">
        <v>868</v>
      </c>
      <c r="U304" t="s">
        <v>986</v>
      </c>
      <c r="V304">
        <v>2024</v>
      </c>
      <c r="W304" t="s">
        <v>994</v>
      </c>
      <c r="X304" t="s">
        <v>998</v>
      </c>
      <c r="Y304" t="s">
        <v>1001</v>
      </c>
      <c r="Z304">
        <v>5</v>
      </c>
      <c r="AA304">
        <v>21</v>
      </c>
      <c r="AB304" s="4">
        <f>Table13[[#This Row],[Total_Price]]*(1-Table13[[#This Row],[Discount 2]])</f>
        <v>10220569.184</v>
      </c>
      <c r="AC304" s="4" t="str" cm="1">
        <f t="array" ref="AC304">_xlfn.IFS(Table13[[#This Row],[Revenue]]&gt;=30000000,"High Value",Table13[[#This Row],[Revenue]]&gt;=10000000,"Moderate Value",TRUE,"Low Value")</f>
        <v>Moderate Value</v>
      </c>
      <c r="AD304" t="str">
        <f>IF(Table13[[#This Row],[Discount 2]]&gt;=5%, "YES", "NO")</f>
        <v>YES</v>
      </c>
      <c r="AE304" t="str" cm="1">
        <f t="array" ref="AE304">_xlfn.IFS(Table13[[#This Row],[Revenue]]&gt;=30000000,"High Spender",Table13[[#This Row],[Revenue]]&gt;=10000000,"Moderate Spender",TRUE,"Low Spender")</f>
        <v>Moderate Spender</v>
      </c>
      <c r="AF304" s="4" t="str" cm="1">
        <f t="array" ref="AF304">_xlfn.IFS(Table13[[#This Row],[Land_Size_SQM]]&gt;=730,"LARGE",Table13[[#This Row],[Land_Size_SQM]]&gt;=465,"MEDIUM",TRUE,"SMALL")</f>
        <v>MEDIUM</v>
      </c>
    </row>
    <row r="305" spans="1:32" x14ac:dyDescent="0.3">
      <c r="A305" t="s">
        <v>341</v>
      </c>
      <c r="B305" t="s">
        <v>562</v>
      </c>
      <c r="C305" t="s">
        <v>627</v>
      </c>
      <c r="D305">
        <v>53</v>
      </c>
      <c r="E305" t="s">
        <v>630</v>
      </c>
      <c r="F305">
        <v>543</v>
      </c>
      <c r="G305" s="4">
        <v>19716</v>
      </c>
      <c r="H305" s="4">
        <v>10705788</v>
      </c>
      <c r="I305" t="s">
        <v>655</v>
      </c>
      <c r="J305" t="s">
        <v>672</v>
      </c>
      <c r="K305" t="s">
        <v>677</v>
      </c>
      <c r="L305" t="s">
        <v>682</v>
      </c>
      <c r="M305" t="s">
        <v>683</v>
      </c>
      <c r="N305" t="s">
        <v>690</v>
      </c>
      <c r="O305" t="s">
        <v>694</v>
      </c>
      <c r="P305" s="4">
        <v>2961255</v>
      </c>
      <c r="Q305">
        <v>3</v>
      </c>
      <c r="R305" s="7">
        <v>5.84</v>
      </c>
      <c r="S305" s="8">
        <f>Table13[[#This Row],[Discount_%]]/100</f>
        <v>5.8400000000000001E-2</v>
      </c>
      <c r="T305" s="6" t="s">
        <v>923</v>
      </c>
      <c r="U305" t="s">
        <v>989</v>
      </c>
      <c r="V305">
        <v>2024</v>
      </c>
      <c r="W305" t="s">
        <v>993</v>
      </c>
      <c r="X305" t="s">
        <v>997</v>
      </c>
      <c r="Y305" t="s">
        <v>1000</v>
      </c>
      <c r="Z305">
        <v>1</v>
      </c>
      <c r="AA305">
        <v>1</v>
      </c>
      <c r="AB305" s="4">
        <f>Table13[[#This Row],[Total_Price]]*(1-Table13[[#This Row],[Discount 2]])</f>
        <v>10080569.980799999</v>
      </c>
      <c r="AC305" s="4" t="str" cm="1">
        <f t="array" ref="AC305">_xlfn.IFS(Table13[[#This Row],[Revenue]]&gt;=30000000,"High Value",Table13[[#This Row],[Revenue]]&gt;=10000000,"Moderate Value",TRUE,"Low Value")</f>
        <v>Moderate Value</v>
      </c>
      <c r="AD305" t="str">
        <f>IF(Table13[[#This Row],[Discount 2]]&gt;=5%, "YES", "NO")</f>
        <v>YES</v>
      </c>
      <c r="AE305" t="str" cm="1">
        <f t="array" ref="AE305">_xlfn.IFS(Table13[[#This Row],[Revenue]]&gt;=30000000,"High Spender",Table13[[#This Row],[Revenue]]&gt;=10000000,"Moderate Spender",TRUE,"Low Spender")</f>
        <v>Moderate Spender</v>
      </c>
      <c r="AF305" s="4" t="str" cm="1">
        <f t="array" ref="AF305">_xlfn.IFS(Table13[[#This Row],[Land_Size_SQM]]&gt;=730,"LARGE",Table13[[#This Row],[Land_Size_SQM]]&gt;=465,"MEDIUM",TRUE,"SMALL")</f>
        <v>MEDIUM</v>
      </c>
    </row>
    <row r="306" spans="1:32" x14ac:dyDescent="0.3">
      <c r="A306" t="s">
        <v>68</v>
      </c>
      <c r="B306" t="s">
        <v>558</v>
      </c>
      <c r="C306" t="s">
        <v>627</v>
      </c>
      <c r="D306">
        <v>57</v>
      </c>
      <c r="E306" t="s">
        <v>630</v>
      </c>
      <c r="F306">
        <v>221</v>
      </c>
      <c r="G306" s="4">
        <v>46058</v>
      </c>
      <c r="H306" s="4">
        <v>10178818</v>
      </c>
      <c r="I306" t="s">
        <v>656</v>
      </c>
      <c r="J306" t="s">
        <v>669</v>
      </c>
      <c r="K306" t="s">
        <v>674</v>
      </c>
      <c r="L306" t="s">
        <v>682</v>
      </c>
      <c r="M306" t="s">
        <v>684</v>
      </c>
      <c r="N306" t="s">
        <v>689</v>
      </c>
      <c r="O306" t="s">
        <v>694</v>
      </c>
      <c r="P306" s="4">
        <v>4366028</v>
      </c>
      <c r="Q306">
        <v>3</v>
      </c>
      <c r="R306" s="7">
        <v>1.75</v>
      </c>
      <c r="S306" s="8">
        <f>Table13[[#This Row],[Discount_%]]/100</f>
        <v>1.7500000000000002E-2</v>
      </c>
      <c r="T306" s="6" t="s">
        <v>734</v>
      </c>
      <c r="U306" t="s">
        <v>986</v>
      </c>
      <c r="V306">
        <v>2024</v>
      </c>
      <c r="W306" t="s">
        <v>995</v>
      </c>
      <c r="X306" t="s">
        <v>998</v>
      </c>
      <c r="Y306" t="s">
        <v>1002</v>
      </c>
      <c r="Z306">
        <v>3</v>
      </c>
      <c r="AA306">
        <v>21</v>
      </c>
      <c r="AB306" s="4">
        <f>Table13[[#This Row],[Total_Price]]*(1-Table13[[#This Row],[Discount 2]])</f>
        <v>10000688.685000001</v>
      </c>
      <c r="AC306" s="4" t="str" cm="1">
        <f t="array" ref="AC306">_xlfn.IFS(Table13[[#This Row],[Revenue]]&gt;=30000000,"High Value",Table13[[#This Row],[Revenue]]&gt;=10000000,"Moderate Value",TRUE,"Low Value")</f>
        <v>Moderate Value</v>
      </c>
      <c r="AD306" t="str">
        <f>IF(Table13[[#This Row],[Discount 2]]&gt;=5%, "YES", "NO")</f>
        <v>NO</v>
      </c>
      <c r="AE306" t="str" cm="1">
        <f t="array" ref="AE306">_xlfn.IFS(Table13[[#This Row],[Revenue]]&gt;=30000000,"High Spender",Table13[[#This Row],[Revenue]]&gt;=10000000,"Moderate Spender",TRUE,"Low Spender")</f>
        <v>Moderate Spender</v>
      </c>
      <c r="AF306" s="4" t="str" cm="1">
        <f t="array" ref="AF306">_xlfn.IFS(Table13[[#This Row],[Land_Size_SQM]]&gt;=730,"LARGE",Table13[[#This Row],[Land_Size_SQM]]&gt;=465,"MEDIUM",TRUE,"SMALL")</f>
        <v>SMALL</v>
      </c>
    </row>
    <row r="307" spans="1:32" x14ac:dyDescent="0.3">
      <c r="A307" t="s">
        <v>269</v>
      </c>
      <c r="B307" t="s">
        <v>580</v>
      </c>
      <c r="C307" t="s">
        <v>627</v>
      </c>
      <c r="D307">
        <v>52</v>
      </c>
      <c r="E307" t="s">
        <v>630</v>
      </c>
      <c r="F307">
        <v>607</v>
      </c>
      <c r="G307" s="4">
        <v>16555</v>
      </c>
      <c r="H307" s="4">
        <v>10048885</v>
      </c>
      <c r="I307" t="s">
        <v>656</v>
      </c>
      <c r="J307" t="s">
        <v>669</v>
      </c>
      <c r="K307" t="s">
        <v>677</v>
      </c>
      <c r="L307" t="s">
        <v>681</v>
      </c>
      <c r="M307" t="s">
        <v>683</v>
      </c>
      <c r="N307" t="s">
        <v>691</v>
      </c>
      <c r="O307" t="s">
        <v>693</v>
      </c>
      <c r="P307" s="4">
        <v>10048885</v>
      </c>
      <c r="Q307">
        <v>0</v>
      </c>
      <c r="R307" s="7">
        <v>0.54</v>
      </c>
      <c r="S307" s="8">
        <f>Table13[[#This Row],[Discount_%]]/100</f>
        <v>5.4000000000000003E-3</v>
      </c>
      <c r="T307" s="6" t="s">
        <v>807</v>
      </c>
      <c r="U307" t="s">
        <v>989</v>
      </c>
      <c r="V307">
        <v>2024</v>
      </c>
      <c r="W307" t="s">
        <v>993</v>
      </c>
      <c r="X307" t="s">
        <v>997</v>
      </c>
      <c r="Y307" t="s">
        <v>1001</v>
      </c>
      <c r="Z307">
        <v>4</v>
      </c>
      <c r="AA307">
        <v>21</v>
      </c>
      <c r="AB307" s="4">
        <f>Table13[[#This Row],[Total_Price]]*(1-Table13[[#This Row],[Discount 2]])</f>
        <v>9994621.0209999997</v>
      </c>
      <c r="AC307" s="4" t="str" cm="1">
        <f t="array" ref="AC307">_xlfn.IFS(Table13[[#This Row],[Revenue]]&gt;=30000000,"High Value",Table13[[#This Row],[Revenue]]&gt;=10000000,"Moderate Value",TRUE,"Low Value")</f>
        <v>Low Value</v>
      </c>
      <c r="AD307" t="str">
        <f>IF(Table13[[#This Row],[Discount 2]]&gt;=5%, "YES", "NO")</f>
        <v>NO</v>
      </c>
      <c r="AE307" t="str" cm="1">
        <f t="array" ref="AE307">_xlfn.IFS(Table13[[#This Row],[Revenue]]&gt;=30000000,"High Spender",Table13[[#This Row],[Revenue]]&gt;=10000000,"Moderate Spender",TRUE,"Low Spender")</f>
        <v>Low Spender</v>
      </c>
      <c r="AF307" s="4" t="str" cm="1">
        <f t="array" ref="AF307">_xlfn.IFS(Table13[[#This Row],[Land_Size_SQM]]&gt;=730,"LARGE",Table13[[#This Row],[Land_Size_SQM]]&gt;=465,"MEDIUM",TRUE,"SMALL")</f>
        <v>MEDIUM</v>
      </c>
    </row>
    <row r="308" spans="1:32" x14ac:dyDescent="0.3">
      <c r="A308" t="s">
        <v>377</v>
      </c>
      <c r="B308" t="s">
        <v>615</v>
      </c>
      <c r="C308" t="s">
        <v>627</v>
      </c>
      <c r="D308">
        <v>54</v>
      </c>
      <c r="E308" t="s">
        <v>630</v>
      </c>
      <c r="F308">
        <v>496</v>
      </c>
      <c r="G308" s="4">
        <v>21114</v>
      </c>
      <c r="H308" s="4">
        <v>10472544</v>
      </c>
      <c r="I308" t="s">
        <v>635</v>
      </c>
      <c r="J308" t="s">
        <v>668</v>
      </c>
      <c r="K308" t="s">
        <v>664</v>
      </c>
      <c r="L308" t="s">
        <v>681</v>
      </c>
      <c r="M308" t="s">
        <v>687</v>
      </c>
      <c r="N308" t="s">
        <v>690</v>
      </c>
      <c r="O308" t="s">
        <v>693</v>
      </c>
      <c r="P308" s="4">
        <v>10472544</v>
      </c>
      <c r="Q308">
        <v>0</v>
      </c>
      <c r="R308" s="7">
        <v>5.14</v>
      </c>
      <c r="S308" s="8">
        <f>Table13[[#This Row],[Discount_%]]/100</f>
        <v>5.1399999999999994E-2</v>
      </c>
      <c r="T308" s="6" t="s">
        <v>697</v>
      </c>
      <c r="U308" t="s">
        <v>983</v>
      </c>
      <c r="V308">
        <v>2024</v>
      </c>
      <c r="W308" t="s">
        <v>994</v>
      </c>
      <c r="X308" t="s">
        <v>999</v>
      </c>
      <c r="Y308" t="s">
        <v>1001</v>
      </c>
      <c r="Z308">
        <v>5</v>
      </c>
      <c r="AA308">
        <v>23</v>
      </c>
      <c r="AB308" s="4">
        <f>Table13[[#This Row],[Total_Price]]*(1-Table13[[#This Row],[Discount 2]])</f>
        <v>9934255.2383999992</v>
      </c>
      <c r="AC308" s="4" t="str" cm="1">
        <f t="array" ref="AC308">_xlfn.IFS(Table13[[#This Row],[Revenue]]&gt;=30000000,"High Value",Table13[[#This Row],[Revenue]]&gt;=10000000,"Moderate Value",TRUE,"Low Value")</f>
        <v>Low Value</v>
      </c>
      <c r="AD308" t="str">
        <f>IF(Table13[[#This Row],[Discount 2]]&gt;=5%, "YES", "NO")</f>
        <v>YES</v>
      </c>
      <c r="AE308" t="str" cm="1">
        <f t="array" ref="AE308">_xlfn.IFS(Table13[[#This Row],[Revenue]]&gt;=30000000,"High Spender",Table13[[#This Row],[Revenue]]&gt;=10000000,"Moderate Spender",TRUE,"Low Spender")</f>
        <v>Low Spender</v>
      </c>
      <c r="AF308" s="4" t="str" cm="1">
        <f t="array" ref="AF308">_xlfn.IFS(Table13[[#This Row],[Land_Size_SQM]]&gt;=730,"LARGE",Table13[[#This Row],[Land_Size_SQM]]&gt;=465,"MEDIUM",TRUE,"SMALL")</f>
        <v>MEDIUM</v>
      </c>
    </row>
    <row r="309" spans="1:32" x14ac:dyDescent="0.3">
      <c r="A309" t="s">
        <v>497</v>
      </c>
      <c r="B309" t="s">
        <v>609</v>
      </c>
      <c r="C309" t="s">
        <v>626</v>
      </c>
      <c r="D309">
        <v>48</v>
      </c>
      <c r="E309" t="s">
        <v>629</v>
      </c>
      <c r="F309">
        <v>942</v>
      </c>
      <c r="G309" s="4">
        <v>11100</v>
      </c>
      <c r="H309" s="4">
        <v>10456200</v>
      </c>
      <c r="I309" t="s">
        <v>658</v>
      </c>
      <c r="J309" t="s">
        <v>670</v>
      </c>
      <c r="K309" t="s">
        <v>640</v>
      </c>
      <c r="L309" t="s">
        <v>682</v>
      </c>
      <c r="M309" t="s">
        <v>684</v>
      </c>
      <c r="N309" t="s">
        <v>692</v>
      </c>
      <c r="O309" t="s">
        <v>693</v>
      </c>
      <c r="P309" s="4">
        <v>10456200</v>
      </c>
      <c r="Q309">
        <v>0</v>
      </c>
      <c r="R309" s="7">
        <v>6.02</v>
      </c>
      <c r="S309" s="8">
        <f>Table13[[#This Row],[Discount_%]]/100</f>
        <v>6.0199999999999997E-2</v>
      </c>
      <c r="T309" s="6" t="s">
        <v>868</v>
      </c>
      <c r="U309" t="s">
        <v>986</v>
      </c>
      <c r="V309">
        <v>2024</v>
      </c>
      <c r="W309" t="s">
        <v>995</v>
      </c>
      <c r="X309" t="s">
        <v>997</v>
      </c>
      <c r="Y309" t="s">
        <v>1000</v>
      </c>
      <c r="Z309">
        <v>1</v>
      </c>
      <c r="AA309">
        <v>41</v>
      </c>
      <c r="AB309" s="4">
        <f>Table13[[#This Row],[Total_Price]]*(1-Table13[[#This Row],[Discount 2]])</f>
        <v>9826736.7599999998</v>
      </c>
      <c r="AC309" s="4" t="str" cm="1">
        <f t="array" ref="AC309">_xlfn.IFS(Table13[[#This Row],[Revenue]]&gt;=30000000,"High Value",Table13[[#This Row],[Revenue]]&gt;=10000000,"Moderate Value",TRUE,"Low Value")</f>
        <v>Low Value</v>
      </c>
      <c r="AD309" t="str">
        <f>IF(Table13[[#This Row],[Discount 2]]&gt;=5%, "YES", "NO")</f>
        <v>YES</v>
      </c>
      <c r="AE309" t="str" cm="1">
        <f t="array" ref="AE309">_xlfn.IFS(Table13[[#This Row],[Revenue]]&gt;=30000000,"High Spender",Table13[[#This Row],[Revenue]]&gt;=10000000,"Moderate Spender",TRUE,"Low Spender")</f>
        <v>Low Spender</v>
      </c>
      <c r="AF309" s="4" t="str" cm="1">
        <f t="array" ref="AF309">_xlfn.IFS(Table13[[#This Row],[Land_Size_SQM]]&gt;=730,"LARGE",Table13[[#This Row],[Land_Size_SQM]]&gt;=465,"MEDIUM",TRUE,"SMALL")</f>
        <v>LARGE</v>
      </c>
    </row>
    <row r="310" spans="1:32" x14ac:dyDescent="0.3">
      <c r="A310" t="s">
        <v>502</v>
      </c>
      <c r="B310" t="s">
        <v>553</v>
      </c>
      <c r="C310" t="s">
        <v>627</v>
      </c>
      <c r="D310">
        <v>53</v>
      </c>
      <c r="E310" t="s">
        <v>629</v>
      </c>
      <c r="F310">
        <v>263</v>
      </c>
      <c r="G310" s="4">
        <v>40670</v>
      </c>
      <c r="H310" s="4">
        <v>10696210</v>
      </c>
      <c r="I310" t="s">
        <v>631</v>
      </c>
      <c r="J310" t="s">
        <v>668</v>
      </c>
      <c r="K310" t="s">
        <v>677</v>
      </c>
      <c r="L310" t="s">
        <v>682</v>
      </c>
      <c r="M310" t="s">
        <v>686</v>
      </c>
      <c r="N310" t="s">
        <v>688</v>
      </c>
      <c r="O310" t="s">
        <v>693</v>
      </c>
      <c r="P310" s="4">
        <v>10696210</v>
      </c>
      <c r="Q310">
        <v>0</v>
      </c>
      <c r="R310" s="7">
        <v>8.4700000000000006</v>
      </c>
      <c r="S310" s="8">
        <f>Table13[[#This Row],[Discount_%]]/100</f>
        <v>8.4700000000000011E-2</v>
      </c>
      <c r="T310" s="6" t="s">
        <v>807</v>
      </c>
      <c r="U310" t="s">
        <v>989</v>
      </c>
      <c r="V310">
        <v>2024</v>
      </c>
      <c r="W310" t="s">
        <v>993</v>
      </c>
      <c r="X310" t="s">
        <v>998</v>
      </c>
      <c r="Y310" t="s">
        <v>1000</v>
      </c>
      <c r="Z310">
        <v>5</v>
      </c>
      <c r="AA310">
        <v>30</v>
      </c>
      <c r="AB310" s="4">
        <f>Table13[[#This Row],[Total_Price]]*(1-Table13[[#This Row],[Discount 2]])</f>
        <v>9790241.0130000003</v>
      </c>
      <c r="AC310" s="4" t="str" cm="1">
        <f t="array" ref="AC310">_xlfn.IFS(Table13[[#This Row],[Revenue]]&gt;=30000000,"High Value",Table13[[#This Row],[Revenue]]&gt;=10000000,"Moderate Value",TRUE,"Low Value")</f>
        <v>Low Value</v>
      </c>
      <c r="AD310" t="str">
        <f>IF(Table13[[#This Row],[Discount 2]]&gt;=5%, "YES", "NO")</f>
        <v>YES</v>
      </c>
      <c r="AE310" t="str" cm="1">
        <f t="array" ref="AE310">_xlfn.IFS(Table13[[#This Row],[Revenue]]&gt;=30000000,"High Spender",Table13[[#This Row],[Revenue]]&gt;=10000000,"Moderate Spender",TRUE,"Low Spender")</f>
        <v>Low Spender</v>
      </c>
      <c r="AF310" s="4" t="str" cm="1">
        <f t="array" ref="AF310">_xlfn.IFS(Table13[[#This Row],[Land_Size_SQM]]&gt;=730,"LARGE",Table13[[#This Row],[Land_Size_SQM]]&gt;=465,"MEDIUM",TRUE,"SMALL")</f>
        <v>SMALL</v>
      </c>
    </row>
    <row r="311" spans="1:32" x14ac:dyDescent="0.3">
      <c r="A311" t="s">
        <v>448</v>
      </c>
      <c r="B311" t="s">
        <v>618</v>
      </c>
      <c r="C311" t="s">
        <v>627</v>
      </c>
      <c r="D311">
        <v>64</v>
      </c>
      <c r="E311" t="s">
        <v>628</v>
      </c>
      <c r="F311">
        <v>231</v>
      </c>
      <c r="G311" s="4">
        <v>46014</v>
      </c>
      <c r="H311" s="4">
        <v>10629234</v>
      </c>
      <c r="I311" t="s">
        <v>631</v>
      </c>
      <c r="J311" t="s">
        <v>668</v>
      </c>
      <c r="K311" t="s">
        <v>675</v>
      </c>
      <c r="L311" t="s">
        <v>680</v>
      </c>
      <c r="M311" t="s">
        <v>684</v>
      </c>
      <c r="N311" t="s">
        <v>690</v>
      </c>
      <c r="O311" t="s">
        <v>694</v>
      </c>
      <c r="P311" s="4">
        <v>3251466</v>
      </c>
      <c r="Q311">
        <v>3</v>
      </c>
      <c r="R311" s="7">
        <v>8.1300000000000008</v>
      </c>
      <c r="S311" s="8">
        <f>Table13[[#This Row],[Discount_%]]/100</f>
        <v>8.1300000000000011E-2</v>
      </c>
      <c r="T311" s="6" t="s">
        <v>962</v>
      </c>
      <c r="U311" t="s">
        <v>983</v>
      </c>
      <c r="V311">
        <v>2024</v>
      </c>
      <c r="W311" t="s">
        <v>996</v>
      </c>
      <c r="X311" t="s">
        <v>998</v>
      </c>
      <c r="Y311" t="s">
        <v>1000</v>
      </c>
      <c r="Z311">
        <v>2</v>
      </c>
      <c r="AA311">
        <v>48</v>
      </c>
      <c r="AB311" s="4">
        <f>Table13[[#This Row],[Total_Price]]*(1-Table13[[#This Row],[Discount 2]])</f>
        <v>9765077.275799999</v>
      </c>
      <c r="AC311" s="4" t="str" cm="1">
        <f t="array" ref="AC311">_xlfn.IFS(Table13[[#This Row],[Revenue]]&gt;=30000000,"High Value",Table13[[#This Row],[Revenue]]&gt;=10000000,"Moderate Value",TRUE,"Low Value")</f>
        <v>Low Value</v>
      </c>
      <c r="AD311" t="str">
        <f>IF(Table13[[#This Row],[Discount 2]]&gt;=5%, "YES", "NO")</f>
        <v>YES</v>
      </c>
      <c r="AE311" t="str" cm="1">
        <f t="array" ref="AE311">_xlfn.IFS(Table13[[#This Row],[Revenue]]&gt;=30000000,"High Spender",Table13[[#This Row],[Revenue]]&gt;=10000000,"Moderate Spender",TRUE,"Low Spender")</f>
        <v>Low Spender</v>
      </c>
      <c r="AF311" s="4" t="str" cm="1">
        <f t="array" ref="AF311">_xlfn.IFS(Table13[[#This Row],[Land_Size_SQM]]&gt;=730,"LARGE",Table13[[#This Row],[Land_Size_SQM]]&gt;=465,"MEDIUM",TRUE,"SMALL")</f>
        <v>SMALL</v>
      </c>
    </row>
    <row r="312" spans="1:32" x14ac:dyDescent="0.3">
      <c r="A312" t="s">
        <v>142</v>
      </c>
      <c r="B312" t="s">
        <v>537</v>
      </c>
      <c r="C312" t="s">
        <v>626</v>
      </c>
      <c r="D312">
        <v>23</v>
      </c>
      <c r="E312" t="s">
        <v>630</v>
      </c>
      <c r="F312">
        <v>507</v>
      </c>
      <c r="G312" s="4">
        <v>20032</v>
      </c>
      <c r="H312" s="4">
        <v>10156224</v>
      </c>
      <c r="I312" t="s">
        <v>640</v>
      </c>
      <c r="J312" t="s">
        <v>672</v>
      </c>
      <c r="K312" t="s">
        <v>640</v>
      </c>
      <c r="L312" t="s">
        <v>682</v>
      </c>
      <c r="M312" t="s">
        <v>684</v>
      </c>
      <c r="N312" t="s">
        <v>692</v>
      </c>
      <c r="O312" t="s">
        <v>693</v>
      </c>
      <c r="P312" s="4">
        <v>10156224</v>
      </c>
      <c r="Q312">
        <v>0</v>
      </c>
      <c r="R312" s="7">
        <v>5.57</v>
      </c>
      <c r="S312" s="8">
        <f>Table13[[#This Row],[Discount_%]]/100</f>
        <v>5.57E-2</v>
      </c>
      <c r="T312" s="6" t="s">
        <v>792</v>
      </c>
      <c r="U312" t="s">
        <v>985</v>
      </c>
      <c r="V312">
        <v>2024</v>
      </c>
      <c r="W312" t="s">
        <v>994</v>
      </c>
      <c r="X312" t="s">
        <v>997</v>
      </c>
      <c r="Y312" t="s">
        <v>1002</v>
      </c>
      <c r="Z312">
        <v>4</v>
      </c>
      <c r="AA312">
        <v>10</v>
      </c>
      <c r="AB312" s="4">
        <f>Table13[[#This Row],[Total_Price]]*(1-Table13[[#This Row],[Discount 2]])</f>
        <v>9590522.3232000005</v>
      </c>
      <c r="AC312" s="4" t="str" cm="1">
        <f t="array" ref="AC312">_xlfn.IFS(Table13[[#This Row],[Revenue]]&gt;=30000000,"High Value",Table13[[#This Row],[Revenue]]&gt;=10000000,"Moderate Value",TRUE,"Low Value")</f>
        <v>Low Value</v>
      </c>
      <c r="AD312" t="str">
        <f>IF(Table13[[#This Row],[Discount 2]]&gt;=5%, "YES", "NO")</f>
        <v>YES</v>
      </c>
      <c r="AE312" t="str" cm="1">
        <f t="array" ref="AE312">_xlfn.IFS(Table13[[#This Row],[Revenue]]&gt;=30000000,"High Spender",Table13[[#This Row],[Revenue]]&gt;=10000000,"Moderate Spender",TRUE,"Low Spender")</f>
        <v>Low Spender</v>
      </c>
      <c r="AF312" s="4" t="str" cm="1">
        <f t="array" ref="AF312">_xlfn.IFS(Table13[[#This Row],[Land_Size_SQM]]&gt;=730,"LARGE",Table13[[#This Row],[Land_Size_SQM]]&gt;=465,"MEDIUM",TRUE,"SMALL")</f>
        <v>MEDIUM</v>
      </c>
    </row>
    <row r="313" spans="1:32" x14ac:dyDescent="0.3">
      <c r="A313" t="s">
        <v>107</v>
      </c>
      <c r="B313" t="s">
        <v>536</v>
      </c>
      <c r="C313" t="s">
        <v>627</v>
      </c>
      <c r="D313">
        <v>27</v>
      </c>
      <c r="E313" t="s">
        <v>630</v>
      </c>
      <c r="F313">
        <v>443</v>
      </c>
      <c r="G313" s="4">
        <v>21736</v>
      </c>
      <c r="H313" s="4">
        <v>9629048</v>
      </c>
      <c r="I313" t="s">
        <v>663</v>
      </c>
      <c r="J313" t="s">
        <v>670</v>
      </c>
      <c r="K313" t="s">
        <v>677</v>
      </c>
      <c r="L313" t="s">
        <v>682</v>
      </c>
      <c r="M313" t="s">
        <v>686</v>
      </c>
      <c r="N313" t="s">
        <v>689</v>
      </c>
      <c r="O313" t="s">
        <v>693</v>
      </c>
      <c r="P313" s="4">
        <v>9629048</v>
      </c>
      <c r="Q313">
        <v>0</v>
      </c>
      <c r="R313" s="7">
        <v>0.48</v>
      </c>
      <c r="S313" s="8">
        <f>Table13[[#This Row],[Discount_%]]/100</f>
        <v>4.7999999999999996E-3</v>
      </c>
      <c r="T313" s="6" t="s">
        <v>767</v>
      </c>
      <c r="U313" t="s">
        <v>989</v>
      </c>
      <c r="V313">
        <v>2024</v>
      </c>
      <c r="W313" t="s">
        <v>996</v>
      </c>
      <c r="X313" t="s">
        <v>997</v>
      </c>
      <c r="Y313" t="s">
        <v>1000</v>
      </c>
      <c r="Z313">
        <v>3</v>
      </c>
      <c r="AA313">
        <v>28</v>
      </c>
      <c r="AB313" s="4">
        <f>Table13[[#This Row],[Total_Price]]*(1-Table13[[#This Row],[Discount 2]])</f>
        <v>9582828.5695999991</v>
      </c>
      <c r="AC313" s="4" t="str" cm="1">
        <f t="array" ref="AC313">_xlfn.IFS(Table13[[#This Row],[Revenue]]&gt;=30000000,"High Value",Table13[[#This Row],[Revenue]]&gt;=10000000,"Moderate Value",TRUE,"Low Value")</f>
        <v>Low Value</v>
      </c>
      <c r="AD313" t="str">
        <f>IF(Table13[[#This Row],[Discount 2]]&gt;=5%, "YES", "NO")</f>
        <v>NO</v>
      </c>
      <c r="AE313" t="str" cm="1">
        <f t="array" ref="AE313">_xlfn.IFS(Table13[[#This Row],[Revenue]]&gt;=30000000,"High Spender",Table13[[#This Row],[Revenue]]&gt;=10000000,"Moderate Spender",TRUE,"Low Spender")</f>
        <v>Low Spender</v>
      </c>
      <c r="AF313" s="4" t="str" cm="1">
        <f t="array" ref="AF313">_xlfn.IFS(Table13[[#This Row],[Land_Size_SQM]]&gt;=730,"LARGE",Table13[[#This Row],[Land_Size_SQM]]&gt;=465,"MEDIUM",TRUE,"SMALL")</f>
        <v>SMALL</v>
      </c>
    </row>
    <row r="314" spans="1:32" x14ac:dyDescent="0.3">
      <c r="A314" t="s">
        <v>513</v>
      </c>
      <c r="B314" t="s">
        <v>531</v>
      </c>
      <c r="C314" t="s">
        <v>626</v>
      </c>
      <c r="D314">
        <v>63</v>
      </c>
      <c r="E314" t="s">
        <v>630</v>
      </c>
      <c r="F314">
        <v>276</v>
      </c>
      <c r="G314" s="4">
        <v>38034</v>
      </c>
      <c r="H314" s="4">
        <v>10497384</v>
      </c>
      <c r="I314" t="s">
        <v>644</v>
      </c>
      <c r="J314" t="s">
        <v>668</v>
      </c>
      <c r="K314" t="s">
        <v>640</v>
      </c>
      <c r="L314" t="s">
        <v>682</v>
      </c>
      <c r="M314" t="s">
        <v>683</v>
      </c>
      <c r="N314" t="s">
        <v>692</v>
      </c>
      <c r="O314" t="s">
        <v>694</v>
      </c>
      <c r="P314" s="4">
        <v>3301791</v>
      </c>
      <c r="Q314">
        <v>12</v>
      </c>
      <c r="R314" s="7">
        <v>9.0399999999999991</v>
      </c>
      <c r="S314" s="8">
        <f>Table13[[#This Row],[Discount_%]]/100</f>
        <v>9.0399999999999994E-2</v>
      </c>
      <c r="T314" s="6" t="s">
        <v>978</v>
      </c>
      <c r="U314" t="s">
        <v>991</v>
      </c>
      <c r="V314">
        <v>2024</v>
      </c>
      <c r="W314" t="s">
        <v>996</v>
      </c>
      <c r="X314" t="s">
        <v>999</v>
      </c>
      <c r="Y314" t="s">
        <v>1001</v>
      </c>
      <c r="Z314">
        <v>3</v>
      </c>
      <c r="AA314">
        <v>41</v>
      </c>
      <c r="AB314" s="4">
        <f>Table13[[#This Row],[Total_Price]]*(1-Table13[[#This Row],[Discount 2]])</f>
        <v>9548420.4863999989</v>
      </c>
      <c r="AC314" s="4" t="str" cm="1">
        <f t="array" ref="AC314">_xlfn.IFS(Table13[[#This Row],[Revenue]]&gt;=30000000,"High Value",Table13[[#This Row],[Revenue]]&gt;=10000000,"Moderate Value",TRUE,"Low Value")</f>
        <v>Low Value</v>
      </c>
      <c r="AD314" t="str">
        <f>IF(Table13[[#This Row],[Discount 2]]&gt;=5%, "YES", "NO")</f>
        <v>YES</v>
      </c>
      <c r="AE314" t="str" cm="1">
        <f t="array" ref="AE314">_xlfn.IFS(Table13[[#This Row],[Revenue]]&gt;=30000000,"High Spender",Table13[[#This Row],[Revenue]]&gt;=10000000,"Moderate Spender",TRUE,"Low Spender")</f>
        <v>Low Spender</v>
      </c>
      <c r="AF314" s="4" t="str" cm="1">
        <f t="array" ref="AF314">_xlfn.IFS(Table13[[#This Row],[Land_Size_SQM]]&gt;=730,"LARGE",Table13[[#This Row],[Land_Size_SQM]]&gt;=465,"MEDIUM",TRUE,"SMALL")</f>
        <v>SMALL</v>
      </c>
    </row>
    <row r="315" spans="1:32" x14ac:dyDescent="0.3">
      <c r="A315" t="s">
        <v>225</v>
      </c>
      <c r="B315" t="s">
        <v>532</v>
      </c>
      <c r="C315" t="s">
        <v>626</v>
      </c>
      <c r="D315">
        <v>47</v>
      </c>
      <c r="E315" t="s">
        <v>629</v>
      </c>
      <c r="F315">
        <v>503</v>
      </c>
      <c r="G315" s="4">
        <v>19309</v>
      </c>
      <c r="H315" s="4">
        <v>9712427</v>
      </c>
      <c r="I315" t="s">
        <v>653</v>
      </c>
      <c r="J315" t="s">
        <v>668</v>
      </c>
      <c r="K315" t="s">
        <v>678</v>
      </c>
      <c r="L315" t="s">
        <v>680</v>
      </c>
      <c r="M315" t="s">
        <v>685</v>
      </c>
      <c r="N315" t="s">
        <v>689</v>
      </c>
      <c r="O315" t="s">
        <v>694</v>
      </c>
      <c r="P315" s="4">
        <v>2233301</v>
      </c>
      <c r="Q315">
        <v>3</v>
      </c>
      <c r="R315" s="7">
        <v>1.75</v>
      </c>
      <c r="S315" s="8">
        <f>Table13[[#This Row],[Discount_%]]/100</f>
        <v>1.7500000000000002E-2</v>
      </c>
      <c r="T315" s="6" t="s">
        <v>713</v>
      </c>
      <c r="U315" t="s">
        <v>988</v>
      </c>
      <c r="V315">
        <v>2024</v>
      </c>
      <c r="W315" t="s">
        <v>993</v>
      </c>
      <c r="X315" t="s">
        <v>999</v>
      </c>
      <c r="Y315" t="s">
        <v>1001</v>
      </c>
      <c r="Z315">
        <v>2</v>
      </c>
      <c r="AA315">
        <v>22</v>
      </c>
      <c r="AB315" s="4">
        <f>Table13[[#This Row],[Total_Price]]*(1-Table13[[#This Row],[Discount 2]])</f>
        <v>9542459.5274999999</v>
      </c>
      <c r="AC315" s="4" t="str" cm="1">
        <f t="array" ref="AC315">_xlfn.IFS(Table13[[#This Row],[Revenue]]&gt;=30000000,"High Value",Table13[[#This Row],[Revenue]]&gt;=10000000,"Moderate Value",TRUE,"Low Value")</f>
        <v>Low Value</v>
      </c>
      <c r="AD315" t="str">
        <f>IF(Table13[[#This Row],[Discount 2]]&gt;=5%, "YES", "NO")</f>
        <v>NO</v>
      </c>
      <c r="AE315" t="str" cm="1">
        <f t="array" ref="AE315">_xlfn.IFS(Table13[[#This Row],[Revenue]]&gt;=30000000,"High Spender",Table13[[#This Row],[Revenue]]&gt;=10000000,"Moderate Spender",TRUE,"Low Spender")</f>
        <v>Low Spender</v>
      </c>
      <c r="AF315" s="4" t="str" cm="1">
        <f t="array" ref="AF315">_xlfn.IFS(Table13[[#This Row],[Land_Size_SQM]]&gt;=730,"LARGE",Table13[[#This Row],[Land_Size_SQM]]&gt;=465,"MEDIUM",TRUE,"SMALL")</f>
        <v>MEDIUM</v>
      </c>
    </row>
    <row r="316" spans="1:32" x14ac:dyDescent="0.3">
      <c r="A316" t="s">
        <v>197</v>
      </c>
      <c r="B316" t="s">
        <v>571</v>
      </c>
      <c r="C316" t="s">
        <v>626</v>
      </c>
      <c r="D316">
        <v>57</v>
      </c>
      <c r="E316" t="s">
        <v>628</v>
      </c>
      <c r="F316">
        <v>921</v>
      </c>
      <c r="G316" s="4">
        <v>11283</v>
      </c>
      <c r="H316" s="4">
        <v>10391643</v>
      </c>
      <c r="I316" t="s">
        <v>641</v>
      </c>
      <c r="J316" t="s">
        <v>673</v>
      </c>
      <c r="K316" t="s">
        <v>674</v>
      </c>
      <c r="L316" t="s">
        <v>681</v>
      </c>
      <c r="M316" t="s">
        <v>687</v>
      </c>
      <c r="N316" t="s">
        <v>690</v>
      </c>
      <c r="O316" t="s">
        <v>693</v>
      </c>
      <c r="P316" s="4">
        <v>10391643</v>
      </c>
      <c r="Q316">
        <v>0</v>
      </c>
      <c r="R316" s="7">
        <v>8.4600000000000009</v>
      </c>
      <c r="S316" s="8">
        <f>Table13[[#This Row],[Discount_%]]/100</f>
        <v>8.4600000000000009E-2</v>
      </c>
      <c r="T316" s="6" t="s">
        <v>802</v>
      </c>
      <c r="U316" t="s">
        <v>991</v>
      </c>
      <c r="V316">
        <v>2024</v>
      </c>
      <c r="W316" t="s">
        <v>996</v>
      </c>
      <c r="X316" t="s">
        <v>999</v>
      </c>
      <c r="Y316" t="s">
        <v>1001</v>
      </c>
      <c r="Z316">
        <v>4</v>
      </c>
      <c r="AA316">
        <v>41</v>
      </c>
      <c r="AB316" s="4">
        <f>Table13[[#This Row],[Total_Price]]*(1-Table13[[#This Row],[Discount 2]])</f>
        <v>9512510.0022</v>
      </c>
      <c r="AC316" s="4" t="str" cm="1">
        <f t="array" ref="AC316">_xlfn.IFS(Table13[[#This Row],[Revenue]]&gt;=30000000,"High Value",Table13[[#This Row],[Revenue]]&gt;=10000000,"Moderate Value",TRUE,"Low Value")</f>
        <v>Low Value</v>
      </c>
      <c r="AD316" t="str">
        <f>IF(Table13[[#This Row],[Discount 2]]&gt;=5%, "YES", "NO")</f>
        <v>YES</v>
      </c>
      <c r="AE316" t="str" cm="1">
        <f t="array" ref="AE316">_xlfn.IFS(Table13[[#This Row],[Revenue]]&gt;=30000000,"High Spender",Table13[[#This Row],[Revenue]]&gt;=10000000,"Moderate Spender",TRUE,"Low Spender")</f>
        <v>Low Spender</v>
      </c>
      <c r="AF316" s="4" t="str" cm="1">
        <f t="array" ref="AF316">_xlfn.IFS(Table13[[#This Row],[Land_Size_SQM]]&gt;=730,"LARGE",Table13[[#This Row],[Land_Size_SQM]]&gt;=465,"MEDIUM",TRUE,"SMALL")</f>
        <v>LARGE</v>
      </c>
    </row>
    <row r="317" spans="1:32" x14ac:dyDescent="0.3">
      <c r="A317" t="s">
        <v>51</v>
      </c>
      <c r="B317" t="s">
        <v>533</v>
      </c>
      <c r="C317" t="s">
        <v>626</v>
      </c>
      <c r="D317">
        <v>48</v>
      </c>
      <c r="E317" t="s">
        <v>629</v>
      </c>
      <c r="F317">
        <v>324</v>
      </c>
      <c r="G317" s="4">
        <v>31914</v>
      </c>
      <c r="H317" s="4">
        <v>10340136</v>
      </c>
      <c r="I317" t="s">
        <v>642</v>
      </c>
      <c r="J317" t="s">
        <v>673</v>
      </c>
      <c r="K317" t="s">
        <v>679</v>
      </c>
      <c r="L317" t="s">
        <v>682</v>
      </c>
      <c r="M317" t="s">
        <v>686</v>
      </c>
      <c r="N317" t="s">
        <v>691</v>
      </c>
      <c r="O317" t="s">
        <v>693</v>
      </c>
      <c r="P317" s="4">
        <v>10340136</v>
      </c>
      <c r="Q317">
        <v>0</v>
      </c>
      <c r="R317" s="7">
        <v>8.01</v>
      </c>
      <c r="S317" s="8">
        <f>Table13[[#This Row],[Discount_%]]/100</f>
        <v>8.0100000000000005E-2</v>
      </c>
      <c r="T317" s="6" t="s">
        <v>719</v>
      </c>
      <c r="U317" t="s">
        <v>984</v>
      </c>
      <c r="V317">
        <v>2024</v>
      </c>
      <c r="W317" t="s">
        <v>995</v>
      </c>
      <c r="X317" t="s">
        <v>999</v>
      </c>
      <c r="Y317" t="s">
        <v>1001</v>
      </c>
      <c r="Z317">
        <v>4</v>
      </c>
      <c r="AA317">
        <v>29</v>
      </c>
      <c r="AB317" s="4">
        <f>Table13[[#This Row],[Total_Price]]*(1-Table13[[#This Row],[Discount 2]])</f>
        <v>9511891.1063999999</v>
      </c>
      <c r="AC317" s="4" t="str" cm="1">
        <f t="array" ref="AC317">_xlfn.IFS(Table13[[#This Row],[Revenue]]&gt;=30000000,"High Value",Table13[[#This Row],[Revenue]]&gt;=10000000,"Moderate Value",TRUE,"Low Value")</f>
        <v>Low Value</v>
      </c>
      <c r="AD317" t="str">
        <f>IF(Table13[[#This Row],[Discount 2]]&gt;=5%, "YES", "NO")</f>
        <v>YES</v>
      </c>
      <c r="AE317" t="str" cm="1">
        <f t="array" ref="AE317">_xlfn.IFS(Table13[[#This Row],[Revenue]]&gt;=30000000,"High Spender",Table13[[#This Row],[Revenue]]&gt;=10000000,"Moderate Spender",TRUE,"Low Spender")</f>
        <v>Low Spender</v>
      </c>
      <c r="AF317" s="4" t="str" cm="1">
        <f t="array" ref="AF317">_xlfn.IFS(Table13[[#This Row],[Land_Size_SQM]]&gt;=730,"LARGE",Table13[[#This Row],[Land_Size_SQM]]&gt;=465,"MEDIUM",TRUE,"SMALL")</f>
        <v>SMALL</v>
      </c>
    </row>
    <row r="318" spans="1:32" x14ac:dyDescent="0.3">
      <c r="A318" t="s">
        <v>294</v>
      </c>
      <c r="B318" t="s">
        <v>534</v>
      </c>
      <c r="C318" t="s">
        <v>626</v>
      </c>
      <c r="D318">
        <v>43</v>
      </c>
      <c r="E318" t="s">
        <v>629</v>
      </c>
      <c r="F318">
        <v>785</v>
      </c>
      <c r="G318" s="4">
        <v>12139</v>
      </c>
      <c r="H318" s="4">
        <v>9529115</v>
      </c>
      <c r="I318" t="s">
        <v>665</v>
      </c>
      <c r="J318" t="s">
        <v>672</v>
      </c>
      <c r="K318" t="s">
        <v>674</v>
      </c>
      <c r="L318" t="s">
        <v>680</v>
      </c>
      <c r="M318" t="s">
        <v>683</v>
      </c>
      <c r="N318" t="s">
        <v>690</v>
      </c>
      <c r="O318" t="s">
        <v>693</v>
      </c>
      <c r="P318" s="4">
        <v>9529115</v>
      </c>
      <c r="Q318">
        <v>0</v>
      </c>
      <c r="R318" s="7">
        <v>0.38</v>
      </c>
      <c r="S318" s="8">
        <f>Table13[[#This Row],[Discount_%]]/100</f>
        <v>3.8E-3</v>
      </c>
      <c r="T318" s="6" t="s">
        <v>892</v>
      </c>
      <c r="U318" t="s">
        <v>991</v>
      </c>
      <c r="V318">
        <v>2024</v>
      </c>
      <c r="W318" t="s">
        <v>994</v>
      </c>
      <c r="X318" t="s">
        <v>999</v>
      </c>
      <c r="Y318" t="s">
        <v>1001</v>
      </c>
      <c r="Z318">
        <v>4</v>
      </c>
      <c r="AA318">
        <v>37</v>
      </c>
      <c r="AB318" s="4">
        <f>Table13[[#This Row],[Total_Price]]*(1-Table13[[#This Row],[Discount 2]])</f>
        <v>9492904.3629999999</v>
      </c>
      <c r="AC318" s="4" t="str" cm="1">
        <f t="array" ref="AC318">_xlfn.IFS(Table13[[#This Row],[Revenue]]&gt;=30000000,"High Value",Table13[[#This Row],[Revenue]]&gt;=10000000,"Moderate Value",TRUE,"Low Value")</f>
        <v>Low Value</v>
      </c>
      <c r="AD318" t="str">
        <f>IF(Table13[[#This Row],[Discount 2]]&gt;=5%, "YES", "NO")</f>
        <v>NO</v>
      </c>
      <c r="AE318" t="str" cm="1">
        <f t="array" ref="AE318">_xlfn.IFS(Table13[[#This Row],[Revenue]]&gt;=30000000,"High Spender",Table13[[#This Row],[Revenue]]&gt;=10000000,"Moderate Spender",TRUE,"Low Spender")</f>
        <v>Low Spender</v>
      </c>
      <c r="AF318" s="4" t="str" cm="1">
        <f t="array" ref="AF318">_xlfn.IFS(Table13[[#This Row],[Land_Size_SQM]]&gt;=730,"LARGE",Table13[[#This Row],[Land_Size_SQM]]&gt;=465,"MEDIUM",TRUE,"SMALL")</f>
        <v>LARGE</v>
      </c>
    </row>
    <row r="319" spans="1:32" x14ac:dyDescent="0.3">
      <c r="A319" t="s">
        <v>312</v>
      </c>
      <c r="B319" t="s">
        <v>576</v>
      </c>
      <c r="C319" t="s">
        <v>626</v>
      </c>
      <c r="D319">
        <v>39</v>
      </c>
      <c r="E319" t="s">
        <v>629</v>
      </c>
      <c r="F319">
        <v>875</v>
      </c>
      <c r="G319" s="4">
        <v>11836</v>
      </c>
      <c r="H319" s="4">
        <v>10356500</v>
      </c>
      <c r="I319" t="s">
        <v>651</v>
      </c>
      <c r="J319" t="s">
        <v>669</v>
      </c>
      <c r="K319" t="s">
        <v>674</v>
      </c>
      <c r="L319" t="s">
        <v>681</v>
      </c>
      <c r="M319" t="s">
        <v>687</v>
      </c>
      <c r="N319" t="s">
        <v>688</v>
      </c>
      <c r="O319" t="s">
        <v>693</v>
      </c>
      <c r="P319" s="4">
        <v>10356500</v>
      </c>
      <c r="Q319">
        <v>0</v>
      </c>
      <c r="R319" s="7">
        <v>8.69</v>
      </c>
      <c r="S319" s="8">
        <f>Table13[[#This Row],[Discount_%]]/100</f>
        <v>8.6899999999999991E-2</v>
      </c>
      <c r="T319" s="6" t="s">
        <v>864</v>
      </c>
      <c r="U319" t="s">
        <v>990</v>
      </c>
      <c r="V319">
        <v>2024</v>
      </c>
      <c r="W319" t="s">
        <v>993</v>
      </c>
      <c r="X319" t="s">
        <v>999</v>
      </c>
      <c r="Y319" t="s">
        <v>1000</v>
      </c>
      <c r="Z319">
        <v>1</v>
      </c>
      <c r="AA319">
        <v>40</v>
      </c>
      <c r="AB319" s="4">
        <f>Table13[[#This Row],[Total_Price]]*(1-Table13[[#This Row],[Discount 2]])</f>
        <v>9456520.1500000004</v>
      </c>
      <c r="AC319" s="4" t="str" cm="1">
        <f t="array" ref="AC319">_xlfn.IFS(Table13[[#This Row],[Revenue]]&gt;=30000000,"High Value",Table13[[#This Row],[Revenue]]&gt;=10000000,"Moderate Value",TRUE,"Low Value")</f>
        <v>Low Value</v>
      </c>
      <c r="AD319" t="str">
        <f>IF(Table13[[#This Row],[Discount 2]]&gt;=5%, "YES", "NO")</f>
        <v>YES</v>
      </c>
      <c r="AE319" t="str" cm="1">
        <f t="array" ref="AE319">_xlfn.IFS(Table13[[#This Row],[Revenue]]&gt;=30000000,"High Spender",Table13[[#This Row],[Revenue]]&gt;=10000000,"Moderate Spender",TRUE,"Low Spender")</f>
        <v>Low Spender</v>
      </c>
      <c r="AF319" s="4" t="str" cm="1">
        <f t="array" ref="AF319">_xlfn.IFS(Table13[[#This Row],[Land_Size_SQM]]&gt;=730,"LARGE",Table13[[#This Row],[Land_Size_SQM]]&gt;=465,"MEDIUM",TRUE,"SMALL")</f>
        <v>LARGE</v>
      </c>
    </row>
    <row r="320" spans="1:32" x14ac:dyDescent="0.3">
      <c r="A320" t="s">
        <v>494</v>
      </c>
      <c r="B320" t="s">
        <v>589</v>
      </c>
      <c r="C320" t="s">
        <v>627</v>
      </c>
      <c r="D320">
        <v>31</v>
      </c>
      <c r="E320" t="s">
        <v>628</v>
      </c>
      <c r="F320">
        <v>920</v>
      </c>
      <c r="G320" s="4">
        <v>10803</v>
      </c>
      <c r="H320" s="4">
        <v>9938760</v>
      </c>
      <c r="I320" t="s">
        <v>651</v>
      </c>
      <c r="J320" t="s">
        <v>669</v>
      </c>
      <c r="K320" t="s">
        <v>638</v>
      </c>
      <c r="L320" t="s">
        <v>680</v>
      </c>
      <c r="M320" t="s">
        <v>683</v>
      </c>
      <c r="N320" t="s">
        <v>688</v>
      </c>
      <c r="O320" t="s">
        <v>693</v>
      </c>
      <c r="P320" s="4">
        <v>9938760</v>
      </c>
      <c r="Q320">
        <v>0</v>
      </c>
      <c r="R320" s="7">
        <v>4.8600000000000003</v>
      </c>
      <c r="S320" s="8">
        <f>Table13[[#This Row],[Discount_%]]/100</f>
        <v>4.8600000000000004E-2</v>
      </c>
      <c r="T320" s="6" t="s">
        <v>872</v>
      </c>
      <c r="U320" t="s">
        <v>986</v>
      </c>
      <c r="V320">
        <v>2024</v>
      </c>
      <c r="W320" t="s">
        <v>994</v>
      </c>
      <c r="X320" t="s">
        <v>998</v>
      </c>
      <c r="Y320" t="s">
        <v>1002</v>
      </c>
      <c r="Z320">
        <v>5</v>
      </c>
      <c r="AA320">
        <v>7</v>
      </c>
      <c r="AB320" s="4">
        <f>Table13[[#This Row],[Total_Price]]*(1-Table13[[#This Row],[Discount 2]])</f>
        <v>9455736.2640000004</v>
      </c>
      <c r="AC320" s="4" t="str" cm="1">
        <f t="array" ref="AC320">_xlfn.IFS(Table13[[#This Row],[Revenue]]&gt;=30000000,"High Value",Table13[[#This Row],[Revenue]]&gt;=10000000,"Moderate Value",TRUE,"Low Value")</f>
        <v>Low Value</v>
      </c>
      <c r="AD320" t="str">
        <f>IF(Table13[[#This Row],[Discount 2]]&gt;=5%, "YES", "NO")</f>
        <v>NO</v>
      </c>
      <c r="AE320" t="str" cm="1">
        <f t="array" ref="AE320">_xlfn.IFS(Table13[[#This Row],[Revenue]]&gt;=30000000,"High Spender",Table13[[#This Row],[Revenue]]&gt;=10000000,"Moderate Spender",TRUE,"Low Spender")</f>
        <v>Low Spender</v>
      </c>
      <c r="AF320" s="4" t="str" cm="1">
        <f t="array" ref="AF320">_xlfn.IFS(Table13[[#This Row],[Land_Size_SQM]]&gt;=730,"LARGE",Table13[[#This Row],[Land_Size_SQM]]&gt;=465,"MEDIUM",TRUE,"SMALL")</f>
        <v>LARGE</v>
      </c>
    </row>
    <row r="321" spans="1:32" x14ac:dyDescent="0.3">
      <c r="A321" t="s">
        <v>183</v>
      </c>
      <c r="B321" t="s">
        <v>586</v>
      </c>
      <c r="C321" t="s">
        <v>627</v>
      </c>
      <c r="D321">
        <v>52</v>
      </c>
      <c r="E321" t="s">
        <v>628</v>
      </c>
      <c r="F321">
        <v>370</v>
      </c>
      <c r="G321" s="4">
        <v>26096</v>
      </c>
      <c r="H321" s="4">
        <v>9655520</v>
      </c>
      <c r="I321" t="s">
        <v>661</v>
      </c>
      <c r="J321" t="s">
        <v>673</v>
      </c>
      <c r="K321" t="s">
        <v>674</v>
      </c>
      <c r="L321" t="s">
        <v>680</v>
      </c>
      <c r="M321" t="s">
        <v>685</v>
      </c>
      <c r="N321" t="s">
        <v>688</v>
      </c>
      <c r="O321" t="s">
        <v>693</v>
      </c>
      <c r="P321" s="4">
        <v>9655520</v>
      </c>
      <c r="Q321">
        <v>0</v>
      </c>
      <c r="R321" s="7">
        <v>2.5499999999999998</v>
      </c>
      <c r="S321" s="8">
        <f>Table13[[#This Row],[Discount_%]]/100</f>
        <v>2.5499999999999998E-2</v>
      </c>
      <c r="T321" s="6" t="s">
        <v>695</v>
      </c>
      <c r="U321" t="s">
        <v>981</v>
      </c>
      <c r="V321">
        <v>2024</v>
      </c>
      <c r="W321" t="s">
        <v>993</v>
      </c>
      <c r="X321" t="s">
        <v>998</v>
      </c>
      <c r="Y321" t="s">
        <v>1002</v>
      </c>
      <c r="Z321">
        <v>4</v>
      </c>
      <c r="AA321">
        <v>10</v>
      </c>
      <c r="AB321" s="4">
        <f>Table13[[#This Row],[Total_Price]]*(1-Table13[[#This Row],[Discount 2]])</f>
        <v>9409304.2400000002</v>
      </c>
      <c r="AC321" s="4" t="str" cm="1">
        <f t="array" ref="AC321">_xlfn.IFS(Table13[[#This Row],[Revenue]]&gt;=30000000,"High Value",Table13[[#This Row],[Revenue]]&gt;=10000000,"Moderate Value",TRUE,"Low Value")</f>
        <v>Low Value</v>
      </c>
      <c r="AD321" t="str">
        <f>IF(Table13[[#This Row],[Discount 2]]&gt;=5%, "YES", "NO")</f>
        <v>NO</v>
      </c>
      <c r="AE321" t="str" cm="1">
        <f t="array" ref="AE321">_xlfn.IFS(Table13[[#This Row],[Revenue]]&gt;=30000000,"High Spender",Table13[[#This Row],[Revenue]]&gt;=10000000,"Moderate Spender",TRUE,"Low Spender")</f>
        <v>Low Spender</v>
      </c>
      <c r="AF321" s="4" t="str" cm="1">
        <f t="array" ref="AF321">_xlfn.IFS(Table13[[#This Row],[Land_Size_SQM]]&gt;=730,"LARGE",Table13[[#This Row],[Land_Size_SQM]]&gt;=465,"MEDIUM",TRUE,"SMALL")</f>
        <v>SMALL</v>
      </c>
    </row>
    <row r="322" spans="1:32" x14ac:dyDescent="0.3">
      <c r="A322" t="s">
        <v>164</v>
      </c>
      <c r="B322" t="s">
        <v>534</v>
      </c>
      <c r="C322" t="s">
        <v>626</v>
      </c>
      <c r="D322">
        <v>45</v>
      </c>
      <c r="E322" t="s">
        <v>628</v>
      </c>
      <c r="F322">
        <v>765</v>
      </c>
      <c r="G322" s="4">
        <v>12494</v>
      </c>
      <c r="H322" s="4">
        <v>9557910</v>
      </c>
      <c r="I322" t="s">
        <v>656</v>
      </c>
      <c r="J322" t="s">
        <v>669</v>
      </c>
      <c r="K322" t="s">
        <v>638</v>
      </c>
      <c r="L322" t="s">
        <v>682</v>
      </c>
      <c r="M322" t="s">
        <v>686</v>
      </c>
      <c r="N322" t="s">
        <v>688</v>
      </c>
      <c r="O322" t="s">
        <v>694</v>
      </c>
      <c r="P322" s="4">
        <v>4659852</v>
      </c>
      <c r="Q322">
        <v>24</v>
      </c>
      <c r="R322" s="7">
        <v>2.3199999999999998</v>
      </c>
      <c r="S322" s="8">
        <f>Table13[[#This Row],[Discount_%]]/100</f>
        <v>2.3199999999999998E-2</v>
      </c>
      <c r="T322" s="6" t="s">
        <v>722</v>
      </c>
      <c r="U322" t="s">
        <v>991</v>
      </c>
      <c r="V322">
        <v>2024</v>
      </c>
      <c r="W322" t="s">
        <v>995</v>
      </c>
      <c r="X322" t="s">
        <v>997</v>
      </c>
      <c r="Y322" t="s">
        <v>1002</v>
      </c>
      <c r="Z322">
        <v>4</v>
      </c>
      <c r="AA322">
        <v>1</v>
      </c>
      <c r="AB322" s="4">
        <f>Table13[[#This Row],[Total_Price]]*(1-Table13[[#This Row],[Discount 2]])</f>
        <v>9336166.4879999999</v>
      </c>
      <c r="AC322" s="4" t="str" cm="1">
        <f t="array" ref="AC322">_xlfn.IFS(Table13[[#This Row],[Revenue]]&gt;=30000000,"High Value",Table13[[#This Row],[Revenue]]&gt;=10000000,"Moderate Value",TRUE,"Low Value")</f>
        <v>Low Value</v>
      </c>
      <c r="AD322" t="str">
        <f>IF(Table13[[#This Row],[Discount 2]]&gt;=5%, "YES", "NO")</f>
        <v>NO</v>
      </c>
      <c r="AE322" t="str" cm="1">
        <f t="array" ref="AE322">_xlfn.IFS(Table13[[#This Row],[Revenue]]&gt;=30000000,"High Spender",Table13[[#This Row],[Revenue]]&gt;=10000000,"Moderate Spender",TRUE,"Low Spender")</f>
        <v>Low Spender</v>
      </c>
      <c r="AF322" s="4" t="str" cm="1">
        <f t="array" ref="AF322">_xlfn.IFS(Table13[[#This Row],[Land_Size_SQM]]&gt;=730,"LARGE",Table13[[#This Row],[Land_Size_SQM]]&gt;=465,"MEDIUM",TRUE,"SMALL")</f>
        <v>LARGE</v>
      </c>
    </row>
    <row r="323" spans="1:32" x14ac:dyDescent="0.3">
      <c r="A323" t="s">
        <v>385</v>
      </c>
      <c r="B323" t="s">
        <v>569</v>
      </c>
      <c r="C323" t="s">
        <v>627</v>
      </c>
      <c r="D323">
        <v>45</v>
      </c>
      <c r="E323" t="s">
        <v>630</v>
      </c>
      <c r="F323">
        <v>213</v>
      </c>
      <c r="G323" s="4">
        <v>46181</v>
      </c>
      <c r="H323" s="4">
        <v>9836553</v>
      </c>
      <c r="I323" t="s">
        <v>635</v>
      </c>
      <c r="J323" t="s">
        <v>668</v>
      </c>
      <c r="K323" t="s">
        <v>638</v>
      </c>
      <c r="L323" t="s">
        <v>682</v>
      </c>
      <c r="M323" t="s">
        <v>686</v>
      </c>
      <c r="N323" t="s">
        <v>689</v>
      </c>
      <c r="O323" t="s">
        <v>694</v>
      </c>
      <c r="P323" s="4">
        <v>3136984</v>
      </c>
      <c r="Q323">
        <v>3</v>
      </c>
      <c r="R323" s="7">
        <v>5.23</v>
      </c>
      <c r="S323" s="8">
        <f>Table13[[#This Row],[Discount_%]]/100</f>
        <v>5.2300000000000006E-2</v>
      </c>
      <c r="T323" s="6" t="s">
        <v>839</v>
      </c>
      <c r="U323" t="s">
        <v>984</v>
      </c>
      <c r="V323">
        <v>2024</v>
      </c>
      <c r="W323" t="s">
        <v>996</v>
      </c>
      <c r="X323" t="s">
        <v>999</v>
      </c>
      <c r="Y323" t="s">
        <v>1002</v>
      </c>
      <c r="Z323">
        <v>2</v>
      </c>
      <c r="AA323">
        <v>22</v>
      </c>
      <c r="AB323" s="4">
        <f>Table13[[#This Row],[Total_Price]]*(1-Table13[[#This Row],[Discount 2]])</f>
        <v>9322101.2781000007</v>
      </c>
      <c r="AC323" s="4" t="str" cm="1">
        <f t="array" ref="AC323">_xlfn.IFS(Table13[[#This Row],[Revenue]]&gt;=30000000,"High Value",Table13[[#This Row],[Revenue]]&gt;=10000000,"Moderate Value",TRUE,"Low Value")</f>
        <v>Low Value</v>
      </c>
      <c r="AD323" t="str">
        <f>IF(Table13[[#This Row],[Discount 2]]&gt;=5%, "YES", "NO")</f>
        <v>YES</v>
      </c>
      <c r="AE323" t="str" cm="1">
        <f t="array" ref="AE323">_xlfn.IFS(Table13[[#This Row],[Revenue]]&gt;=30000000,"High Spender",Table13[[#This Row],[Revenue]]&gt;=10000000,"Moderate Spender",TRUE,"Low Spender")</f>
        <v>Low Spender</v>
      </c>
      <c r="AF323" s="4" t="str" cm="1">
        <f t="array" ref="AF323">_xlfn.IFS(Table13[[#This Row],[Land_Size_SQM]]&gt;=730,"LARGE",Table13[[#This Row],[Land_Size_SQM]]&gt;=465,"MEDIUM",TRUE,"SMALL")</f>
        <v>SMALL</v>
      </c>
    </row>
    <row r="324" spans="1:32" x14ac:dyDescent="0.3">
      <c r="A324" t="s">
        <v>353</v>
      </c>
      <c r="B324" t="s">
        <v>621</v>
      </c>
      <c r="C324" t="s">
        <v>626</v>
      </c>
      <c r="D324">
        <v>35</v>
      </c>
      <c r="E324" t="s">
        <v>628</v>
      </c>
      <c r="F324">
        <v>908</v>
      </c>
      <c r="G324" s="4">
        <v>10316</v>
      </c>
      <c r="H324" s="4">
        <v>9366928</v>
      </c>
      <c r="I324" t="s">
        <v>634</v>
      </c>
      <c r="J324" t="s">
        <v>670</v>
      </c>
      <c r="K324" t="s">
        <v>678</v>
      </c>
      <c r="L324" t="s">
        <v>682</v>
      </c>
      <c r="M324" t="s">
        <v>685</v>
      </c>
      <c r="N324" t="s">
        <v>692</v>
      </c>
      <c r="O324" t="s">
        <v>693</v>
      </c>
      <c r="P324" s="4">
        <v>9366928</v>
      </c>
      <c r="Q324">
        <v>0</v>
      </c>
      <c r="R324" s="7">
        <v>1.43</v>
      </c>
      <c r="S324" s="8">
        <f>Table13[[#This Row],[Discount_%]]/100</f>
        <v>1.43E-2</v>
      </c>
      <c r="T324" s="6" t="s">
        <v>930</v>
      </c>
      <c r="U324" t="s">
        <v>992</v>
      </c>
      <c r="V324">
        <v>2024</v>
      </c>
      <c r="W324" t="s">
        <v>996</v>
      </c>
      <c r="X324" t="s">
        <v>997</v>
      </c>
      <c r="Y324" t="s">
        <v>1002</v>
      </c>
      <c r="Z324">
        <v>5</v>
      </c>
      <c r="AA324">
        <v>6</v>
      </c>
      <c r="AB324" s="4">
        <f>Table13[[#This Row],[Total_Price]]*(1-Table13[[#This Row],[Discount 2]])</f>
        <v>9232980.9296000004</v>
      </c>
      <c r="AC324" s="4" t="str" cm="1">
        <f t="array" ref="AC324">_xlfn.IFS(Table13[[#This Row],[Revenue]]&gt;=30000000,"High Value",Table13[[#This Row],[Revenue]]&gt;=10000000,"Moderate Value",TRUE,"Low Value")</f>
        <v>Low Value</v>
      </c>
      <c r="AD324" t="str">
        <f>IF(Table13[[#This Row],[Discount 2]]&gt;=5%, "YES", "NO")</f>
        <v>NO</v>
      </c>
      <c r="AE324" t="str" cm="1">
        <f t="array" ref="AE324">_xlfn.IFS(Table13[[#This Row],[Revenue]]&gt;=30000000,"High Spender",Table13[[#This Row],[Revenue]]&gt;=10000000,"Moderate Spender",TRUE,"Low Spender")</f>
        <v>Low Spender</v>
      </c>
      <c r="AF324" s="4" t="str" cm="1">
        <f t="array" ref="AF324">_xlfn.IFS(Table13[[#This Row],[Land_Size_SQM]]&gt;=730,"LARGE",Table13[[#This Row],[Land_Size_SQM]]&gt;=465,"MEDIUM",TRUE,"SMALL")</f>
        <v>LARGE</v>
      </c>
    </row>
    <row r="325" spans="1:32" x14ac:dyDescent="0.3">
      <c r="A325" t="s">
        <v>357</v>
      </c>
      <c r="B325" t="s">
        <v>576</v>
      </c>
      <c r="C325" t="s">
        <v>627</v>
      </c>
      <c r="D325">
        <v>33</v>
      </c>
      <c r="E325" t="s">
        <v>629</v>
      </c>
      <c r="F325">
        <v>584</v>
      </c>
      <c r="G325" s="4">
        <v>16461</v>
      </c>
      <c r="H325" s="4">
        <v>9613224</v>
      </c>
      <c r="I325" t="s">
        <v>633</v>
      </c>
      <c r="J325" t="s">
        <v>668</v>
      </c>
      <c r="K325" t="s">
        <v>679</v>
      </c>
      <c r="L325" t="s">
        <v>681</v>
      </c>
      <c r="M325" t="s">
        <v>683</v>
      </c>
      <c r="N325" t="s">
        <v>691</v>
      </c>
      <c r="O325" t="s">
        <v>693</v>
      </c>
      <c r="P325" s="4">
        <v>9613224</v>
      </c>
      <c r="Q325">
        <v>0</v>
      </c>
      <c r="R325" s="7">
        <v>4.71</v>
      </c>
      <c r="S325" s="8">
        <f>Table13[[#This Row],[Discount_%]]/100</f>
        <v>4.7100000000000003E-2</v>
      </c>
      <c r="T325" s="6" t="s">
        <v>931</v>
      </c>
      <c r="U325" t="s">
        <v>986</v>
      </c>
      <c r="V325">
        <v>2024</v>
      </c>
      <c r="W325" t="s">
        <v>994</v>
      </c>
      <c r="X325" t="s">
        <v>999</v>
      </c>
      <c r="Y325" t="s">
        <v>1002</v>
      </c>
      <c r="Z325">
        <v>2</v>
      </c>
      <c r="AA325">
        <v>41</v>
      </c>
      <c r="AB325" s="4">
        <f>Table13[[#This Row],[Total_Price]]*(1-Table13[[#This Row],[Discount 2]])</f>
        <v>9160441.1495999992</v>
      </c>
      <c r="AC325" s="4" t="str" cm="1">
        <f t="array" ref="AC325">_xlfn.IFS(Table13[[#This Row],[Revenue]]&gt;=30000000,"High Value",Table13[[#This Row],[Revenue]]&gt;=10000000,"Moderate Value",TRUE,"Low Value")</f>
        <v>Low Value</v>
      </c>
      <c r="AD325" t="str">
        <f>IF(Table13[[#This Row],[Discount 2]]&gt;=5%, "YES", "NO")</f>
        <v>NO</v>
      </c>
      <c r="AE325" t="str" cm="1">
        <f t="array" ref="AE325">_xlfn.IFS(Table13[[#This Row],[Revenue]]&gt;=30000000,"High Spender",Table13[[#This Row],[Revenue]]&gt;=10000000,"Moderate Spender",TRUE,"Low Spender")</f>
        <v>Low Spender</v>
      </c>
      <c r="AF325" s="4" t="str" cm="1">
        <f t="array" ref="AF325">_xlfn.IFS(Table13[[#This Row],[Land_Size_SQM]]&gt;=730,"LARGE",Table13[[#This Row],[Land_Size_SQM]]&gt;=465,"MEDIUM",TRUE,"SMALL")</f>
        <v>MEDIUM</v>
      </c>
    </row>
    <row r="326" spans="1:32" x14ac:dyDescent="0.3">
      <c r="A326" t="s">
        <v>32</v>
      </c>
      <c r="B326" t="s">
        <v>532</v>
      </c>
      <c r="C326" t="s">
        <v>627</v>
      </c>
      <c r="D326">
        <v>38</v>
      </c>
      <c r="E326" t="s">
        <v>630</v>
      </c>
      <c r="F326">
        <v>211</v>
      </c>
      <c r="G326" s="4">
        <v>46583</v>
      </c>
      <c r="H326" s="4">
        <v>9829013</v>
      </c>
      <c r="I326" t="s">
        <v>637</v>
      </c>
      <c r="J326" t="s">
        <v>672</v>
      </c>
      <c r="K326" t="s">
        <v>675</v>
      </c>
      <c r="L326" t="s">
        <v>680</v>
      </c>
      <c r="M326" t="s">
        <v>684</v>
      </c>
      <c r="N326" t="s">
        <v>689</v>
      </c>
      <c r="O326" t="s">
        <v>693</v>
      </c>
      <c r="P326" s="4">
        <v>9829013</v>
      </c>
      <c r="Q326">
        <v>0</v>
      </c>
      <c r="R326" s="7">
        <v>6.82</v>
      </c>
      <c r="S326" s="8">
        <f>Table13[[#This Row],[Discount_%]]/100</f>
        <v>6.8199999999999997E-2</v>
      </c>
      <c r="T326" s="6" t="s">
        <v>701</v>
      </c>
      <c r="U326" t="s">
        <v>985</v>
      </c>
      <c r="V326">
        <v>2024</v>
      </c>
      <c r="W326" t="s">
        <v>994</v>
      </c>
      <c r="X326" t="s">
        <v>997</v>
      </c>
      <c r="Y326" t="s">
        <v>1000</v>
      </c>
      <c r="Z326">
        <v>5</v>
      </c>
      <c r="AA326">
        <v>7</v>
      </c>
      <c r="AB326" s="4">
        <f>Table13[[#This Row],[Total_Price]]*(1-Table13[[#This Row],[Discount 2]])</f>
        <v>9158674.3134000003</v>
      </c>
      <c r="AC326" s="4" t="str" cm="1">
        <f t="array" ref="AC326">_xlfn.IFS(Table13[[#This Row],[Revenue]]&gt;=30000000,"High Value",Table13[[#This Row],[Revenue]]&gt;=10000000,"Moderate Value",TRUE,"Low Value")</f>
        <v>Low Value</v>
      </c>
      <c r="AD326" t="str">
        <f>IF(Table13[[#This Row],[Discount 2]]&gt;=5%, "YES", "NO")</f>
        <v>YES</v>
      </c>
      <c r="AE326" t="str" cm="1">
        <f t="array" ref="AE326">_xlfn.IFS(Table13[[#This Row],[Revenue]]&gt;=30000000,"High Spender",Table13[[#This Row],[Revenue]]&gt;=10000000,"Moderate Spender",TRUE,"Low Spender")</f>
        <v>Low Spender</v>
      </c>
      <c r="AF326" s="4" t="str" cm="1">
        <f t="array" ref="AF326">_xlfn.IFS(Table13[[#This Row],[Land_Size_SQM]]&gt;=730,"LARGE",Table13[[#This Row],[Land_Size_SQM]]&gt;=465,"MEDIUM",TRUE,"SMALL")</f>
        <v>SMALL</v>
      </c>
    </row>
    <row r="327" spans="1:32" x14ac:dyDescent="0.3">
      <c r="A327" t="s">
        <v>463</v>
      </c>
      <c r="B327" t="s">
        <v>567</v>
      </c>
      <c r="C327" t="s">
        <v>626</v>
      </c>
      <c r="D327">
        <v>33</v>
      </c>
      <c r="E327" t="s">
        <v>629</v>
      </c>
      <c r="F327">
        <v>535</v>
      </c>
      <c r="G327" s="4">
        <v>18198</v>
      </c>
      <c r="H327" s="4">
        <v>9735930</v>
      </c>
      <c r="I327" t="s">
        <v>637</v>
      </c>
      <c r="J327" t="s">
        <v>672</v>
      </c>
      <c r="K327" t="s">
        <v>638</v>
      </c>
      <c r="L327" t="s">
        <v>680</v>
      </c>
      <c r="M327" t="s">
        <v>684</v>
      </c>
      <c r="N327" t="s">
        <v>692</v>
      </c>
      <c r="O327" t="s">
        <v>693</v>
      </c>
      <c r="P327" s="4">
        <v>9735930</v>
      </c>
      <c r="Q327">
        <v>0</v>
      </c>
      <c r="R327" s="7">
        <v>6.29</v>
      </c>
      <c r="S327" s="8">
        <f>Table13[[#This Row],[Discount_%]]/100</f>
        <v>6.2899999999999998E-2</v>
      </c>
      <c r="T327" s="6" t="s">
        <v>798</v>
      </c>
      <c r="U327" t="s">
        <v>992</v>
      </c>
      <c r="V327">
        <v>2024</v>
      </c>
      <c r="W327" t="s">
        <v>993</v>
      </c>
      <c r="X327" t="s">
        <v>999</v>
      </c>
      <c r="Y327" t="s">
        <v>1001</v>
      </c>
      <c r="Z327">
        <v>4</v>
      </c>
      <c r="AA327">
        <v>49</v>
      </c>
      <c r="AB327" s="4">
        <f>Table13[[#This Row],[Total_Price]]*(1-Table13[[#This Row],[Discount 2]])</f>
        <v>9123540.0030000005</v>
      </c>
      <c r="AC327" s="4" t="str" cm="1">
        <f t="array" ref="AC327">_xlfn.IFS(Table13[[#This Row],[Revenue]]&gt;=30000000,"High Value",Table13[[#This Row],[Revenue]]&gt;=10000000,"Moderate Value",TRUE,"Low Value")</f>
        <v>Low Value</v>
      </c>
      <c r="AD327" t="str">
        <f>IF(Table13[[#This Row],[Discount 2]]&gt;=5%, "YES", "NO")</f>
        <v>YES</v>
      </c>
      <c r="AE327" t="str" cm="1">
        <f t="array" ref="AE327">_xlfn.IFS(Table13[[#This Row],[Revenue]]&gt;=30000000,"High Spender",Table13[[#This Row],[Revenue]]&gt;=10000000,"Moderate Spender",TRUE,"Low Spender")</f>
        <v>Low Spender</v>
      </c>
      <c r="AF327" s="4" t="str" cm="1">
        <f t="array" ref="AF327">_xlfn.IFS(Table13[[#This Row],[Land_Size_SQM]]&gt;=730,"LARGE",Table13[[#This Row],[Land_Size_SQM]]&gt;=465,"MEDIUM",TRUE,"SMALL")</f>
        <v>MEDIUM</v>
      </c>
    </row>
    <row r="328" spans="1:32" x14ac:dyDescent="0.3">
      <c r="A328" t="s">
        <v>295</v>
      </c>
      <c r="B328" t="s">
        <v>611</v>
      </c>
      <c r="C328" t="s">
        <v>627</v>
      </c>
      <c r="D328">
        <v>41</v>
      </c>
      <c r="E328" t="s">
        <v>630</v>
      </c>
      <c r="F328">
        <v>694</v>
      </c>
      <c r="G328" s="4">
        <v>13331</v>
      </c>
      <c r="H328" s="4">
        <v>9251714</v>
      </c>
      <c r="I328" t="s">
        <v>649</v>
      </c>
      <c r="J328" t="s">
        <v>669</v>
      </c>
      <c r="K328" t="s">
        <v>651</v>
      </c>
      <c r="L328" t="s">
        <v>681</v>
      </c>
      <c r="M328" t="s">
        <v>684</v>
      </c>
      <c r="N328" t="s">
        <v>689</v>
      </c>
      <c r="O328" t="s">
        <v>694</v>
      </c>
      <c r="P328" s="4">
        <v>3502415</v>
      </c>
      <c r="Q328">
        <v>3</v>
      </c>
      <c r="R328" s="7">
        <v>3</v>
      </c>
      <c r="S328" s="8">
        <f>Table13[[#This Row],[Discount_%]]/100</f>
        <v>0.03</v>
      </c>
      <c r="T328" s="6" t="s">
        <v>893</v>
      </c>
      <c r="U328" t="s">
        <v>985</v>
      </c>
      <c r="V328">
        <v>2024</v>
      </c>
      <c r="W328" t="s">
        <v>996</v>
      </c>
      <c r="X328" t="s">
        <v>997</v>
      </c>
      <c r="Y328" t="s">
        <v>1001</v>
      </c>
      <c r="Z328">
        <v>5</v>
      </c>
      <c r="AA328">
        <v>1</v>
      </c>
      <c r="AB328" s="4">
        <f>Table13[[#This Row],[Total_Price]]*(1-Table13[[#This Row],[Discount 2]])</f>
        <v>8974162.5800000001</v>
      </c>
      <c r="AC328" s="4" t="str" cm="1">
        <f t="array" ref="AC328">_xlfn.IFS(Table13[[#This Row],[Revenue]]&gt;=30000000,"High Value",Table13[[#This Row],[Revenue]]&gt;=10000000,"Moderate Value",TRUE,"Low Value")</f>
        <v>Low Value</v>
      </c>
      <c r="AD328" t="str">
        <f>IF(Table13[[#This Row],[Discount 2]]&gt;=5%, "YES", "NO")</f>
        <v>NO</v>
      </c>
      <c r="AE328" t="str" cm="1">
        <f t="array" ref="AE328">_xlfn.IFS(Table13[[#This Row],[Revenue]]&gt;=30000000,"High Spender",Table13[[#This Row],[Revenue]]&gt;=10000000,"Moderate Spender",TRUE,"Low Spender")</f>
        <v>Low Spender</v>
      </c>
      <c r="AF328" s="4" t="str" cm="1">
        <f t="array" ref="AF328">_xlfn.IFS(Table13[[#This Row],[Land_Size_SQM]]&gt;=730,"LARGE",Table13[[#This Row],[Land_Size_SQM]]&gt;=465,"MEDIUM",TRUE,"SMALL")</f>
        <v>MEDIUM</v>
      </c>
    </row>
    <row r="329" spans="1:32" x14ac:dyDescent="0.3">
      <c r="A329" t="s">
        <v>173</v>
      </c>
      <c r="B329" t="s">
        <v>532</v>
      </c>
      <c r="C329" t="s">
        <v>626</v>
      </c>
      <c r="D329">
        <v>41</v>
      </c>
      <c r="E329" t="s">
        <v>629</v>
      </c>
      <c r="F329">
        <v>264</v>
      </c>
      <c r="G329" s="4">
        <v>37024</v>
      </c>
      <c r="H329" s="4">
        <v>9774336</v>
      </c>
      <c r="I329" t="s">
        <v>659</v>
      </c>
      <c r="J329" t="s">
        <v>668</v>
      </c>
      <c r="K329" t="s">
        <v>651</v>
      </c>
      <c r="L329" t="s">
        <v>682</v>
      </c>
      <c r="M329" t="s">
        <v>683</v>
      </c>
      <c r="N329" t="s">
        <v>692</v>
      </c>
      <c r="O329" t="s">
        <v>694</v>
      </c>
      <c r="P329" s="4">
        <v>4793711</v>
      </c>
      <c r="Q329">
        <v>6</v>
      </c>
      <c r="R329" s="7">
        <v>8.25</v>
      </c>
      <c r="S329" s="8">
        <f>Table13[[#This Row],[Discount_%]]/100</f>
        <v>8.2500000000000004E-2</v>
      </c>
      <c r="T329" s="6" t="s">
        <v>812</v>
      </c>
      <c r="U329" t="s">
        <v>986</v>
      </c>
      <c r="V329">
        <v>2024</v>
      </c>
      <c r="W329" t="s">
        <v>995</v>
      </c>
      <c r="X329" t="s">
        <v>998</v>
      </c>
      <c r="Y329" t="s">
        <v>1001</v>
      </c>
      <c r="Z329">
        <v>1</v>
      </c>
      <c r="AA329">
        <v>3</v>
      </c>
      <c r="AB329" s="4">
        <f>Table13[[#This Row],[Total_Price]]*(1-Table13[[#This Row],[Discount 2]])</f>
        <v>8967953.2799999993</v>
      </c>
      <c r="AC329" s="4" t="str" cm="1">
        <f t="array" ref="AC329">_xlfn.IFS(Table13[[#This Row],[Revenue]]&gt;=30000000,"High Value",Table13[[#This Row],[Revenue]]&gt;=10000000,"Moderate Value",TRUE,"Low Value")</f>
        <v>Low Value</v>
      </c>
      <c r="AD329" t="str">
        <f>IF(Table13[[#This Row],[Discount 2]]&gt;=5%, "YES", "NO")</f>
        <v>YES</v>
      </c>
      <c r="AE329" t="str" cm="1">
        <f t="array" ref="AE329">_xlfn.IFS(Table13[[#This Row],[Revenue]]&gt;=30000000,"High Spender",Table13[[#This Row],[Revenue]]&gt;=10000000,"Moderate Spender",TRUE,"Low Spender")</f>
        <v>Low Spender</v>
      </c>
      <c r="AF329" s="4" t="str" cm="1">
        <f t="array" ref="AF329">_xlfn.IFS(Table13[[#This Row],[Land_Size_SQM]]&gt;=730,"LARGE",Table13[[#This Row],[Land_Size_SQM]]&gt;=465,"MEDIUM",TRUE,"SMALL")</f>
        <v>SMALL</v>
      </c>
    </row>
    <row r="330" spans="1:32" x14ac:dyDescent="0.3">
      <c r="A330" t="s">
        <v>188</v>
      </c>
      <c r="B330" t="s">
        <v>604</v>
      </c>
      <c r="C330" t="s">
        <v>626</v>
      </c>
      <c r="D330">
        <v>34</v>
      </c>
      <c r="E330" t="s">
        <v>628</v>
      </c>
      <c r="F330">
        <v>442</v>
      </c>
      <c r="G330" s="4">
        <v>21115</v>
      </c>
      <c r="H330" s="4">
        <v>9332830</v>
      </c>
      <c r="I330" t="s">
        <v>634</v>
      </c>
      <c r="J330" t="s">
        <v>670</v>
      </c>
      <c r="K330" t="s">
        <v>638</v>
      </c>
      <c r="L330" t="s">
        <v>680</v>
      </c>
      <c r="M330" t="s">
        <v>683</v>
      </c>
      <c r="N330" t="s">
        <v>692</v>
      </c>
      <c r="O330" t="s">
        <v>694</v>
      </c>
      <c r="P330" s="4">
        <v>4459344</v>
      </c>
      <c r="Q330">
        <v>12</v>
      </c>
      <c r="R330" s="7">
        <v>3.93</v>
      </c>
      <c r="S330" s="8">
        <f>Table13[[#This Row],[Discount_%]]/100</f>
        <v>3.9300000000000002E-2</v>
      </c>
      <c r="T330" s="6" t="s">
        <v>821</v>
      </c>
      <c r="U330" t="s">
        <v>982</v>
      </c>
      <c r="V330">
        <v>2024</v>
      </c>
      <c r="W330" t="s">
        <v>993</v>
      </c>
      <c r="X330" t="s">
        <v>999</v>
      </c>
      <c r="Y330" t="s">
        <v>1000</v>
      </c>
      <c r="Z330">
        <v>2</v>
      </c>
      <c r="AA330">
        <v>29</v>
      </c>
      <c r="AB330" s="4">
        <f>Table13[[#This Row],[Total_Price]]*(1-Table13[[#This Row],[Discount 2]])</f>
        <v>8966049.7809999995</v>
      </c>
      <c r="AC330" s="4" t="str" cm="1">
        <f t="array" ref="AC330">_xlfn.IFS(Table13[[#This Row],[Revenue]]&gt;=30000000,"High Value",Table13[[#This Row],[Revenue]]&gt;=10000000,"Moderate Value",TRUE,"Low Value")</f>
        <v>Low Value</v>
      </c>
      <c r="AD330" t="str">
        <f>IF(Table13[[#This Row],[Discount 2]]&gt;=5%, "YES", "NO")</f>
        <v>NO</v>
      </c>
      <c r="AE330" t="str" cm="1">
        <f t="array" ref="AE330">_xlfn.IFS(Table13[[#This Row],[Revenue]]&gt;=30000000,"High Spender",Table13[[#This Row],[Revenue]]&gt;=10000000,"Moderate Spender",TRUE,"Low Spender")</f>
        <v>Low Spender</v>
      </c>
      <c r="AF330" s="4" t="str" cm="1">
        <f t="array" ref="AF330">_xlfn.IFS(Table13[[#This Row],[Land_Size_SQM]]&gt;=730,"LARGE",Table13[[#This Row],[Land_Size_SQM]]&gt;=465,"MEDIUM",TRUE,"SMALL")</f>
        <v>SMALL</v>
      </c>
    </row>
    <row r="331" spans="1:32" x14ac:dyDescent="0.3">
      <c r="A331" t="s">
        <v>401</v>
      </c>
      <c r="B331" t="s">
        <v>610</v>
      </c>
      <c r="C331" t="s">
        <v>627</v>
      </c>
      <c r="D331">
        <v>36</v>
      </c>
      <c r="E331" t="s">
        <v>629</v>
      </c>
      <c r="F331">
        <v>348</v>
      </c>
      <c r="G331" s="4">
        <v>25789</v>
      </c>
      <c r="H331" s="4">
        <v>8974572</v>
      </c>
      <c r="I331" t="s">
        <v>653</v>
      </c>
      <c r="J331" t="s">
        <v>668</v>
      </c>
      <c r="K331" t="s">
        <v>677</v>
      </c>
      <c r="L331" t="s">
        <v>681</v>
      </c>
      <c r="M331" t="s">
        <v>687</v>
      </c>
      <c r="N331" t="s">
        <v>690</v>
      </c>
      <c r="O331" t="s">
        <v>694</v>
      </c>
      <c r="P331" s="4">
        <v>4006335</v>
      </c>
      <c r="Q331">
        <v>12</v>
      </c>
      <c r="R331" s="7">
        <v>0.21</v>
      </c>
      <c r="S331" s="8">
        <f>Table13[[#This Row],[Discount_%]]/100</f>
        <v>2.0999999999999999E-3</v>
      </c>
      <c r="T331" s="6" t="s">
        <v>948</v>
      </c>
      <c r="U331" t="s">
        <v>983</v>
      </c>
      <c r="V331">
        <v>2024</v>
      </c>
      <c r="W331" t="s">
        <v>993</v>
      </c>
      <c r="X331" t="s">
        <v>997</v>
      </c>
      <c r="Y331" t="s">
        <v>1000</v>
      </c>
      <c r="Z331">
        <v>4</v>
      </c>
      <c r="AA331">
        <v>25</v>
      </c>
      <c r="AB331" s="4">
        <f>Table13[[#This Row],[Total_Price]]*(1-Table13[[#This Row],[Discount 2]])</f>
        <v>8955725.3988000005</v>
      </c>
      <c r="AC331" s="4" t="str" cm="1">
        <f t="array" ref="AC331">_xlfn.IFS(Table13[[#This Row],[Revenue]]&gt;=30000000,"High Value",Table13[[#This Row],[Revenue]]&gt;=10000000,"Moderate Value",TRUE,"Low Value")</f>
        <v>Low Value</v>
      </c>
      <c r="AD331" t="str">
        <f>IF(Table13[[#This Row],[Discount 2]]&gt;=5%, "YES", "NO")</f>
        <v>NO</v>
      </c>
      <c r="AE331" t="str" cm="1">
        <f t="array" ref="AE331">_xlfn.IFS(Table13[[#This Row],[Revenue]]&gt;=30000000,"High Spender",Table13[[#This Row],[Revenue]]&gt;=10000000,"Moderate Spender",TRUE,"Low Spender")</f>
        <v>Low Spender</v>
      </c>
      <c r="AF331" s="4" t="str" cm="1">
        <f t="array" ref="AF331">_xlfn.IFS(Table13[[#This Row],[Land_Size_SQM]]&gt;=730,"LARGE",Table13[[#This Row],[Land_Size_SQM]]&gt;=465,"MEDIUM",TRUE,"SMALL")</f>
        <v>SMALL</v>
      </c>
    </row>
    <row r="332" spans="1:32" x14ac:dyDescent="0.3">
      <c r="A332" t="s">
        <v>478</v>
      </c>
      <c r="B332" t="s">
        <v>612</v>
      </c>
      <c r="C332" t="s">
        <v>627</v>
      </c>
      <c r="D332">
        <v>24</v>
      </c>
      <c r="E332" t="s">
        <v>629</v>
      </c>
      <c r="F332">
        <v>218</v>
      </c>
      <c r="G332" s="4">
        <v>41779</v>
      </c>
      <c r="H332" s="4">
        <v>9107822</v>
      </c>
      <c r="I332" t="s">
        <v>648</v>
      </c>
      <c r="J332" t="s">
        <v>671</v>
      </c>
      <c r="K332" t="s">
        <v>638</v>
      </c>
      <c r="L332" t="s">
        <v>680</v>
      </c>
      <c r="M332" t="s">
        <v>687</v>
      </c>
      <c r="N332" t="s">
        <v>688</v>
      </c>
      <c r="O332" t="s">
        <v>693</v>
      </c>
      <c r="P332" s="4">
        <v>9107822</v>
      </c>
      <c r="Q332">
        <v>0</v>
      </c>
      <c r="R332" s="7">
        <v>1.77</v>
      </c>
      <c r="S332" s="8">
        <f>Table13[[#This Row],[Discount_%]]/100</f>
        <v>1.77E-2</v>
      </c>
      <c r="T332" s="6" t="s">
        <v>907</v>
      </c>
      <c r="U332" t="s">
        <v>987</v>
      </c>
      <c r="V332">
        <v>2024</v>
      </c>
      <c r="W332" t="s">
        <v>995</v>
      </c>
      <c r="X332" t="s">
        <v>998</v>
      </c>
      <c r="Y332" t="s">
        <v>1000</v>
      </c>
      <c r="Z332">
        <v>2</v>
      </c>
      <c r="AA332">
        <v>46</v>
      </c>
      <c r="AB332" s="4">
        <f>Table13[[#This Row],[Total_Price]]*(1-Table13[[#This Row],[Discount 2]])</f>
        <v>8946613.5505999997</v>
      </c>
      <c r="AC332" s="4" t="str" cm="1">
        <f t="array" ref="AC332">_xlfn.IFS(Table13[[#This Row],[Revenue]]&gt;=30000000,"High Value",Table13[[#This Row],[Revenue]]&gt;=10000000,"Moderate Value",TRUE,"Low Value")</f>
        <v>Low Value</v>
      </c>
      <c r="AD332" t="str">
        <f>IF(Table13[[#This Row],[Discount 2]]&gt;=5%, "YES", "NO")</f>
        <v>NO</v>
      </c>
      <c r="AE332" t="str" cm="1">
        <f t="array" ref="AE332">_xlfn.IFS(Table13[[#This Row],[Revenue]]&gt;=30000000,"High Spender",Table13[[#This Row],[Revenue]]&gt;=10000000,"Moderate Spender",TRUE,"Low Spender")</f>
        <v>Low Spender</v>
      </c>
      <c r="AF332" s="4" t="str" cm="1">
        <f t="array" ref="AF332">_xlfn.IFS(Table13[[#This Row],[Land_Size_SQM]]&gt;=730,"LARGE",Table13[[#This Row],[Land_Size_SQM]]&gt;=465,"MEDIUM",TRUE,"SMALL")</f>
        <v>SMALL</v>
      </c>
    </row>
    <row r="333" spans="1:32" x14ac:dyDescent="0.3">
      <c r="A333" t="s">
        <v>293</v>
      </c>
      <c r="B333" t="s">
        <v>588</v>
      </c>
      <c r="C333" t="s">
        <v>627</v>
      </c>
      <c r="D333">
        <v>39</v>
      </c>
      <c r="E333" t="s">
        <v>628</v>
      </c>
      <c r="F333">
        <v>200</v>
      </c>
      <c r="G333" s="4">
        <v>49599</v>
      </c>
      <c r="H333" s="4">
        <v>9919800</v>
      </c>
      <c r="I333" t="s">
        <v>666</v>
      </c>
      <c r="J333" t="s">
        <v>670</v>
      </c>
      <c r="K333" t="s">
        <v>640</v>
      </c>
      <c r="L333" t="s">
        <v>681</v>
      </c>
      <c r="M333" t="s">
        <v>683</v>
      </c>
      <c r="N333" t="s">
        <v>688</v>
      </c>
      <c r="O333" t="s">
        <v>693</v>
      </c>
      <c r="P333" s="4">
        <v>9919800</v>
      </c>
      <c r="Q333">
        <v>0</v>
      </c>
      <c r="R333" s="7">
        <v>9.83</v>
      </c>
      <c r="S333" s="8">
        <f>Table13[[#This Row],[Discount_%]]/100</f>
        <v>9.8299999999999998E-2</v>
      </c>
      <c r="T333" s="6" t="s">
        <v>891</v>
      </c>
      <c r="U333" t="s">
        <v>983</v>
      </c>
      <c r="V333">
        <v>2024</v>
      </c>
      <c r="W333" t="s">
        <v>994</v>
      </c>
      <c r="X333" t="s">
        <v>999</v>
      </c>
      <c r="Y333" t="s">
        <v>1001</v>
      </c>
      <c r="Z333">
        <v>3</v>
      </c>
      <c r="AA333">
        <v>36</v>
      </c>
      <c r="AB333" s="4">
        <f>Table13[[#This Row],[Total_Price]]*(1-Table13[[#This Row],[Discount 2]])</f>
        <v>8944683.6600000001</v>
      </c>
      <c r="AC333" s="4" t="str" cm="1">
        <f t="array" ref="AC333">_xlfn.IFS(Table13[[#This Row],[Revenue]]&gt;=30000000,"High Value",Table13[[#This Row],[Revenue]]&gt;=10000000,"Moderate Value",TRUE,"Low Value")</f>
        <v>Low Value</v>
      </c>
      <c r="AD333" t="str">
        <f>IF(Table13[[#This Row],[Discount 2]]&gt;=5%, "YES", "NO")</f>
        <v>YES</v>
      </c>
      <c r="AE333" t="str" cm="1">
        <f t="array" ref="AE333">_xlfn.IFS(Table13[[#This Row],[Revenue]]&gt;=30000000,"High Spender",Table13[[#This Row],[Revenue]]&gt;=10000000,"Moderate Spender",TRUE,"Low Spender")</f>
        <v>Low Spender</v>
      </c>
      <c r="AF333" s="4" t="str" cm="1">
        <f t="array" ref="AF333">_xlfn.IFS(Table13[[#This Row],[Land_Size_SQM]]&gt;=730,"LARGE",Table13[[#This Row],[Land_Size_SQM]]&gt;=465,"MEDIUM",TRUE,"SMALL")</f>
        <v>SMALL</v>
      </c>
    </row>
    <row r="334" spans="1:32" x14ac:dyDescent="0.3">
      <c r="A334" t="s">
        <v>206</v>
      </c>
      <c r="B334" t="s">
        <v>541</v>
      </c>
      <c r="C334" t="s">
        <v>626</v>
      </c>
      <c r="D334">
        <v>55</v>
      </c>
      <c r="E334" t="s">
        <v>630</v>
      </c>
      <c r="F334">
        <v>842</v>
      </c>
      <c r="G334" s="4">
        <v>11691</v>
      </c>
      <c r="H334" s="4">
        <v>9843822</v>
      </c>
      <c r="I334" t="s">
        <v>633</v>
      </c>
      <c r="J334" t="s">
        <v>668</v>
      </c>
      <c r="K334" t="s">
        <v>679</v>
      </c>
      <c r="L334" t="s">
        <v>681</v>
      </c>
      <c r="M334" t="s">
        <v>686</v>
      </c>
      <c r="N334" t="s">
        <v>691</v>
      </c>
      <c r="O334" t="s">
        <v>694</v>
      </c>
      <c r="P334" s="4">
        <v>4658504</v>
      </c>
      <c r="Q334">
        <v>12</v>
      </c>
      <c r="R334" s="7">
        <v>9.14</v>
      </c>
      <c r="S334" s="8">
        <f>Table13[[#This Row],[Discount_%]]/100</f>
        <v>9.1400000000000009E-2</v>
      </c>
      <c r="T334" s="6" t="s">
        <v>835</v>
      </c>
      <c r="U334" t="s">
        <v>981</v>
      </c>
      <c r="V334">
        <v>2024</v>
      </c>
      <c r="W334" t="s">
        <v>993</v>
      </c>
      <c r="X334" t="s">
        <v>997</v>
      </c>
      <c r="Y334" t="s">
        <v>1001</v>
      </c>
      <c r="Z334">
        <v>5</v>
      </c>
      <c r="AA334">
        <v>34</v>
      </c>
      <c r="AB334" s="4">
        <f>Table13[[#This Row],[Total_Price]]*(1-Table13[[#This Row],[Discount 2]])</f>
        <v>8944096.6691999994</v>
      </c>
      <c r="AC334" s="4" t="str" cm="1">
        <f t="array" ref="AC334">_xlfn.IFS(Table13[[#This Row],[Revenue]]&gt;=30000000,"High Value",Table13[[#This Row],[Revenue]]&gt;=10000000,"Moderate Value",TRUE,"Low Value")</f>
        <v>Low Value</v>
      </c>
      <c r="AD334" t="str">
        <f>IF(Table13[[#This Row],[Discount 2]]&gt;=5%, "YES", "NO")</f>
        <v>YES</v>
      </c>
      <c r="AE334" t="str" cm="1">
        <f t="array" ref="AE334">_xlfn.IFS(Table13[[#This Row],[Revenue]]&gt;=30000000,"High Spender",Table13[[#This Row],[Revenue]]&gt;=10000000,"Moderate Spender",TRUE,"Low Spender")</f>
        <v>Low Spender</v>
      </c>
      <c r="AF334" s="4" t="str" cm="1">
        <f t="array" ref="AF334">_xlfn.IFS(Table13[[#This Row],[Land_Size_SQM]]&gt;=730,"LARGE",Table13[[#This Row],[Land_Size_SQM]]&gt;=465,"MEDIUM",TRUE,"SMALL")</f>
        <v>LARGE</v>
      </c>
    </row>
    <row r="335" spans="1:32" x14ac:dyDescent="0.3">
      <c r="A335" t="s">
        <v>29</v>
      </c>
      <c r="B335" t="s">
        <v>529</v>
      </c>
      <c r="C335" t="s">
        <v>627</v>
      </c>
      <c r="D335">
        <v>54</v>
      </c>
      <c r="E335" t="s">
        <v>629</v>
      </c>
      <c r="F335">
        <v>366</v>
      </c>
      <c r="G335" s="4">
        <v>26260</v>
      </c>
      <c r="H335" s="4">
        <v>9611160</v>
      </c>
      <c r="I335" t="s">
        <v>634</v>
      </c>
      <c r="J335" t="s">
        <v>670</v>
      </c>
      <c r="K335" t="s">
        <v>651</v>
      </c>
      <c r="L335" t="s">
        <v>680</v>
      </c>
      <c r="M335" t="s">
        <v>683</v>
      </c>
      <c r="N335" t="s">
        <v>691</v>
      </c>
      <c r="O335" t="s">
        <v>694</v>
      </c>
      <c r="P335" s="4">
        <v>3854580</v>
      </c>
      <c r="Q335">
        <v>6</v>
      </c>
      <c r="R335" s="7">
        <v>7.02</v>
      </c>
      <c r="S335" s="8">
        <f>Table13[[#This Row],[Discount_%]]/100</f>
        <v>7.0199999999999999E-2</v>
      </c>
      <c r="T335" s="6" t="s">
        <v>698</v>
      </c>
      <c r="U335" t="s">
        <v>984</v>
      </c>
      <c r="V335">
        <v>2024</v>
      </c>
      <c r="W335" t="s">
        <v>995</v>
      </c>
      <c r="X335" t="s">
        <v>998</v>
      </c>
      <c r="Y335" t="s">
        <v>1001</v>
      </c>
      <c r="Z335">
        <v>5</v>
      </c>
      <c r="AA335">
        <v>15</v>
      </c>
      <c r="AB335" s="4">
        <f>Table13[[#This Row],[Total_Price]]*(1-Table13[[#This Row],[Discount 2]])</f>
        <v>8936456.568</v>
      </c>
      <c r="AC335" s="4" t="str" cm="1">
        <f t="array" ref="AC335">_xlfn.IFS(Table13[[#This Row],[Revenue]]&gt;=30000000,"High Value",Table13[[#This Row],[Revenue]]&gt;=10000000,"Moderate Value",TRUE,"Low Value")</f>
        <v>Low Value</v>
      </c>
      <c r="AD335" t="str">
        <f>IF(Table13[[#This Row],[Discount 2]]&gt;=5%, "YES", "NO")</f>
        <v>YES</v>
      </c>
      <c r="AE335" t="str" cm="1">
        <f t="array" ref="AE335">_xlfn.IFS(Table13[[#This Row],[Revenue]]&gt;=30000000,"High Spender",Table13[[#This Row],[Revenue]]&gt;=10000000,"Moderate Spender",TRUE,"Low Spender")</f>
        <v>Low Spender</v>
      </c>
      <c r="AF335" s="4" t="str" cm="1">
        <f t="array" ref="AF335">_xlfn.IFS(Table13[[#This Row],[Land_Size_SQM]]&gt;=730,"LARGE",Table13[[#This Row],[Land_Size_SQM]]&gt;=465,"MEDIUM",TRUE,"SMALL")</f>
        <v>SMALL</v>
      </c>
    </row>
    <row r="336" spans="1:32" x14ac:dyDescent="0.3">
      <c r="A336" t="s">
        <v>297</v>
      </c>
      <c r="B336" t="s">
        <v>541</v>
      </c>
      <c r="C336" t="s">
        <v>626</v>
      </c>
      <c r="D336">
        <v>64</v>
      </c>
      <c r="E336" t="s">
        <v>628</v>
      </c>
      <c r="F336">
        <v>284</v>
      </c>
      <c r="G336" s="4">
        <v>33185</v>
      </c>
      <c r="H336" s="4">
        <v>9424540</v>
      </c>
      <c r="I336" t="s">
        <v>654</v>
      </c>
      <c r="J336" t="s">
        <v>669</v>
      </c>
      <c r="K336" t="s">
        <v>651</v>
      </c>
      <c r="L336" t="s">
        <v>680</v>
      </c>
      <c r="M336" t="s">
        <v>684</v>
      </c>
      <c r="N336" t="s">
        <v>692</v>
      </c>
      <c r="O336" t="s">
        <v>693</v>
      </c>
      <c r="P336" s="4">
        <v>9424540</v>
      </c>
      <c r="Q336">
        <v>0</v>
      </c>
      <c r="R336" s="7">
        <v>5.48</v>
      </c>
      <c r="S336" s="8">
        <f>Table13[[#This Row],[Discount_%]]/100</f>
        <v>5.4800000000000001E-2</v>
      </c>
      <c r="T336" s="6" t="s">
        <v>895</v>
      </c>
      <c r="U336" t="s">
        <v>992</v>
      </c>
      <c r="V336">
        <v>2024</v>
      </c>
      <c r="W336" t="s">
        <v>996</v>
      </c>
      <c r="X336" t="s">
        <v>998</v>
      </c>
      <c r="Y336" t="s">
        <v>1002</v>
      </c>
      <c r="Z336">
        <v>5</v>
      </c>
      <c r="AA336">
        <v>13</v>
      </c>
      <c r="AB336" s="4">
        <f>Table13[[#This Row],[Total_Price]]*(1-Table13[[#This Row],[Discount 2]])</f>
        <v>8908075.2080000006</v>
      </c>
      <c r="AC336" s="4" t="str" cm="1">
        <f t="array" ref="AC336">_xlfn.IFS(Table13[[#This Row],[Revenue]]&gt;=30000000,"High Value",Table13[[#This Row],[Revenue]]&gt;=10000000,"Moderate Value",TRUE,"Low Value")</f>
        <v>Low Value</v>
      </c>
      <c r="AD336" t="str">
        <f>IF(Table13[[#This Row],[Discount 2]]&gt;=5%, "YES", "NO")</f>
        <v>YES</v>
      </c>
      <c r="AE336" t="str" cm="1">
        <f t="array" ref="AE336">_xlfn.IFS(Table13[[#This Row],[Revenue]]&gt;=30000000,"High Spender",Table13[[#This Row],[Revenue]]&gt;=10000000,"Moderate Spender",TRUE,"Low Spender")</f>
        <v>Low Spender</v>
      </c>
      <c r="AF336" s="4" t="str" cm="1">
        <f t="array" ref="AF336">_xlfn.IFS(Table13[[#This Row],[Land_Size_SQM]]&gt;=730,"LARGE",Table13[[#This Row],[Land_Size_SQM]]&gt;=465,"MEDIUM",TRUE,"SMALL")</f>
        <v>SMALL</v>
      </c>
    </row>
    <row r="337" spans="1:32" x14ac:dyDescent="0.3">
      <c r="A337" t="s">
        <v>471</v>
      </c>
      <c r="B337" t="s">
        <v>598</v>
      </c>
      <c r="C337" t="s">
        <v>626</v>
      </c>
      <c r="D337">
        <v>60</v>
      </c>
      <c r="E337" t="s">
        <v>630</v>
      </c>
      <c r="F337">
        <v>590</v>
      </c>
      <c r="G337" s="4">
        <v>15382</v>
      </c>
      <c r="H337" s="4">
        <v>9075380</v>
      </c>
      <c r="I337" t="s">
        <v>652</v>
      </c>
      <c r="J337" t="s">
        <v>672</v>
      </c>
      <c r="K337" t="s">
        <v>640</v>
      </c>
      <c r="L337" t="s">
        <v>680</v>
      </c>
      <c r="M337" t="s">
        <v>683</v>
      </c>
      <c r="N337" t="s">
        <v>689</v>
      </c>
      <c r="O337" t="s">
        <v>694</v>
      </c>
      <c r="P337" s="4">
        <v>3270288</v>
      </c>
      <c r="Q337">
        <v>3</v>
      </c>
      <c r="R337" s="7">
        <v>1.88</v>
      </c>
      <c r="S337" s="8">
        <f>Table13[[#This Row],[Discount_%]]/100</f>
        <v>1.8799999999999997E-2</v>
      </c>
      <c r="T337" s="6" t="s">
        <v>910</v>
      </c>
      <c r="U337" t="s">
        <v>981</v>
      </c>
      <c r="V337">
        <v>2024</v>
      </c>
      <c r="W337" t="s">
        <v>996</v>
      </c>
      <c r="X337" t="s">
        <v>999</v>
      </c>
      <c r="Y337" t="s">
        <v>1001</v>
      </c>
      <c r="Z337">
        <v>5</v>
      </c>
      <c r="AA337">
        <v>32</v>
      </c>
      <c r="AB337" s="4">
        <f>Table13[[#This Row],[Total_Price]]*(1-Table13[[#This Row],[Discount 2]])</f>
        <v>8904762.8559999987</v>
      </c>
      <c r="AC337" s="4" t="str" cm="1">
        <f t="array" ref="AC337">_xlfn.IFS(Table13[[#This Row],[Revenue]]&gt;=30000000,"High Value",Table13[[#This Row],[Revenue]]&gt;=10000000,"Moderate Value",TRUE,"Low Value")</f>
        <v>Low Value</v>
      </c>
      <c r="AD337" t="str">
        <f>IF(Table13[[#This Row],[Discount 2]]&gt;=5%, "YES", "NO")</f>
        <v>NO</v>
      </c>
      <c r="AE337" t="str" cm="1">
        <f t="array" ref="AE337">_xlfn.IFS(Table13[[#This Row],[Revenue]]&gt;=30000000,"High Spender",Table13[[#This Row],[Revenue]]&gt;=10000000,"Moderate Spender",TRUE,"Low Spender")</f>
        <v>Low Spender</v>
      </c>
      <c r="AF337" s="4" t="str" cm="1">
        <f t="array" ref="AF337">_xlfn.IFS(Table13[[#This Row],[Land_Size_SQM]]&gt;=730,"LARGE",Table13[[#This Row],[Land_Size_SQM]]&gt;=465,"MEDIUM",TRUE,"SMALL")</f>
        <v>MEDIUM</v>
      </c>
    </row>
    <row r="338" spans="1:32" x14ac:dyDescent="0.3">
      <c r="A338" t="s">
        <v>229</v>
      </c>
      <c r="B338" t="s">
        <v>587</v>
      </c>
      <c r="C338" t="s">
        <v>627</v>
      </c>
      <c r="D338">
        <v>51</v>
      </c>
      <c r="E338" t="s">
        <v>630</v>
      </c>
      <c r="F338">
        <v>211</v>
      </c>
      <c r="G338" s="4">
        <v>44165</v>
      </c>
      <c r="H338" s="4">
        <v>9318815</v>
      </c>
      <c r="I338" t="s">
        <v>665</v>
      </c>
      <c r="J338" t="s">
        <v>672</v>
      </c>
      <c r="K338" t="s">
        <v>664</v>
      </c>
      <c r="L338" t="s">
        <v>680</v>
      </c>
      <c r="M338" t="s">
        <v>687</v>
      </c>
      <c r="N338" t="s">
        <v>690</v>
      </c>
      <c r="O338" t="s">
        <v>693</v>
      </c>
      <c r="P338" s="4">
        <v>9318815</v>
      </c>
      <c r="Q338">
        <v>0</v>
      </c>
      <c r="R338" s="7">
        <v>5.0599999999999996</v>
      </c>
      <c r="S338" s="8">
        <f>Table13[[#This Row],[Discount_%]]/100</f>
        <v>5.0599999999999999E-2</v>
      </c>
      <c r="T338" s="6" t="s">
        <v>795</v>
      </c>
      <c r="U338" t="s">
        <v>989</v>
      </c>
      <c r="V338">
        <v>2024</v>
      </c>
      <c r="W338" t="s">
        <v>993</v>
      </c>
      <c r="X338" t="s">
        <v>997</v>
      </c>
      <c r="Y338" t="s">
        <v>1000</v>
      </c>
      <c r="Z338">
        <v>5</v>
      </c>
      <c r="AA338">
        <v>42</v>
      </c>
      <c r="AB338" s="4">
        <f>Table13[[#This Row],[Total_Price]]*(1-Table13[[#This Row],[Discount 2]])</f>
        <v>8847282.9610000011</v>
      </c>
      <c r="AC338" s="4" t="str" cm="1">
        <f t="array" ref="AC338">_xlfn.IFS(Table13[[#This Row],[Revenue]]&gt;=30000000,"High Value",Table13[[#This Row],[Revenue]]&gt;=10000000,"Moderate Value",TRUE,"Low Value")</f>
        <v>Low Value</v>
      </c>
      <c r="AD338" t="str">
        <f>IF(Table13[[#This Row],[Discount 2]]&gt;=5%, "YES", "NO")</f>
        <v>YES</v>
      </c>
      <c r="AE338" t="str" cm="1">
        <f t="array" ref="AE338">_xlfn.IFS(Table13[[#This Row],[Revenue]]&gt;=30000000,"High Spender",Table13[[#This Row],[Revenue]]&gt;=10000000,"Moderate Spender",TRUE,"Low Spender")</f>
        <v>Low Spender</v>
      </c>
      <c r="AF338" s="4" t="str" cm="1">
        <f t="array" ref="AF338">_xlfn.IFS(Table13[[#This Row],[Land_Size_SQM]]&gt;=730,"LARGE",Table13[[#This Row],[Land_Size_SQM]]&gt;=465,"MEDIUM",TRUE,"SMALL")</f>
        <v>SMALL</v>
      </c>
    </row>
    <row r="339" spans="1:32" x14ac:dyDescent="0.3">
      <c r="A339" t="s">
        <v>470</v>
      </c>
      <c r="B339" t="s">
        <v>539</v>
      </c>
      <c r="C339" t="s">
        <v>626</v>
      </c>
      <c r="D339">
        <v>57</v>
      </c>
      <c r="E339" t="s">
        <v>628</v>
      </c>
      <c r="F339">
        <v>547</v>
      </c>
      <c r="G339" s="4">
        <v>16777</v>
      </c>
      <c r="H339" s="4">
        <v>9177019</v>
      </c>
      <c r="I339" t="s">
        <v>661</v>
      </c>
      <c r="J339" t="s">
        <v>673</v>
      </c>
      <c r="K339" t="s">
        <v>651</v>
      </c>
      <c r="L339" t="s">
        <v>682</v>
      </c>
      <c r="M339" t="s">
        <v>685</v>
      </c>
      <c r="N339" t="s">
        <v>688</v>
      </c>
      <c r="O339" t="s">
        <v>694</v>
      </c>
      <c r="P339" s="4">
        <v>3723381</v>
      </c>
      <c r="Q339">
        <v>24</v>
      </c>
      <c r="R339" s="7">
        <v>4.03</v>
      </c>
      <c r="S339" s="8">
        <f>Table13[[#This Row],[Discount_%]]/100</f>
        <v>4.0300000000000002E-2</v>
      </c>
      <c r="T339" s="6" t="s">
        <v>836</v>
      </c>
      <c r="U339" t="s">
        <v>984</v>
      </c>
      <c r="V339">
        <v>2024</v>
      </c>
      <c r="W339" t="s">
        <v>996</v>
      </c>
      <c r="X339" t="s">
        <v>998</v>
      </c>
      <c r="Y339" t="s">
        <v>1001</v>
      </c>
      <c r="Z339">
        <v>5</v>
      </c>
      <c r="AA339">
        <v>39</v>
      </c>
      <c r="AB339" s="4">
        <f>Table13[[#This Row],[Total_Price]]*(1-Table13[[#This Row],[Discount 2]])</f>
        <v>8807185.1342999991</v>
      </c>
      <c r="AC339" s="4" t="str" cm="1">
        <f t="array" ref="AC339">_xlfn.IFS(Table13[[#This Row],[Revenue]]&gt;=30000000,"High Value",Table13[[#This Row],[Revenue]]&gt;=10000000,"Moderate Value",TRUE,"Low Value")</f>
        <v>Low Value</v>
      </c>
      <c r="AD339" t="str">
        <f>IF(Table13[[#This Row],[Discount 2]]&gt;=5%, "YES", "NO")</f>
        <v>NO</v>
      </c>
      <c r="AE339" t="str" cm="1">
        <f t="array" ref="AE339">_xlfn.IFS(Table13[[#This Row],[Revenue]]&gt;=30000000,"High Spender",Table13[[#This Row],[Revenue]]&gt;=10000000,"Moderate Spender",TRUE,"Low Spender")</f>
        <v>Low Spender</v>
      </c>
      <c r="AF339" s="4" t="str" cm="1">
        <f t="array" ref="AF339">_xlfn.IFS(Table13[[#This Row],[Land_Size_SQM]]&gt;=730,"LARGE",Table13[[#This Row],[Land_Size_SQM]]&gt;=465,"MEDIUM",TRUE,"SMALL")</f>
        <v>MEDIUM</v>
      </c>
    </row>
    <row r="340" spans="1:32" x14ac:dyDescent="0.3">
      <c r="A340" t="s">
        <v>91</v>
      </c>
      <c r="B340" t="s">
        <v>553</v>
      </c>
      <c r="C340" t="s">
        <v>627</v>
      </c>
      <c r="D340">
        <v>31</v>
      </c>
      <c r="E340" t="s">
        <v>628</v>
      </c>
      <c r="F340">
        <v>226</v>
      </c>
      <c r="G340" s="4">
        <v>41911</v>
      </c>
      <c r="H340" s="4">
        <v>9471886</v>
      </c>
      <c r="I340" t="s">
        <v>659</v>
      </c>
      <c r="J340" t="s">
        <v>668</v>
      </c>
      <c r="K340" t="s">
        <v>675</v>
      </c>
      <c r="L340" t="s">
        <v>682</v>
      </c>
      <c r="M340" t="s">
        <v>684</v>
      </c>
      <c r="N340" t="s">
        <v>689</v>
      </c>
      <c r="O340" t="s">
        <v>694</v>
      </c>
      <c r="P340" s="4">
        <v>2407041</v>
      </c>
      <c r="Q340">
        <v>3</v>
      </c>
      <c r="R340" s="7">
        <v>7.03</v>
      </c>
      <c r="S340" s="8">
        <f>Table13[[#This Row],[Discount_%]]/100</f>
        <v>7.0300000000000001E-2</v>
      </c>
      <c r="T340" s="6" t="s">
        <v>754</v>
      </c>
      <c r="U340" t="s">
        <v>982</v>
      </c>
      <c r="V340">
        <v>2024</v>
      </c>
      <c r="W340" t="s">
        <v>996</v>
      </c>
      <c r="X340" t="s">
        <v>997</v>
      </c>
      <c r="Y340" t="s">
        <v>1001</v>
      </c>
      <c r="Z340">
        <v>1</v>
      </c>
      <c r="AA340">
        <v>6</v>
      </c>
      <c r="AB340" s="4">
        <f>Table13[[#This Row],[Total_Price]]*(1-Table13[[#This Row],[Discount 2]])</f>
        <v>8806012.4142000005</v>
      </c>
      <c r="AC340" s="4" t="str" cm="1">
        <f t="array" ref="AC340">_xlfn.IFS(Table13[[#This Row],[Revenue]]&gt;=30000000,"High Value",Table13[[#This Row],[Revenue]]&gt;=10000000,"Moderate Value",TRUE,"Low Value")</f>
        <v>Low Value</v>
      </c>
      <c r="AD340" t="str">
        <f>IF(Table13[[#This Row],[Discount 2]]&gt;=5%, "YES", "NO")</f>
        <v>YES</v>
      </c>
      <c r="AE340" t="str" cm="1">
        <f t="array" ref="AE340">_xlfn.IFS(Table13[[#This Row],[Revenue]]&gt;=30000000,"High Spender",Table13[[#This Row],[Revenue]]&gt;=10000000,"Moderate Spender",TRUE,"Low Spender")</f>
        <v>Low Spender</v>
      </c>
      <c r="AF340" s="4" t="str" cm="1">
        <f t="array" ref="AF340">_xlfn.IFS(Table13[[#This Row],[Land_Size_SQM]]&gt;=730,"LARGE",Table13[[#This Row],[Land_Size_SQM]]&gt;=465,"MEDIUM",TRUE,"SMALL")</f>
        <v>SMALL</v>
      </c>
    </row>
    <row r="341" spans="1:32" x14ac:dyDescent="0.3">
      <c r="A341" t="s">
        <v>77</v>
      </c>
      <c r="B341" t="s">
        <v>558</v>
      </c>
      <c r="C341" t="s">
        <v>627</v>
      </c>
      <c r="D341">
        <v>49</v>
      </c>
      <c r="E341" t="s">
        <v>630</v>
      </c>
      <c r="F341">
        <v>797</v>
      </c>
      <c r="G341" s="4">
        <v>11379</v>
      </c>
      <c r="H341" s="4">
        <v>9069063</v>
      </c>
      <c r="I341" t="s">
        <v>653</v>
      </c>
      <c r="J341" t="s">
        <v>668</v>
      </c>
      <c r="K341" t="s">
        <v>678</v>
      </c>
      <c r="L341" t="s">
        <v>682</v>
      </c>
      <c r="M341" t="s">
        <v>686</v>
      </c>
      <c r="N341" t="s">
        <v>688</v>
      </c>
      <c r="O341" t="s">
        <v>693</v>
      </c>
      <c r="P341" s="4">
        <v>9069063</v>
      </c>
      <c r="Q341">
        <v>0</v>
      </c>
      <c r="R341" s="7">
        <v>4.6100000000000003</v>
      </c>
      <c r="S341" s="8">
        <f>Table13[[#This Row],[Discount_%]]/100</f>
        <v>4.6100000000000002E-2</v>
      </c>
      <c r="T341" s="6" t="s">
        <v>741</v>
      </c>
      <c r="U341" t="s">
        <v>992</v>
      </c>
      <c r="V341">
        <v>2024</v>
      </c>
      <c r="W341" t="s">
        <v>993</v>
      </c>
      <c r="X341" t="s">
        <v>998</v>
      </c>
      <c r="Y341" t="s">
        <v>1002</v>
      </c>
      <c r="Z341">
        <v>5</v>
      </c>
      <c r="AA341">
        <v>20</v>
      </c>
      <c r="AB341" s="4">
        <f>Table13[[#This Row],[Total_Price]]*(1-Table13[[#This Row],[Discount 2]])</f>
        <v>8650979.1956999991</v>
      </c>
      <c r="AC341" s="4" t="str" cm="1">
        <f t="array" ref="AC341">_xlfn.IFS(Table13[[#This Row],[Revenue]]&gt;=30000000,"High Value",Table13[[#This Row],[Revenue]]&gt;=10000000,"Moderate Value",TRUE,"Low Value")</f>
        <v>Low Value</v>
      </c>
      <c r="AD341" t="str">
        <f>IF(Table13[[#This Row],[Discount 2]]&gt;=5%, "YES", "NO")</f>
        <v>NO</v>
      </c>
      <c r="AE341" t="str" cm="1">
        <f t="array" ref="AE341">_xlfn.IFS(Table13[[#This Row],[Revenue]]&gt;=30000000,"High Spender",Table13[[#This Row],[Revenue]]&gt;=10000000,"Moderate Spender",TRUE,"Low Spender")</f>
        <v>Low Spender</v>
      </c>
      <c r="AF341" s="4" t="str" cm="1">
        <f t="array" ref="AF341">_xlfn.IFS(Table13[[#This Row],[Land_Size_SQM]]&gt;=730,"LARGE",Table13[[#This Row],[Land_Size_SQM]]&gt;=465,"MEDIUM",TRUE,"SMALL")</f>
        <v>LARGE</v>
      </c>
    </row>
    <row r="342" spans="1:32" x14ac:dyDescent="0.3">
      <c r="A342" t="s">
        <v>44</v>
      </c>
      <c r="B342" t="s">
        <v>530</v>
      </c>
      <c r="C342" t="s">
        <v>627</v>
      </c>
      <c r="D342">
        <v>62</v>
      </c>
      <c r="E342" t="s">
        <v>628</v>
      </c>
      <c r="F342">
        <v>765</v>
      </c>
      <c r="G342" s="4">
        <v>11705</v>
      </c>
      <c r="H342" s="4">
        <v>8954325</v>
      </c>
      <c r="I342" t="s">
        <v>646</v>
      </c>
      <c r="J342" t="s">
        <v>673</v>
      </c>
      <c r="K342" t="s">
        <v>674</v>
      </c>
      <c r="L342" t="s">
        <v>681</v>
      </c>
      <c r="M342" t="s">
        <v>686</v>
      </c>
      <c r="N342" t="s">
        <v>691</v>
      </c>
      <c r="O342" t="s">
        <v>694</v>
      </c>
      <c r="P342" s="4">
        <v>1903230</v>
      </c>
      <c r="Q342">
        <v>6</v>
      </c>
      <c r="R342" s="7">
        <v>3.65</v>
      </c>
      <c r="S342" s="8">
        <f>Table13[[#This Row],[Discount_%]]/100</f>
        <v>3.6499999999999998E-2</v>
      </c>
      <c r="T342" s="6" t="s">
        <v>713</v>
      </c>
      <c r="U342" t="s">
        <v>988</v>
      </c>
      <c r="V342">
        <v>2024</v>
      </c>
      <c r="W342" t="s">
        <v>996</v>
      </c>
      <c r="X342" t="s">
        <v>999</v>
      </c>
      <c r="Y342" t="s">
        <v>1000</v>
      </c>
      <c r="Z342">
        <v>2</v>
      </c>
      <c r="AA342">
        <v>27</v>
      </c>
      <c r="AB342" s="4">
        <f>Table13[[#This Row],[Total_Price]]*(1-Table13[[#This Row],[Discount 2]])</f>
        <v>8627492.1375000011</v>
      </c>
      <c r="AC342" s="4" t="str" cm="1">
        <f t="array" ref="AC342">_xlfn.IFS(Table13[[#This Row],[Revenue]]&gt;=30000000,"High Value",Table13[[#This Row],[Revenue]]&gt;=10000000,"Moderate Value",TRUE,"Low Value")</f>
        <v>Low Value</v>
      </c>
      <c r="AD342" t="str">
        <f>IF(Table13[[#This Row],[Discount 2]]&gt;=5%, "YES", "NO")</f>
        <v>NO</v>
      </c>
      <c r="AE342" t="str" cm="1">
        <f t="array" ref="AE342">_xlfn.IFS(Table13[[#This Row],[Revenue]]&gt;=30000000,"High Spender",Table13[[#This Row],[Revenue]]&gt;=10000000,"Moderate Spender",TRUE,"Low Spender")</f>
        <v>Low Spender</v>
      </c>
      <c r="AF342" s="4" t="str" cm="1">
        <f t="array" ref="AF342">_xlfn.IFS(Table13[[#This Row],[Land_Size_SQM]]&gt;=730,"LARGE",Table13[[#This Row],[Land_Size_SQM]]&gt;=465,"MEDIUM",TRUE,"SMALL")</f>
        <v>LARGE</v>
      </c>
    </row>
    <row r="343" spans="1:32" x14ac:dyDescent="0.3">
      <c r="A343" t="s">
        <v>282</v>
      </c>
      <c r="B343" t="s">
        <v>538</v>
      </c>
      <c r="C343" t="s">
        <v>627</v>
      </c>
      <c r="D343">
        <v>65</v>
      </c>
      <c r="E343" t="s">
        <v>628</v>
      </c>
      <c r="F343">
        <v>681</v>
      </c>
      <c r="G343" s="4">
        <v>13901</v>
      </c>
      <c r="H343" s="4">
        <v>9466581</v>
      </c>
      <c r="I343" t="s">
        <v>663</v>
      </c>
      <c r="J343" t="s">
        <v>670</v>
      </c>
      <c r="K343" t="s">
        <v>675</v>
      </c>
      <c r="L343" t="s">
        <v>681</v>
      </c>
      <c r="M343" t="s">
        <v>684</v>
      </c>
      <c r="N343" t="s">
        <v>688</v>
      </c>
      <c r="O343" t="s">
        <v>693</v>
      </c>
      <c r="P343" s="4">
        <v>9466581</v>
      </c>
      <c r="Q343">
        <v>0</v>
      </c>
      <c r="R343" s="7">
        <v>8.9600000000000009</v>
      </c>
      <c r="S343" s="8">
        <f>Table13[[#This Row],[Discount_%]]/100</f>
        <v>8.9600000000000013E-2</v>
      </c>
      <c r="T343" s="6" t="s">
        <v>883</v>
      </c>
      <c r="U343" t="s">
        <v>992</v>
      </c>
      <c r="V343">
        <v>2024</v>
      </c>
      <c r="W343" t="s">
        <v>993</v>
      </c>
      <c r="X343" t="s">
        <v>999</v>
      </c>
      <c r="Y343" t="s">
        <v>1002</v>
      </c>
      <c r="Z343">
        <v>1</v>
      </c>
      <c r="AA343">
        <v>34</v>
      </c>
      <c r="AB343" s="4">
        <f>Table13[[#This Row],[Total_Price]]*(1-Table13[[#This Row],[Discount 2]])</f>
        <v>8618375.3423999995</v>
      </c>
      <c r="AC343" s="4" t="str" cm="1">
        <f t="array" ref="AC343">_xlfn.IFS(Table13[[#This Row],[Revenue]]&gt;=30000000,"High Value",Table13[[#This Row],[Revenue]]&gt;=10000000,"Moderate Value",TRUE,"Low Value")</f>
        <v>Low Value</v>
      </c>
      <c r="AD343" t="str">
        <f>IF(Table13[[#This Row],[Discount 2]]&gt;=5%, "YES", "NO")</f>
        <v>YES</v>
      </c>
      <c r="AE343" t="str" cm="1">
        <f t="array" ref="AE343">_xlfn.IFS(Table13[[#This Row],[Revenue]]&gt;=30000000,"High Spender",Table13[[#This Row],[Revenue]]&gt;=10000000,"Moderate Spender",TRUE,"Low Spender")</f>
        <v>Low Spender</v>
      </c>
      <c r="AF343" s="4" t="str" cm="1">
        <f t="array" ref="AF343">_xlfn.IFS(Table13[[#This Row],[Land_Size_SQM]]&gt;=730,"LARGE",Table13[[#This Row],[Land_Size_SQM]]&gt;=465,"MEDIUM",TRUE,"SMALL")</f>
        <v>MEDIUM</v>
      </c>
    </row>
    <row r="344" spans="1:32" x14ac:dyDescent="0.3">
      <c r="A344" t="s">
        <v>192</v>
      </c>
      <c r="B344" t="s">
        <v>551</v>
      </c>
      <c r="C344" t="s">
        <v>627</v>
      </c>
      <c r="D344">
        <v>22</v>
      </c>
      <c r="E344" t="s">
        <v>629</v>
      </c>
      <c r="F344">
        <v>376</v>
      </c>
      <c r="G344" s="4">
        <v>25196</v>
      </c>
      <c r="H344" s="4">
        <v>9473696</v>
      </c>
      <c r="I344" t="s">
        <v>661</v>
      </c>
      <c r="J344" t="s">
        <v>673</v>
      </c>
      <c r="K344" t="s">
        <v>640</v>
      </c>
      <c r="L344" t="s">
        <v>682</v>
      </c>
      <c r="M344" t="s">
        <v>686</v>
      </c>
      <c r="N344" t="s">
        <v>688</v>
      </c>
      <c r="O344" t="s">
        <v>693</v>
      </c>
      <c r="P344" s="4">
        <v>9473696</v>
      </c>
      <c r="Q344">
        <v>0</v>
      </c>
      <c r="R344" s="7">
        <v>9.08</v>
      </c>
      <c r="S344" s="8">
        <f>Table13[[#This Row],[Discount_%]]/100</f>
        <v>9.0800000000000006E-2</v>
      </c>
      <c r="T344" s="6" t="s">
        <v>825</v>
      </c>
      <c r="U344" t="s">
        <v>992</v>
      </c>
      <c r="V344">
        <v>2024</v>
      </c>
      <c r="W344" t="s">
        <v>994</v>
      </c>
      <c r="X344" t="s">
        <v>998</v>
      </c>
      <c r="Y344" t="s">
        <v>1002</v>
      </c>
      <c r="Z344">
        <v>5</v>
      </c>
      <c r="AA344">
        <v>31</v>
      </c>
      <c r="AB344" s="4">
        <f>Table13[[#This Row],[Total_Price]]*(1-Table13[[#This Row],[Discount 2]])</f>
        <v>8613484.4032000005</v>
      </c>
      <c r="AC344" s="4" t="str" cm="1">
        <f t="array" ref="AC344">_xlfn.IFS(Table13[[#This Row],[Revenue]]&gt;=30000000,"High Value",Table13[[#This Row],[Revenue]]&gt;=10000000,"Moderate Value",TRUE,"Low Value")</f>
        <v>Low Value</v>
      </c>
      <c r="AD344" t="str">
        <f>IF(Table13[[#This Row],[Discount 2]]&gt;=5%, "YES", "NO")</f>
        <v>YES</v>
      </c>
      <c r="AE344" t="str" cm="1">
        <f t="array" ref="AE344">_xlfn.IFS(Table13[[#This Row],[Revenue]]&gt;=30000000,"High Spender",Table13[[#This Row],[Revenue]]&gt;=10000000,"Moderate Spender",TRUE,"Low Spender")</f>
        <v>Low Spender</v>
      </c>
      <c r="AF344" s="4" t="str" cm="1">
        <f t="array" ref="AF344">_xlfn.IFS(Table13[[#This Row],[Land_Size_SQM]]&gt;=730,"LARGE",Table13[[#This Row],[Land_Size_SQM]]&gt;=465,"MEDIUM",TRUE,"SMALL")</f>
        <v>SMALL</v>
      </c>
    </row>
    <row r="345" spans="1:32" x14ac:dyDescent="0.3">
      <c r="A345" t="s">
        <v>135</v>
      </c>
      <c r="B345" t="s">
        <v>587</v>
      </c>
      <c r="C345" t="s">
        <v>626</v>
      </c>
      <c r="D345">
        <v>58</v>
      </c>
      <c r="E345" t="s">
        <v>630</v>
      </c>
      <c r="F345">
        <v>906</v>
      </c>
      <c r="G345" s="4">
        <v>9694</v>
      </c>
      <c r="H345" s="4">
        <v>8782764</v>
      </c>
      <c r="I345" t="s">
        <v>644</v>
      </c>
      <c r="J345" t="s">
        <v>668</v>
      </c>
      <c r="K345" t="s">
        <v>677</v>
      </c>
      <c r="L345" t="s">
        <v>681</v>
      </c>
      <c r="M345" t="s">
        <v>686</v>
      </c>
      <c r="N345" t="s">
        <v>691</v>
      </c>
      <c r="O345" t="s">
        <v>694</v>
      </c>
      <c r="P345" s="4">
        <v>3375986</v>
      </c>
      <c r="Q345">
        <v>12</v>
      </c>
      <c r="R345" s="7">
        <v>2.19</v>
      </c>
      <c r="S345" s="8">
        <f>Table13[[#This Row],[Discount_%]]/100</f>
        <v>2.1899999999999999E-2</v>
      </c>
      <c r="T345" s="6" t="s">
        <v>786</v>
      </c>
      <c r="U345" t="s">
        <v>987</v>
      </c>
      <c r="V345">
        <v>2024</v>
      </c>
      <c r="W345" t="s">
        <v>996</v>
      </c>
      <c r="X345" t="s">
        <v>999</v>
      </c>
      <c r="Y345" t="s">
        <v>1001</v>
      </c>
      <c r="Z345">
        <v>5</v>
      </c>
      <c r="AA345">
        <v>6</v>
      </c>
      <c r="AB345" s="4">
        <f>Table13[[#This Row],[Total_Price]]*(1-Table13[[#This Row],[Discount 2]])</f>
        <v>8590421.4683999997</v>
      </c>
      <c r="AC345" s="4" t="str" cm="1">
        <f t="array" ref="AC345">_xlfn.IFS(Table13[[#This Row],[Revenue]]&gt;=30000000,"High Value",Table13[[#This Row],[Revenue]]&gt;=10000000,"Moderate Value",TRUE,"Low Value")</f>
        <v>Low Value</v>
      </c>
      <c r="AD345" t="str">
        <f>IF(Table13[[#This Row],[Discount 2]]&gt;=5%, "YES", "NO")</f>
        <v>NO</v>
      </c>
      <c r="AE345" t="str" cm="1">
        <f t="array" ref="AE345">_xlfn.IFS(Table13[[#This Row],[Revenue]]&gt;=30000000,"High Spender",Table13[[#This Row],[Revenue]]&gt;=10000000,"Moderate Spender",TRUE,"Low Spender")</f>
        <v>Low Spender</v>
      </c>
      <c r="AF345" s="4" t="str" cm="1">
        <f t="array" ref="AF345">_xlfn.IFS(Table13[[#This Row],[Land_Size_SQM]]&gt;=730,"LARGE",Table13[[#This Row],[Land_Size_SQM]]&gt;=465,"MEDIUM",TRUE,"SMALL")</f>
        <v>LARGE</v>
      </c>
    </row>
    <row r="346" spans="1:32" x14ac:dyDescent="0.3">
      <c r="A346" t="s">
        <v>344</v>
      </c>
      <c r="B346" t="s">
        <v>562</v>
      </c>
      <c r="C346" t="s">
        <v>626</v>
      </c>
      <c r="D346">
        <v>31</v>
      </c>
      <c r="E346" t="s">
        <v>629</v>
      </c>
      <c r="F346">
        <v>464</v>
      </c>
      <c r="G346" s="4">
        <v>19345</v>
      </c>
      <c r="H346" s="4">
        <v>8976080</v>
      </c>
      <c r="I346" t="s">
        <v>645</v>
      </c>
      <c r="J346" t="s">
        <v>670</v>
      </c>
      <c r="K346" t="s">
        <v>664</v>
      </c>
      <c r="L346" t="s">
        <v>681</v>
      </c>
      <c r="M346" t="s">
        <v>685</v>
      </c>
      <c r="N346" t="s">
        <v>688</v>
      </c>
      <c r="O346" t="s">
        <v>693</v>
      </c>
      <c r="P346" s="4">
        <v>8976080</v>
      </c>
      <c r="Q346">
        <v>0</v>
      </c>
      <c r="R346" s="7">
        <v>4.41</v>
      </c>
      <c r="S346" s="8">
        <f>Table13[[#This Row],[Discount_%]]/100</f>
        <v>4.41E-2</v>
      </c>
      <c r="T346" s="6" t="s">
        <v>925</v>
      </c>
      <c r="U346" t="s">
        <v>986</v>
      </c>
      <c r="V346">
        <v>2024</v>
      </c>
      <c r="W346" t="s">
        <v>995</v>
      </c>
      <c r="X346" t="s">
        <v>999</v>
      </c>
      <c r="Y346" t="s">
        <v>1001</v>
      </c>
      <c r="Z346">
        <v>1</v>
      </c>
      <c r="AA346">
        <v>29</v>
      </c>
      <c r="AB346" s="4">
        <f>Table13[[#This Row],[Total_Price]]*(1-Table13[[#This Row],[Discount 2]])</f>
        <v>8580234.8719999995</v>
      </c>
      <c r="AC346" s="4" t="str" cm="1">
        <f t="array" ref="AC346">_xlfn.IFS(Table13[[#This Row],[Revenue]]&gt;=30000000,"High Value",Table13[[#This Row],[Revenue]]&gt;=10000000,"Moderate Value",TRUE,"Low Value")</f>
        <v>Low Value</v>
      </c>
      <c r="AD346" t="str">
        <f>IF(Table13[[#This Row],[Discount 2]]&gt;=5%, "YES", "NO")</f>
        <v>NO</v>
      </c>
      <c r="AE346" t="str" cm="1">
        <f t="array" ref="AE346">_xlfn.IFS(Table13[[#This Row],[Revenue]]&gt;=30000000,"High Spender",Table13[[#This Row],[Revenue]]&gt;=10000000,"Moderate Spender",TRUE,"Low Spender")</f>
        <v>Low Spender</v>
      </c>
      <c r="AF346" s="4" t="str" cm="1">
        <f t="array" ref="AF346">_xlfn.IFS(Table13[[#This Row],[Land_Size_SQM]]&gt;=730,"LARGE",Table13[[#This Row],[Land_Size_SQM]]&gt;=465,"MEDIUM",TRUE,"SMALL")</f>
        <v>SMALL</v>
      </c>
    </row>
    <row r="347" spans="1:32" x14ac:dyDescent="0.3">
      <c r="A347" t="s">
        <v>230</v>
      </c>
      <c r="B347" t="s">
        <v>589</v>
      </c>
      <c r="C347" t="s">
        <v>627</v>
      </c>
      <c r="D347">
        <v>26</v>
      </c>
      <c r="E347" t="s">
        <v>630</v>
      </c>
      <c r="F347">
        <v>280</v>
      </c>
      <c r="G347" s="4">
        <v>32087</v>
      </c>
      <c r="H347" s="4">
        <v>8984360</v>
      </c>
      <c r="I347" t="s">
        <v>666</v>
      </c>
      <c r="J347" t="s">
        <v>670</v>
      </c>
      <c r="K347" t="s">
        <v>679</v>
      </c>
      <c r="L347" t="s">
        <v>681</v>
      </c>
      <c r="M347" t="s">
        <v>685</v>
      </c>
      <c r="N347" t="s">
        <v>692</v>
      </c>
      <c r="O347" t="s">
        <v>694</v>
      </c>
      <c r="P347" s="4">
        <v>2034113</v>
      </c>
      <c r="Q347">
        <v>24</v>
      </c>
      <c r="R347" s="7">
        <v>4.9800000000000004</v>
      </c>
      <c r="S347" s="8">
        <f>Table13[[#This Row],[Discount_%]]/100</f>
        <v>4.9800000000000004E-2</v>
      </c>
      <c r="T347" s="6" t="s">
        <v>849</v>
      </c>
      <c r="U347" t="s">
        <v>982</v>
      </c>
      <c r="V347">
        <v>2024</v>
      </c>
      <c r="W347" t="s">
        <v>993</v>
      </c>
      <c r="X347" t="s">
        <v>999</v>
      </c>
      <c r="Y347" t="s">
        <v>1001</v>
      </c>
      <c r="Z347">
        <v>5</v>
      </c>
      <c r="AA347">
        <v>41</v>
      </c>
      <c r="AB347" s="4">
        <f>Table13[[#This Row],[Total_Price]]*(1-Table13[[#This Row],[Discount 2]])</f>
        <v>8536938.8719999995</v>
      </c>
      <c r="AC347" s="4" t="str" cm="1">
        <f t="array" ref="AC347">_xlfn.IFS(Table13[[#This Row],[Revenue]]&gt;=30000000,"High Value",Table13[[#This Row],[Revenue]]&gt;=10000000,"Moderate Value",TRUE,"Low Value")</f>
        <v>Low Value</v>
      </c>
      <c r="AD347" t="str">
        <f>IF(Table13[[#This Row],[Discount 2]]&gt;=5%, "YES", "NO")</f>
        <v>NO</v>
      </c>
      <c r="AE347" t="str" cm="1">
        <f t="array" ref="AE347">_xlfn.IFS(Table13[[#This Row],[Revenue]]&gt;=30000000,"High Spender",Table13[[#This Row],[Revenue]]&gt;=10000000,"Moderate Spender",TRUE,"Low Spender")</f>
        <v>Low Spender</v>
      </c>
      <c r="AF347" s="4" t="str" cm="1">
        <f t="array" ref="AF347">_xlfn.IFS(Table13[[#This Row],[Land_Size_SQM]]&gt;=730,"LARGE",Table13[[#This Row],[Land_Size_SQM]]&gt;=465,"MEDIUM",TRUE,"SMALL")</f>
        <v>SMALL</v>
      </c>
    </row>
    <row r="348" spans="1:32" x14ac:dyDescent="0.3">
      <c r="A348" t="s">
        <v>289</v>
      </c>
      <c r="B348" t="s">
        <v>603</v>
      </c>
      <c r="C348" t="s">
        <v>627</v>
      </c>
      <c r="D348">
        <v>58</v>
      </c>
      <c r="E348" t="s">
        <v>629</v>
      </c>
      <c r="F348">
        <v>232</v>
      </c>
      <c r="G348" s="4">
        <v>39421</v>
      </c>
      <c r="H348" s="4">
        <v>9145672</v>
      </c>
      <c r="I348" t="s">
        <v>650</v>
      </c>
      <c r="J348" t="s">
        <v>670</v>
      </c>
      <c r="K348" t="s">
        <v>676</v>
      </c>
      <c r="L348" t="s">
        <v>680</v>
      </c>
      <c r="M348" t="s">
        <v>685</v>
      </c>
      <c r="N348" t="s">
        <v>688</v>
      </c>
      <c r="O348" t="s">
        <v>694</v>
      </c>
      <c r="P348" s="4">
        <v>3271831</v>
      </c>
      <c r="Q348">
        <v>24</v>
      </c>
      <c r="R348" s="7">
        <v>7.01</v>
      </c>
      <c r="S348" s="8">
        <f>Table13[[#This Row],[Discount_%]]/100</f>
        <v>7.0099999999999996E-2</v>
      </c>
      <c r="T348" s="6" t="s">
        <v>888</v>
      </c>
      <c r="U348" t="s">
        <v>992</v>
      </c>
      <c r="V348">
        <v>2024</v>
      </c>
      <c r="W348" t="s">
        <v>995</v>
      </c>
      <c r="X348" t="s">
        <v>999</v>
      </c>
      <c r="Y348" t="s">
        <v>1002</v>
      </c>
      <c r="Z348">
        <v>1</v>
      </c>
      <c r="AA348">
        <v>24</v>
      </c>
      <c r="AB348" s="4">
        <f>Table13[[#This Row],[Total_Price]]*(1-Table13[[#This Row],[Discount 2]])</f>
        <v>8504560.3927999996</v>
      </c>
      <c r="AC348" s="4" t="str" cm="1">
        <f t="array" ref="AC348">_xlfn.IFS(Table13[[#This Row],[Revenue]]&gt;=30000000,"High Value",Table13[[#This Row],[Revenue]]&gt;=10000000,"Moderate Value",TRUE,"Low Value")</f>
        <v>Low Value</v>
      </c>
      <c r="AD348" t="str">
        <f>IF(Table13[[#This Row],[Discount 2]]&gt;=5%, "YES", "NO")</f>
        <v>YES</v>
      </c>
      <c r="AE348" t="str" cm="1">
        <f t="array" ref="AE348">_xlfn.IFS(Table13[[#This Row],[Revenue]]&gt;=30000000,"High Spender",Table13[[#This Row],[Revenue]]&gt;=10000000,"Moderate Spender",TRUE,"Low Spender")</f>
        <v>Low Spender</v>
      </c>
      <c r="AF348" s="4" t="str" cm="1">
        <f t="array" ref="AF348">_xlfn.IFS(Table13[[#This Row],[Land_Size_SQM]]&gt;=730,"LARGE",Table13[[#This Row],[Land_Size_SQM]]&gt;=465,"MEDIUM",TRUE,"SMALL")</f>
        <v>SMALL</v>
      </c>
    </row>
    <row r="349" spans="1:32" x14ac:dyDescent="0.3">
      <c r="A349" t="s">
        <v>473</v>
      </c>
      <c r="B349" t="s">
        <v>552</v>
      </c>
      <c r="C349" t="s">
        <v>627</v>
      </c>
      <c r="D349">
        <v>58</v>
      </c>
      <c r="E349" t="s">
        <v>629</v>
      </c>
      <c r="F349">
        <v>598</v>
      </c>
      <c r="G349" s="4">
        <v>15531</v>
      </c>
      <c r="H349" s="4">
        <v>9287538</v>
      </c>
      <c r="I349" t="s">
        <v>666</v>
      </c>
      <c r="J349" t="s">
        <v>670</v>
      </c>
      <c r="K349" t="s">
        <v>676</v>
      </c>
      <c r="L349" t="s">
        <v>681</v>
      </c>
      <c r="M349" t="s">
        <v>686</v>
      </c>
      <c r="N349" t="s">
        <v>688</v>
      </c>
      <c r="O349" t="s">
        <v>693</v>
      </c>
      <c r="P349" s="4">
        <v>9287538</v>
      </c>
      <c r="Q349">
        <v>0</v>
      </c>
      <c r="R349" s="7">
        <v>8.6999999999999993</v>
      </c>
      <c r="S349" s="8">
        <f>Table13[[#This Row],[Discount_%]]/100</f>
        <v>8.6999999999999994E-2</v>
      </c>
      <c r="T349" s="6" t="s">
        <v>754</v>
      </c>
      <c r="U349" t="s">
        <v>982</v>
      </c>
      <c r="V349">
        <v>2024</v>
      </c>
      <c r="W349" t="s">
        <v>995</v>
      </c>
      <c r="X349" t="s">
        <v>998</v>
      </c>
      <c r="Y349" t="s">
        <v>1000</v>
      </c>
      <c r="Z349">
        <v>1</v>
      </c>
      <c r="AA349">
        <v>10</v>
      </c>
      <c r="AB349" s="4">
        <f>Table13[[#This Row],[Total_Price]]*(1-Table13[[#This Row],[Discount 2]])</f>
        <v>8479522.1940000001</v>
      </c>
      <c r="AC349" s="4" t="str" cm="1">
        <f t="array" ref="AC349">_xlfn.IFS(Table13[[#This Row],[Revenue]]&gt;=30000000,"High Value",Table13[[#This Row],[Revenue]]&gt;=10000000,"Moderate Value",TRUE,"Low Value")</f>
        <v>Low Value</v>
      </c>
      <c r="AD349" t="str">
        <f>IF(Table13[[#This Row],[Discount 2]]&gt;=5%, "YES", "NO")</f>
        <v>YES</v>
      </c>
      <c r="AE349" t="str" cm="1">
        <f t="array" ref="AE349">_xlfn.IFS(Table13[[#This Row],[Revenue]]&gt;=30000000,"High Spender",Table13[[#This Row],[Revenue]]&gt;=10000000,"Moderate Spender",TRUE,"Low Spender")</f>
        <v>Low Spender</v>
      </c>
      <c r="AF349" s="4" t="str" cm="1">
        <f t="array" ref="AF349">_xlfn.IFS(Table13[[#This Row],[Land_Size_SQM]]&gt;=730,"LARGE",Table13[[#This Row],[Land_Size_SQM]]&gt;=465,"MEDIUM",TRUE,"SMALL")</f>
        <v>MEDIUM</v>
      </c>
    </row>
    <row r="350" spans="1:32" x14ac:dyDescent="0.3">
      <c r="A350" t="s">
        <v>299</v>
      </c>
      <c r="B350" t="s">
        <v>554</v>
      </c>
      <c r="C350" t="s">
        <v>627</v>
      </c>
      <c r="D350">
        <v>25</v>
      </c>
      <c r="E350" t="s">
        <v>628</v>
      </c>
      <c r="F350">
        <v>373</v>
      </c>
      <c r="G350" s="4">
        <v>24919</v>
      </c>
      <c r="H350" s="4">
        <v>9294787</v>
      </c>
      <c r="I350" t="s">
        <v>631</v>
      </c>
      <c r="J350" t="s">
        <v>668</v>
      </c>
      <c r="K350" t="s">
        <v>677</v>
      </c>
      <c r="L350" t="s">
        <v>682</v>
      </c>
      <c r="M350" t="s">
        <v>685</v>
      </c>
      <c r="N350" t="s">
        <v>688</v>
      </c>
      <c r="O350" t="s">
        <v>694</v>
      </c>
      <c r="P350" s="4">
        <v>3087162</v>
      </c>
      <c r="Q350">
        <v>6</v>
      </c>
      <c r="R350" s="7">
        <v>9.24</v>
      </c>
      <c r="S350" s="8">
        <f>Table13[[#This Row],[Discount_%]]/100</f>
        <v>9.2399999999999996E-2</v>
      </c>
      <c r="T350" s="6" t="s">
        <v>896</v>
      </c>
      <c r="U350" t="s">
        <v>990</v>
      </c>
      <c r="V350">
        <v>2024</v>
      </c>
      <c r="W350" t="s">
        <v>996</v>
      </c>
      <c r="X350" t="s">
        <v>998</v>
      </c>
      <c r="Y350" t="s">
        <v>1000</v>
      </c>
      <c r="Z350">
        <v>3</v>
      </c>
      <c r="AA350">
        <v>45</v>
      </c>
      <c r="AB350" s="4">
        <f>Table13[[#This Row],[Total_Price]]*(1-Table13[[#This Row],[Discount 2]])</f>
        <v>8435948.6811999995</v>
      </c>
      <c r="AC350" s="4" t="str" cm="1">
        <f t="array" ref="AC350">_xlfn.IFS(Table13[[#This Row],[Revenue]]&gt;=30000000,"High Value",Table13[[#This Row],[Revenue]]&gt;=10000000,"Moderate Value",TRUE,"Low Value")</f>
        <v>Low Value</v>
      </c>
      <c r="AD350" t="str">
        <f>IF(Table13[[#This Row],[Discount 2]]&gt;=5%, "YES", "NO")</f>
        <v>YES</v>
      </c>
      <c r="AE350" t="str" cm="1">
        <f t="array" ref="AE350">_xlfn.IFS(Table13[[#This Row],[Revenue]]&gt;=30000000,"High Spender",Table13[[#This Row],[Revenue]]&gt;=10000000,"Moderate Spender",TRUE,"Low Spender")</f>
        <v>Low Spender</v>
      </c>
      <c r="AF350" s="4" t="str" cm="1">
        <f t="array" ref="AF350">_xlfn.IFS(Table13[[#This Row],[Land_Size_SQM]]&gt;=730,"LARGE",Table13[[#This Row],[Land_Size_SQM]]&gt;=465,"MEDIUM",TRUE,"SMALL")</f>
        <v>SMALL</v>
      </c>
    </row>
    <row r="351" spans="1:32" x14ac:dyDescent="0.3">
      <c r="A351" t="s">
        <v>487</v>
      </c>
      <c r="B351" t="s">
        <v>572</v>
      </c>
      <c r="C351" t="s">
        <v>626</v>
      </c>
      <c r="D351">
        <v>50</v>
      </c>
      <c r="E351" t="s">
        <v>628</v>
      </c>
      <c r="F351">
        <v>634</v>
      </c>
      <c r="G351" s="4">
        <v>13562</v>
      </c>
      <c r="H351" s="4">
        <v>8598308</v>
      </c>
      <c r="I351" t="s">
        <v>654</v>
      </c>
      <c r="J351" t="s">
        <v>669</v>
      </c>
      <c r="K351" t="s">
        <v>679</v>
      </c>
      <c r="L351" t="s">
        <v>681</v>
      </c>
      <c r="M351" t="s">
        <v>684</v>
      </c>
      <c r="N351" t="s">
        <v>691</v>
      </c>
      <c r="O351" t="s">
        <v>693</v>
      </c>
      <c r="P351" s="4">
        <v>8598308</v>
      </c>
      <c r="Q351">
        <v>0</v>
      </c>
      <c r="R351" s="7">
        <v>3.03</v>
      </c>
      <c r="S351" s="8">
        <f>Table13[[#This Row],[Discount_%]]/100</f>
        <v>3.0299999999999997E-2</v>
      </c>
      <c r="T351" s="6" t="s">
        <v>893</v>
      </c>
      <c r="U351" t="s">
        <v>985</v>
      </c>
      <c r="V351">
        <v>2024</v>
      </c>
      <c r="W351" t="s">
        <v>996</v>
      </c>
      <c r="X351" t="s">
        <v>998</v>
      </c>
      <c r="Y351" t="s">
        <v>1002</v>
      </c>
      <c r="Z351">
        <v>4</v>
      </c>
      <c r="AA351">
        <v>33</v>
      </c>
      <c r="AB351" s="4">
        <f>Table13[[#This Row],[Total_Price]]*(1-Table13[[#This Row],[Discount 2]])</f>
        <v>8337779.2675999999</v>
      </c>
      <c r="AC351" s="4" t="str" cm="1">
        <f t="array" ref="AC351">_xlfn.IFS(Table13[[#This Row],[Revenue]]&gt;=30000000,"High Value",Table13[[#This Row],[Revenue]]&gt;=10000000,"Moderate Value",TRUE,"Low Value")</f>
        <v>Low Value</v>
      </c>
      <c r="AD351" t="str">
        <f>IF(Table13[[#This Row],[Discount 2]]&gt;=5%, "YES", "NO")</f>
        <v>NO</v>
      </c>
      <c r="AE351" t="str" cm="1">
        <f t="array" ref="AE351">_xlfn.IFS(Table13[[#This Row],[Revenue]]&gt;=30000000,"High Spender",Table13[[#This Row],[Revenue]]&gt;=10000000,"Moderate Spender",TRUE,"Low Spender")</f>
        <v>Low Spender</v>
      </c>
      <c r="AF351" s="4" t="str" cm="1">
        <f t="array" ref="AF351">_xlfn.IFS(Table13[[#This Row],[Land_Size_SQM]]&gt;=730,"LARGE",Table13[[#This Row],[Land_Size_SQM]]&gt;=465,"MEDIUM",TRUE,"SMALL")</f>
        <v>MEDIUM</v>
      </c>
    </row>
    <row r="352" spans="1:32" x14ac:dyDescent="0.3">
      <c r="A352" t="s">
        <v>500</v>
      </c>
      <c r="B352" t="s">
        <v>556</v>
      </c>
      <c r="C352" t="s">
        <v>626</v>
      </c>
      <c r="D352">
        <v>25</v>
      </c>
      <c r="E352" t="s">
        <v>629</v>
      </c>
      <c r="F352">
        <v>364</v>
      </c>
      <c r="G352" s="4">
        <v>23397</v>
      </c>
      <c r="H352" s="4">
        <v>8516508</v>
      </c>
      <c r="I352" t="s">
        <v>634</v>
      </c>
      <c r="J352" t="s">
        <v>670</v>
      </c>
      <c r="K352" t="s">
        <v>664</v>
      </c>
      <c r="L352" t="s">
        <v>681</v>
      </c>
      <c r="M352" t="s">
        <v>683</v>
      </c>
      <c r="N352" t="s">
        <v>692</v>
      </c>
      <c r="O352" t="s">
        <v>694</v>
      </c>
      <c r="P352" s="4">
        <v>2266352</v>
      </c>
      <c r="Q352">
        <v>12</v>
      </c>
      <c r="R352" s="7">
        <v>2.58</v>
      </c>
      <c r="S352" s="8">
        <f>Table13[[#This Row],[Discount_%]]/100</f>
        <v>2.58E-2</v>
      </c>
      <c r="T352" s="6" t="s">
        <v>915</v>
      </c>
      <c r="U352" t="s">
        <v>989</v>
      </c>
      <c r="V352">
        <v>2024</v>
      </c>
      <c r="W352" t="s">
        <v>993</v>
      </c>
      <c r="X352" t="s">
        <v>997</v>
      </c>
      <c r="Y352" t="s">
        <v>1002</v>
      </c>
      <c r="Z352">
        <v>4</v>
      </c>
      <c r="AA352">
        <v>46</v>
      </c>
      <c r="AB352" s="4">
        <f>Table13[[#This Row],[Total_Price]]*(1-Table13[[#This Row],[Discount 2]])</f>
        <v>8296782.0935999993</v>
      </c>
      <c r="AC352" s="4" t="str" cm="1">
        <f t="array" ref="AC352">_xlfn.IFS(Table13[[#This Row],[Revenue]]&gt;=30000000,"High Value",Table13[[#This Row],[Revenue]]&gt;=10000000,"Moderate Value",TRUE,"Low Value")</f>
        <v>Low Value</v>
      </c>
      <c r="AD352" t="str">
        <f>IF(Table13[[#This Row],[Discount 2]]&gt;=5%, "YES", "NO")</f>
        <v>NO</v>
      </c>
      <c r="AE352" t="str" cm="1">
        <f t="array" ref="AE352">_xlfn.IFS(Table13[[#This Row],[Revenue]]&gt;=30000000,"High Spender",Table13[[#This Row],[Revenue]]&gt;=10000000,"Moderate Spender",TRUE,"Low Spender")</f>
        <v>Low Spender</v>
      </c>
      <c r="AF352" s="4" t="str" cm="1">
        <f t="array" ref="AF352">_xlfn.IFS(Table13[[#This Row],[Land_Size_SQM]]&gt;=730,"LARGE",Table13[[#This Row],[Land_Size_SQM]]&gt;=465,"MEDIUM",TRUE,"SMALL")</f>
        <v>SMALL</v>
      </c>
    </row>
    <row r="353" spans="1:32" x14ac:dyDescent="0.3">
      <c r="A353" t="s">
        <v>380</v>
      </c>
      <c r="B353" t="s">
        <v>538</v>
      </c>
      <c r="C353" t="s">
        <v>627</v>
      </c>
      <c r="D353">
        <v>26</v>
      </c>
      <c r="E353" t="s">
        <v>628</v>
      </c>
      <c r="F353">
        <v>280</v>
      </c>
      <c r="G353" s="4">
        <v>29840</v>
      </c>
      <c r="H353" s="4">
        <v>8355200</v>
      </c>
      <c r="I353" t="s">
        <v>654</v>
      </c>
      <c r="J353" t="s">
        <v>669</v>
      </c>
      <c r="K353" t="s">
        <v>638</v>
      </c>
      <c r="L353" t="s">
        <v>682</v>
      </c>
      <c r="M353" t="s">
        <v>686</v>
      </c>
      <c r="N353" t="s">
        <v>692</v>
      </c>
      <c r="O353" t="s">
        <v>693</v>
      </c>
      <c r="P353" s="4">
        <v>8355200</v>
      </c>
      <c r="Q353">
        <v>0</v>
      </c>
      <c r="R353" s="7">
        <v>0.78</v>
      </c>
      <c r="S353" s="8">
        <f>Table13[[#This Row],[Discount_%]]/100</f>
        <v>7.8000000000000005E-3</v>
      </c>
      <c r="T353" s="6" t="s">
        <v>742</v>
      </c>
      <c r="U353" t="s">
        <v>986</v>
      </c>
      <c r="V353">
        <v>2024</v>
      </c>
      <c r="W353" t="s">
        <v>993</v>
      </c>
      <c r="X353" t="s">
        <v>998</v>
      </c>
      <c r="Y353" t="s">
        <v>1000</v>
      </c>
      <c r="Z353">
        <v>3</v>
      </c>
      <c r="AA353">
        <v>3</v>
      </c>
      <c r="AB353" s="4">
        <f>Table13[[#This Row],[Total_Price]]*(1-Table13[[#This Row],[Discount 2]])</f>
        <v>8290029.4399999995</v>
      </c>
      <c r="AC353" s="4" t="str" cm="1">
        <f t="array" ref="AC353">_xlfn.IFS(Table13[[#This Row],[Revenue]]&gt;=30000000,"High Value",Table13[[#This Row],[Revenue]]&gt;=10000000,"Moderate Value",TRUE,"Low Value")</f>
        <v>Low Value</v>
      </c>
      <c r="AD353" t="str">
        <f>IF(Table13[[#This Row],[Discount 2]]&gt;=5%, "YES", "NO")</f>
        <v>NO</v>
      </c>
      <c r="AE353" t="str" cm="1">
        <f t="array" ref="AE353">_xlfn.IFS(Table13[[#This Row],[Revenue]]&gt;=30000000,"High Spender",Table13[[#This Row],[Revenue]]&gt;=10000000,"Moderate Spender",TRUE,"Low Spender")</f>
        <v>Low Spender</v>
      </c>
      <c r="AF353" s="4" t="str" cm="1">
        <f t="array" ref="AF353">_xlfn.IFS(Table13[[#This Row],[Land_Size_SQM]]&gt;=730,"LARGE",Table13[[#This Row],[Land_Size_SQM]]&gt;=465,"MEDIUM",TRUE,"SMALL")</f>
        <v>SMALL</v>
      </c>
    </row>
    <row r="354" spans="1:32" x14ac:dyDescent="0.3">
      <c r="A354" t="s">
        <v>28</v>
      </c>
      <c r="B354" t="s">
        <v>528</v>
      </c>
      <c r="C354" t="s">
        <v>627</v>
      </c>
      <c r="D354">
        <v>65</v>
      </c>
      <c r="E354" t="s">
        <v>628</v>
      </c>
      <c r="F354">
        <v>327</v>
      </c>
      <c r="G354" s="4">
        <v>26807</v>
      </c>
      <c r="H354" s="4">
        <v>8765889</v>
      </c>
      <c r="I354" t="s">
        <v>633</v>
      </c>
      <c r="J354" t="s">
        <v>668</v>
      </c>
      <c r="K354" t="s">
        <v>675</v>
      </c>
      <c r="L354" t="s">
        <v>680</v>
      </c>
      <c r="M354" t="s">
        <v>683</v>
      </c>
      <c r="N354" t="s">
        <v>690</v>
      </c>
      <c r="O354" t="s">
        <v>693</v>
      </c>
      <c r="P354" s="4">
        <v>8765889</v>
      </c>
      <c r="Q354">
        <v>0</v>
      </c>
      <c r="R354" s="7">
        <v>5.52</v>
      </c>
      <c r="S354" s="8">
        <f>Table13[[#This Row],[Discount_%]]/100</f>
        <v>5.5199999999999999E-2</v>
      </c>
      <c r="T354" s="6" t="s">
        <v>697</v>
      </c>
      <c r="U354" t="s">
        <v>983</v>
      </c>
      <c r="V354">
        <v>2024</v>
      </c>
      <c r="W354" t="s">
        <v>993</v>
      </c>
      <c r="X354" t="s">
        <v>999</v>
      </c>
      <c r="Y354" t="s">
        <v>1000</v>
      </c>
      <c r="Z354">
        <v>4</v>
      </c>
      <c r="AA354">
        <v>18</v>
      </c>
      <c r="AB354" s="4">
        <f>Table13[[#This Row],[Total_Price]]*(1-Table13[[#This Row],[Discount 2]])</f>
        <v>8282011.9271999998</v>
      </c>
      <c r="AC354" s="4" t="str" cm="1">
        <f t="array" ref="AC354">_xlfn.IFS(Table13[[#This Row],[Revenue]]&gt;=30000000,"High Value",Table13[[#This Row],[Revenue]]&gt;=10000000,"Moderate Value",TRUE,"Low Value")</f>
        <v>Low Value</v>
      </c>
      <c r="AD354" t="str">
        <f>IF(Table13[[#This Row],[Discount 2]]&gt;=5%, "YES", "NO")</f>
        <v>YES</v>
      </c>
      <c r="AE354" t="str" cm="1">
        <f t="array" ref="AE354">_xlfn.IFS(Table13[[#This Row],[Revenue]]&gt;=30000000,"High Spender",Table13[[#This Row],[Revenue]]&gt;=10000000,"Moderate Spender",TRUE,"Low Spender")</f>
        <v>Low Spender</v>
      </c>
      <c r="AF354" s="4" t="str" cm="1">
        <f t="array" ref="AF354">_xlfn.IFS(Table13[[#This Row],[Land_Size_SQM]]&gt;=730,"LARGE",Table13[[#This Row],[Land_Size_SQM]]&gt;=465,"MEDIUM",TRUE,"SMALL")</f>
        <v>SMALL</v>
      </c>
    </row>
    <row r="355" spans="1:32" x14ac:dyDescent="0.3">
      <c r="A355" t="s">
        <v>279</v>
      </c>
      <c r="B355" t="s">
        <v>617</v>
      </c>
      <c r="C355" t="s">
        <v>627</v>
      </c>
      <c r="D355">
        <v>36</v>
      </c>
      <c r="E355" t="s">
        <v>628</v>
      </c>
      <c r="F355">
        <v>582</v>
      </c>
      <c r="G355" s="4">
        <v>14358</v>
      </c>
      <c r="H355" s="4">
        <v>8356356</v>
      </c>
      <c r="I355" t="s">
        <v>649</v>
      </c>
      <c r="J355" t="s">
        <v>669</v>
      </c>
      <c r="K355" t="s">
        <v>675</v>
      </c>
      <c r="L355" t="s">
        <v>681</v>
      </c>
      <c r="M355" t="s">
        <v>683</v>
      </c>
      <c r="N355" t="s">
        <v>692</v>
      </c>
      <c r="O355" t="s">
        <v>694</v>
      </c>
      <c r="P355" s="4">
        <v>2660878</v>
      </c>
      <c r="Q355">
        <v>24</v>
      </c>
      <c r="R355" s="7">
        <v>1.63</v>
      </c>
      <c r="S355" s="8">
        <f>Table13[[#This Row],[Discount_%]]/100</f>
        <v>1.6299999999999999E-2</v>
      </c>
      <c r="T355" s="6" t="s">
        <v>824</v>
      </c>
      <c r="U355" t="s">
        <v>983</v>
      </c>
      <c r="V355">
        <v>2024</v>
      </c>
      <c r="W355" t="s">
        <v>994</v>
      </c>
      <c r="X355" t="s">
        <v>998</v>
      </c>
      <c r="Y355" t="s">
        <v>1001</v>
      </c>
      <c r="Z355">
        <v>5</v>
      </c>
      <c r="AA355">
        <v>18</v>
      </c>
      <c r="AB355" s="4">
        <f>Table13[[#This Row],[Total_Price]]*(1-Table13[[#This Row],[Discount 2]])</f>
        <v>8220147.3972000005</v>
      </c>
      <c r="AC355" s="4" t="str" cm="1">
        <f t="array" ref="AC355">_xlfn.IFS(Table13[[#This Row],[Revenue]]&gt;=30000000,"High Value",Table13[[#This Row],[Revenue]]&gt;=10000000,"Moderate Value",TRUE,"Low Value")</f>
        <v>Low Value</v>
      </c>
      <c r="AD355" t="str">
        <f>IF(Table13[[#This Row],[Discount 2]]&gt;=5%, "YES", "NO")</f>
        <v>NO</v>
      </c>
      <c r="AE355" t="str" cm="1">
        <f t="array" ref="AE355">_xlfn.IFS(Table13[[#This Row],[Revenue]]&gt;=30000000,"High Spender",Table13[[#This Row],[Revenue]]&gt;=10000000,"Moderate Spender",TRUE,"Low Spender")</f>
        <v>Low Spender</v>
      </c>
      <c r="AF355" s="4" t="str" cm="1">
        <f t="array" ref="AF355">_xlfn.IFS(Table13[[#This Row],[Land_Size_SQM]]&gt;=730,"LARGE",Table13[[#This Row],[Land_Size_SQM]]&gt;=465,"MEDIUM",TRUE,"SMALL")</f>
        <v>MEDIUM</v>
      </c>
    </row>
    <row r="356" spans="1:32" x14ac:dyDescent="0.3">
      <c r="A356" t="s">
        <v>261</v>
      </c>
      <c r="B356" t="s">
        <v>615</v>
      </c>
      <c r="C356" t="s">
        <v>627</v>
      </c>
      <c r="D356">
        <v>52</v>
      </c>
      <c r="E356" t="s">
        <v>630</v>
      </c>
      <c r="F356">
        <v>875</v>
      </c>
      <c r="G356" s="4">
        <v>9804</v>
      </c>
      <c r="H356" s="4">
        <v>8578500</v>
      </c>
      <c r="I356" t="s">
        <v>633</v>
      </c>
      <c r="J356" t="s">
        <v>668</v>
      </c>
      <c r="K356" t="s">
        <v>638</v>
      </c>
      <c r="L356" t="s">
        <v>681</v>
      </c>
      <c r="M356" t="s">
        <v>686</v>
      </c>
      <c r="N356" t="s">
        <v>692</v>
      </c>
      <c r="O356" t="s">
        <v>693</v>
      </c>
      <c r="P356" s="4">
        <v>8578500</v>
      </c>
      <c r="Q356">
        <v>0</v>
      </c>
      <c r="R356" s="7">
        <v>4.47</v>
      </c>
      <c r="S356" s="8">
        <f>Table13[[#This Row],[Discount_%]]/100</f>
        <v>4.4699999999999997E-2</v>
      </c>
      <c r="T356" s="6" t="s">
        <v>773</v>
      </c>
      <c r="U356" t="s">
        <v>984</v>
      </c>
      <c r="V356">
        <v>2024</v>
      </c>
      <c r="W356" t="s">
        <v>993</v>
      </c>
      <c r="X356" t="s">
        <v>999</v>
      </c>
      <c r="Y356" t="s">
        <v>1002</v>
      </c>
      <c r="Z356">
        <v>1</v>
      </c>
      <c r="AA356">
        <v>6</v>
      </c>
      <c r="AB356" s="4">
        <f>Table13[[#This Row],[Total_Price]]*(1-Table13[[#This Row],[Discount 2]])</f>
        <v>8195041.0500000007</v>
      </c>
      <c r="AC356" s="4" t="str" cm="1">
        <f t="array" ref="AC356">_xlfn.IFS(Table13[[#This Row],[Revenue]]&gt;=30000000,"High Value",Table13[[#This Row],[Revenue]]&gt;=10000000,"Moderate Value",TRUE,"Low Value")</f>
        <v>Low Value</v>
      </c>
      <c r="AD356" t="str">
        <f>IF(Table13[[#This Row],[Discount 2]]&gt;=5%, "YES", "NO")</f>
        <v>NO</v>
      </c>
      <c r="AE356" t="str" cm="1">
        <f t="array" ref="AE356">_xlfn.IFS(Table13[[#This Row],[Revenue]]&gt;=30000000,"High Spender",Table13[[#This Row],[Revenue]]&gt;=10000000,"Moderate Spender",TRUE,"Low Spender")</f>
        <v>Low Spender</v>
      </c>
      <c r="AF356" s="4" t="str" cm="1">
        <f t="array" ref="AF356">_xlfn.IFS(Table13[[#This Row],[Land_Size_SQM]]&gt;=730,"LARGE",Table13[[#This Row],[Land_Size_SQM]]&gt;=465,"MEDIUM",TRUE,"SMALL")</f>
        <v>LARGE</v>
      </c>
    </row>
    <row r="357" spans="1:32" x14ac:dyDescent="0.3">
      <c r="A357" t="s">
        <v>301</v>
      </c>
      <c r="B357" t="s">
        <v>532</v>
      </c>
      <c r="C357" t="s">
        <v>627</v>
      </c>
      <c r="D357">
        <v>21</v>
      </c>
      <c r="E357" t="s">
        <v>630</v>
      </c>
      <c r="F357">
        <v>254</v>
      </c>
      <c r="G357" s="4">
        <v>32471</v>
      </c>
      <c r="H357" s="4">
        <v>8247634</v>
      </c>
      <c r="I357" t="s">
        <v>656</v>
      </c>
      <c r="J357" t="s">
        <v>669</v>
      </c>
      <c r="K357" t="s">
        <v>677</v>
      </c>
      <c r="L357" t="s">
        <v>682</v>
      </c>
      <c r="M357" t="s">
        <v>684</v>
      </c>
      <c r="N357" t="s">
        <v>688</v>
      </c>
      <c r="O357" t="s">
        <v>693</v>
      </c>
      <c r="P357" s="4">
        <v>8247634</v>
      </c>
      <c r="Q357">
        <v>0</v>
      </c>
      <c r="R357" s="7">
        <v>0.67</v>
      </c>
      <c r="S357" s="8">
        <f>Table13[[#This Row],[Discount_%]]/100</f>
        <v>6.7000000000000002E-3</v>
      </c>
      <c r="T357" s="6" t="s">
        <v>898</v>
      </c>
      <c r="U357" t="s">
        <v>984</v>
      </c>
      <c r="V357">
        <v>2024</v>
      </c>
      <c r="W357" t="s">
        <v>995</v>
      </c>
      <c r="X357" t="s">
        <v>997</v>
      </c>
      <c r="Y357" t="s">
        <v>1001</v>
      </c>
      <c r="Z357">
        <v>1</v>
      </c>
      <c r="AA357">
        <v>21</v>
      </c>
      <c r="AB357" s="4">
        <f>Table13[[#This Row],[Total_Price]]*(1-Table13[[#This Row],[Discount 2]])</f>
        <v>8192374.8521999996</v>
      </c>
      <c r="AC357" s="4" t="str" cm="1">
        <f t="array" ref="AC357">_xlfn.IFS(Table13[[#This Row],[Revenue]]&gt;=30000000,"High Value",Table13[[#This Row],[Revenue]]&gt;=10000000,"Moderate Value",TRUE,"Low Value")</f>
        <v>Low Value</v>
      </c>
      <c r="AD357" t="str">
        <f>IF(Table13[[#This Row],[Discount 2]]&gt;=5%, "YES", "NO")</f>
        <v>NO</v>
      </c>
      <c r="AE357" t="str" cm="1">
        <f t="array" ref="AE357">_xlfn.IFS(Table13[[#This Row],[Revenue]]&gt;=30000000,"High Spender",Table13[[#This Row],[Revenue]]&gt;=10000000,"Moderate Spender",TRUE,"Low Spender")</f>
        <v>Low Spender</v>
      </c>
      <c r="AF357" s="4" t="str" cm="1">
        <f t="array" ref="AF357">_xlfn.IFS(Table13[[#This Row],[Land_Size_SQM]]&gt;=730,"LARGE",Table13[[#This Row],[Land_Size_SQM]]&gt;=465,"MEDIUM",TRUE,"SMALL")</f>
        <v>SMALL</v>
      </c>
    </row>
    <row r="358" spans="1:32" x14ac:dyDescent="0.3">
      <c r="A358" t="s">
        <v>132</v>
      </c>
      <c r="B358" t="s">
        <v>586</v>
      </c>
      <c r="C358" t="s">
        <v>626</v>
      </c>
      <c r="D358">
        <v>38</v>
      </c>
      <c r="E358" t="s">
        <v>630</v>
      </c>
      <c r="F358">
        <v>390</v>
      </c>
      <c r="G358" s="4">
        <v>20970</v>
      </c>
      <c r="H358" s="4">
        <v>8178300</v>
      </c>
      <c r="I358" t="s">
        <v>658</v>
      </c>
      <c r="J358" t="s">
        <v>670</v>
      </c>
      <c r="K358" t="s">
        <v>678</v>
      </c>
      <c r="L358" t="s">
        <v>682</v>
      </c>
      <c r="M358" t="s">
        <v>686</v>
      </c>
      <c r="N358" t="s">
        <v>692</v>
      </c>
      <c r="O358" t="s">
        <v>693</v>
      </c>
      <c r="P358" s="4">
        <v>8178300</v>
      </c>
      <c r="Q358">
        <v>0</v>
      </c>
      <c r="R358" s="7">
        <v>0.09</v>
      </c>
      <c r="S358" s="8">
        <f>Table13[[#This Row],[Discount_%]]/100</f>
        <v>8.9999999999999998E-4</v>
      </c>
      <c r="T358" s="6" t="s">
        <v>699</v>
      </c>
      <c r="U358" t="s">
        <v>985</v>
      </c>
      <c r="V358">
        <v>2024</v>
      </c>
      <c r="W358" t="s">
        <v>995</v>
      </c>
      <c r="X358" t="s">
        <v>999</v>
      </c>
      <c r="Y358" t="s">
        <v>1001</v>
      </c>
      <c r="Z358">
        <v>4</v>
      </c>
      <c r="AA358">
        <v>18</v>
      </c>
      <c r="AB358" s="4">
        <f>Table13[[#This Row],[Total_Price]]*(1-Table13[[#This Row],[Discount 2]])</f>
        <v>8170939.5300000003</v>
      </c>
      <c r="AC358" s="4" t="str" cm="1">
        <f t="array" ref="AC358">_xlfn.IFS(Table13[[#This Row],[Revenue]]&gt;=30000000,"High Value",Table13[[#This Row],[Revenue]]&gt;=10000000,"Moderate Value",TRUE,"Low Value")</f>
        <v>Low Value</v>
      </c>
      <c r="AD358" t="str">
        <f>IF(Table13[[#This Row],[Discount 2]]&gt;=5%, "YES", "NO")</f>
        <v>NO</v>
      </c>
      <c r="AE358" t="str" cm="1">
        <f t="array" ref="AE358">_xlfn.IFS(Table13[[#This Row],[Revenue]]&gt;=30000000,"High Spender",Table13[[#This Row],[Revenue]]&gt;=10000000,"Moderate Spender",TRUE,"Low Spender")</f>
        <v>Low Spender</v>
      </c>
      <c r="AF358" s="4" t="str" cm="1">
        <f t="array" ref="AF358">_xlfn.IFS(Table13[[#This Row],[Land_Size_SQM]]&gt;=730,"LARGE",Table13[[#This Row],[Land_Size_SQM]]&gt;=465,"MEDIUM",TRUE,"SMALL")</f>
        <v>SMALL</v>
      </c>
    </row>
    <row r="359" spans="1:32" x14ac:dyDescent="0.3">
      <c r="A359" t="s">
        <v>267</v>
      </c>
      <c r="B359" t="s">
        <v>530</v>
      </c>
      <c r="C359" t="s">
        <v>626</v>
      </c>
      <c r="D359">
        <v>31</v>
      </c>
      <c r="E359" t="s">
        <v>629</v>
      </c>
      <c r="F359">
        <v>295</v>
      </c>
      <c r="G359" s="4">
        <v>28144</v>
      </c>
      <c r="H359" s="4">
        <v>8302480</v>
      </c>
      <c r="I359" t="s">
        <v>648</v>
      </c>
      <c r="J359" t="s">
        <v>671</v>
      </c>
      <c r="K359" t="s">
        <v>677</v>
      </c>
      <c r="L359" t="s">
        <v>682</v>
      </c>
      <c r="M359" t="s">
        <v>683</v>
      </c>
      <c r="N359" t="s">
        <v>691</v>
      </c>
      <c r="O359" t="s">
        <v>694</v>
      </c>
      <c r="P359" s="4">
        <v>3041742</v>
      </c>
      <c r="Q359">
        <v>3</v>
      </c>
      <c r="R359" s="7">
        <v>1.78</v>
      </c>
      <c r="S359" s="8">
        <f>Table13[[#This Row],[Discount_%]]/100</f>
        <v>1.78E-2</v>
      </c>
      <c r="T359" s="6" t="s">
        <v>874</v>
      </c>
      <c r="U359" t="s">
        <v>982</v>
      </c>
      <c r="V359">
        <v>2024</v>
      </c>
      <c r="W359" t="s">
        <v>996</v>
      </c>
      <c r="X359" t="s">
        <v>999</v>
      </c>
      <c r="Y359" t="s">
        <v>1001</v>
      </c>
      <c r="Z359">
        <v>2</v>
      </c>
      <c r="AA359">
        <v>17</v>
      </c>
      <c r="AB359" s="4">
        <f>Table13[[#This Row],[Total_Price]]*(1-Table13[[#This Row],[Discount 2]])</f>
        <v>8154695.8559999997</v>
      </c>
      <c r="AC359" s="4" t="str" cm="1">
        <f t="array" ref="AC359">_xlfn.IFS(Table13[[#This Row],[Revenue]]&gt;=30000000,"High Value",Table13[[#This Row],[Revenue]]&gt;=10000000,"Moderate Value",TRUE,"Low Value")</f>
        <v>Low Value</v>
      </c>
      <c r="AD359" t="str">
        <f>IF(Table13[[#This Row],[Discount 2]]&gt;=5%, "YES", "NO")</f>
        <v>NO</v>
      </c>
      <c r="AE359" t="str" cm="1">
        <f t="array" ref="AE359">_xlfn.IFS(Table13[[#This Row],[Revenue]]&gt;=30000000,"High Spender",Table13[[#This Row],[Revenue]]&gt;=10000000,"Moderate Spender",TRUE,"Low Spender")</f>
        <v>Low Spender</v>
      </c>
      <c r="AF359" s="4" t="str" cm="1">
        <f t="array" ref="AF359">_xlfn.IFS(Table13[[#This Row],[Land_Size_SQM]]&gt;=730,"LARGE",Table13[[#This Row],[Land_Size_SQM]]&gt;=465,"MEDIUM",TRUE,"SMALL")</f>
        <v>SMALL</v>
      </c>
    </row>
    <row r="360" spans="1:32" x14ac:dyDescent="0.3">
      <c r="A360" t="s">
        <v>140</v>
      </c>
      <c r="B360" t="s">
        <v>547</v>
      </c>
      <c r="C360" t="s">
        <v>627</v>
      </c>
      <c r="D360">
        <v>33</v>
      </c>
      <c r="E360" t="s">
        <v>628</v>
      </c>
      <c r="F360">
        <v>942</v>
      </c>
      <c r="G360" s="4">
        <v>9395</v>
      </c>
      <c r="H360" s="4">
        <v>8850090</v>
      </c>
      <c r="I360" t="s">
        <v>651</v>
      </c>
      <c r="J360" t="s">
        <v>669</v>
      </c>
      <c r="K360" t="s">
        <v>679</v>
      </c>
      <c r="L360" t="s">
        <v>680</v>
      </c>
      <c r="M360" t="s">
        <v>686</v>
      </c>
      <c r="N360" t="s">
        <v>689</v>
      </c>
      <c r="O360" t="s">
        <v>693</v>
      </c>
      <c r="P360" s="4">
        <v>8850090</v>
      </c>
      <c r="Q360">
        <v>0</v>
      </c>
      <c r="R360" s="7">
        <v>8.09</v>
      </c>
      <c r="S360" s="8">
        <f>Table13[[#This Row],[Discount_%]]/100</f>
        <v>8.09E-2</v>
      </c>
      <c r="T360" s="6" t="s">
        <v>767</v>
      </c>
      <c r="U360" t="s">
        <v>989</v>
      </c>
      <c r="V360">
        <v>2024</v>
      </c>
      <c r="W360" t="s">
        <v>995</v>
      </c>
      <c r="X360" t="s">
        <v>997</v>
      </c>
      <c r="Y360" t="s">
        <v>1001</v>
      </c>
      <c r="Z360">
        <v>1</v>
      </c>
      <c r="AA360">
        <v>16</v>
      </c>
      <c r="AB360" s="4">
        <f>Table13[[#This Row],[Total_Price]]*(1-Table13[[#This Row],[Discount 2]])</f>
        <v>8134117.7190000005</v>
      </c>
      <c r="AC360" s="4" t="str" cm="1">
        <f t="array" ref="AC360">_xlfn.IFS(Table13[[#This Row],[Revenue]]&gt;=30000000,"High Value",Table13[[#This Row],[Revenue]]&gt;=10000000,"Moderate Value",TRUE,"Low Value")</f>
        <v>Low Value</v>
      </c>
      <c r="AD360" t="str">
        <f>IF(Table13[[#This Row],[Discount 2]]&gt;=5%, "YES", "NO")</f>
        <v>YES</v>
      </c>
      <c r="AE360" t="str" cm="1">
        <f t="array" ref="AE360">_xlfn.IFS(Table13[[#This Row],[Revenue]]&gt;=30000000,"High Spender",Table13[[#This Row],[Revenue]]&gt;=10000000,"Moderate Spender",TRUE,"Low Spender")</f>
        <v>Low Spender</v>
      </c>
      <c r="AF360" s="4" t="str" cm="1">
        <f t="array" ref="AF360">_xlfn.IFS(Table13[[#This Row],[Land_Size_SQM]]&gt;=730,"LARGE",Table13[[#This Row],[Land_Size_SQM]]&gt;=465,"MEDIUM",TRUE,"SMALL")</f>
        <v>LARGE</v>
      </c>
    </row>
    <row r="361" spans="1:32" x14ac:dyDescent="0.3">
      <c r="A361" t="s">
        <v>121</v>
      </c>
      <c r="B361" t="s">
        <v>555</v>
      </c>
      <c r="C361" t="s">
        <v>626</v>
      </c>
      <c r="D361">
        <v>51</v>
      </c>
      <c r="E361" t="s">
        <v>628</v>
      </c>
      <c r="F361">
        <v>363</v>
      </c>
      <c r="G361" s="4">
        <v>23458</v>
      </c>
      <c r="H361" s="4">
        <v>8515254</v>
      </c>
      <c r="I361" t="s">
        <v>660</v>
      </c>
      <c r="J361" t="s">
        <v>672</v>
      </c>
      <c r="K361" t="s">
        <v>679</v>
      </c>
      <c r="L361" t="s">
        <v>680</v>
      </c>
      <c r="M361" t="s">
        <v>684</v>
      </c>
      <c r="N361" t="s">
        <v>692</v>
      </c>
      <c r="O361" t="s">
        <v>694</v>
      </c>
      <c r="P361" s="4">
        <v>3652503</v>
      </c>
      <c r="Q361">
        <v>6</v>
      </c>
      <c r="R361" s="7">
        <v>4.9800000000000004</v>
      </c>
      <c r="S361" s="8">
        <f>Table13[[#This Row],[Discount_%]]/100</f>
        <v>4.9800000000000004E-2</v>
      </c>
      <c r="T361" s="6" t="s">
        <v>777</v>
      </c>
      <c r="U361" t="s">
        <v>986</v>
      </c>
      <c r="V361">
        <v>2024</v>
      </c>
      <c r="W361" t="s">
        <v>995</v>
      </c>
      <c r="X361" t="s">
        <v>999</v>
      </c>
      <c r="Y361" t="s">
        <v>1000</v>
      </c>
      <c r="Z361">
        <v>5</v>
      </c>
      <c r="AA361">
        <v>23</v>
      </c>
      <c r="AB361" s="4">
        <f>Table13[[#This Row],[Total_Price]]*(1-Table13[[#This Row],[Discount 2]])</f>
        <v>8091194.3508000001</v>
      </c>
      <c r="AC361" s="4" t="str" cm="1">
        <f t="array" ref="AC361">_xlfn.IFS(Table13[[#This Row],[Revenue]]&gt;=30000000,"High Value",Table13[[#This Row],[Revenue]]&gt;=10000000,"Moderate Value",TRUE,"Low Value")</f>
        <v>Low Value</v>
      </c>
      <c r="AD361" t="str">
        <f>IF(Table13[[#This Row],[Discount 2]]&gt;=5%, "YES", "NO")</f>
        <v>NO</v>
      </c>
      <c r="AE361" t="str" cm="1">
        <f t="array" ref="AE361">_xlfn.IFS(Table13[[#This Row],[Revenue]]&gt;=30000000,"High Spender",Table13[[#This Row],[Revenue]]&gt;=10000000,"Moderate Spender",TRUE,"Low Spender")</f>
        <v>Low Spender</v>
      </c>
      <c r="AF361" s="4" t="str" cm="1">
        <f t="array" ref="AF361">_xlfn.IFS(Table13[[#This Row],[Land_Size_SQM]]&gt;=730,"LARGE",Table13[[#This Row],[Land_Size_SQM]]&gt;=465,"MEDIUM",TRUE,"SMALL")</f>
        <v>SMALL</v>
      </c>
    </row>
    <row r="362" spans="1:32" x14ac:dyDescent="0.3">
      <c r="A362" t="s">
        <v>467</v>
      </c>
      <c r="B362" t="s">
        <v>588</v>
      </c>
      <c r="C362" t="s">
        <v>627</v>
      </c>
      <c r="D362">
        <v>41</v>
      </c>
      <c r="E362" t="s">
        <v>628</v>
      </c>
      <c r="F362">
        <v>483</v>
      </c>
      <c r="G362" s="4">
        <v>16925</v>
      </c>
      <c r="H362" s="4">
        <v>8174775</v>
      </c>
      <c r="I362" t="s">
        <v>655</v>
      </c>
      <c r="J362" t="s">
        <v>672</v>
      </c>
      <c r="K362" t="s">
        <v>676</v>
      </c>
      <c r="L362" t="s">
        <v>682</v>
      </c>
      <c r="M362" t="s">
        <v>687</v>
      </c>
      <c r="N362" t="s">
        <v>690</v>
      </c>
      <c r="O362" t="s">
        <v>693</v>
      </c>
      <c r="P362" s="4">
        <v>8174775</v>
      </c>
      <c r="Q362">
        <v>0</v>
      </c>
      <c r="R362" s="7">
        <v>1.19</v>
      </c>
      <c r="S362" s="8">
        <f>Table13[[#This Row],[Discount_%]]/100</f>
        <v>1.1899999999999999E-2</v>
      </c>
      <c r="T362" s="6" t="s">
        <v>768</v>
      </c>
      <c r="U362" t="s">
        <v>991</v>
      </c>
      <c r="V362">
        <v>2024</v>
      </c>
      <c r="W362" t="s">
        <v>994</v>
      </c>
      <c r="X362" t="s">
        <v>997</v>
      </c>
      <c r="Y362" t="s">
        <v>1001</v>
      </c>
      <c r="Z362">
        <v>3</v>
      </c>
      <c r="AA362">
        <v>13</v>
      </c>
      <c r="AB362" s="4">
        <f>Table13[[#This Row],[Total_Price]]*(1-Table13[[#This Row],[Discount 2]])</f>
        <v>8077495.1775000002</v>
      </c>
      <c r="AC362" s="4" t="str" cm="1">
        <f t="array" ref="AC362">_xlfn.IFS(Table13[[#This Row],[Revenue]]&gt;=30000000,"High Value",Table13[[#This Row],[Revenue]]&gt;=10000000,"Moderate Value",TRUE,"Low Value")</f>
        <v>Low Value</v>
      </c>
      <c r="AD362" t="str">
        <f>IF(Table13[[#This Row],[Discount 2]]&gt;=5%, "YES", "NO")</f>
        <v>NO</v>
      </c>
      <c r="AE362" t="str" cm="1">
        <f t="array" ref="AE362">_xlfn.IFS(Table13[[#This Row],[Revenue]]&gt;=30000000,"High Spender",Table13[[#This Row],[Revenue]]&gt;=10000000,"Moderate Spender",TRUE,"Low Spender")</f>
        <v>Low Spender</v>
      </c>
      <c r="AF362" s="4" t="str" cm="1">
        <f t="array" ref="AF362">_xlfn.IFS(Table13[[#This Row],[Land_Size_SQM]]&gt;=730,"LARGE",Table13[[#This Row],[Land_Size_SQM]]&gt;=465,"MEDIUM",TRUE,"SMALL")</f>
        <v>MEDIUM</v>
      </c>
    </row>
    <row r="363" spans="1:32" x14ac:dyDescent="0.3">
      <c r="A363" t="s">
        <v>454</v>
      </c>
      <c r="B363" t="s">
        <v>600</v>
      </c>
      <c r="C363" t="s">
        <v>627</v>
      </c>
      <c r="D363">
        <v>28</v>
      </c>
      <c r="E363" t="s">
        <v>628</v>
      </c>
      <c r="F363">
        <v>982</v>
      </c>
      <c r="G363" s="4">
        <v>8269</v>
      </c>
      <c r="H363" s="4">
        <v>8120158</v>
      </c>
      <c r="I363" t="s">
        <v>665</v>
      </c>
      <c r="J363" t="s">
        <v>672</v>
      </c>
      <c r="K363" t="s">
        <v>678</v>
      </c>
      <c r="L363" t="s">
        <v>681</v>
      </c>
      <c r="M363" t="s">
        <v>685</v>
      </c>
      <c r="N363" t="s">
        <v>690</v>
      </c>
      <c r="O363" t="s">
        <v>694</v>
      </c>
      <c r="P363" s="4">
        <v>1832398</v>
      </c>
      <c r="Q363">
        <v>3</v>
      </c>
      <c r="R363" s="7">
        <v>0.61</v>
      </c>
      <c r="S363" s="8">
        <f>Table13[[#This Row],[Discount_%]]/100</f>
        <v>6.0999999999999995E-3</v>
      </c>
      <c r="T363" s="6" t="s">
        <v>938</v>
      </c>
      <c r="U363" t="s">
        <v>988</v>
      </c>
      <c r="V363">
        <v>2024</v>
      </c>
      <c r="W363" t="s">
        <v>995</v>
      </c>
      <c r="X363" t="s">
        <v>999</v>
      </c>
      <c r="Y363" t="s">
        <v>1000</v>
      </c>
      <c r="Z363">
        <v>1</v>
      </c>
      <c r="AA363">
        <v>36</v>
      </c>
      <c r="AB363" s="4">
        <f>Table13[[#This Row],[Total_Price]]*(1-Table13[[#This Row],[Discount 2]])</f>
        <v>8070625.0362</v>
      </c>
      <c r="AC363" s="4" t="str" cm="1">
        <f t="array" ref="AC363">_xlfn.IFS(Table13[[#This Row],[Revenue]]&gt;=30000000,"High Value",Table13[[#This Row],[Revenue]]&gt;=10000000,"Moderate Value",TRUE,"Low Value")</f>
        <v>Low Value</v>
      </c>
      <c r="AD363" t="str">
        <f>IF(Table13[[#This Row],[Discount 2]]&gt;=5%, "YES", "NO")</f>
        <v>NO</v>
      </c>
      <c r="AE363" t="str" cm="1">
        <f t="array" ref="AE363">_xlfn.IFS(Table13[[#This Row],[Revenue]]&gt;=30000000,"High Spender",Table13[[#This Row],[Revenue]]&gt;=10000000,"Moderate Spender",TRUE,"Low Spender")</f>
        <v>Low Spender</v>
      </c>
      <c r="AF363" s="4" t="str" cm="1">
        <f t="array" ref="AF363">_xlfn.IFS(Table13[[#This Row],[Land_Size_SQM]]&gt;=730,"LARGE",Table13[[#This Row],[Land_Size_SQM]]&gt;=465,"MEDIUM",TRUE,"SMALL")</f>
        <v>LARGE</v>
      </c>
    </row>
    <row r="364" spans="1:32" x14ac:dyDescent="0.3">
      <c r="A364" t="s">
        <v>157</v>
      </c>
      <c r="B364" t="s">
        <v>557</v>
      </c>
      <c r="C364" t="s">
        <v>626</v>
      </c>
      <c r="D364">
        <v>24</v>
      </c>
      <c r="E364" t="s">
        <v>630</v>
      </c>
      <c r="F364">
        <v>704</v>
      </c>
      <c r="G364" s="4">
        <v>11563</v>
      </c>
      <c r="H364" s="4">
        <v>8140352</v>
      </c>
      <c r="I364" t="s">
        <v>657</v>
      </c>
      <c r="J364" t="s">
        <v>671</v>
      </c>
      <c r="K364" t="s">
        <v>677</v>
      </c>
      <c r="L364" t="s">
        <v>681</v>
      </c>
      <c r="M364" t="s">
        <v>683</v>
      </c>
      <c r="N364" t="s">
        <v>691</v>
      </c>
      <c r="O364" t="s">
        <v>693</v>
      </c>
      <c r="P364" s="4">
        <v>8140352</v>
      </c>
      <c r="Q364">
        <v>0</v>
      </c>
      <c r="R364" s="7">
        <v>1.67</v>
      </c>
      <c r="S364" s="8">
        <f>Table13[[#This Row],[Discount_%]]/100</f>
        <v>1.67E-2</v>
      </c>
      <c r="T364" s="6" t="s">
        <v>801</v>
      </c>
      <c r="U364" t="s">
        <v>992</v>
      </c>
      <c r="V364">
        <v>2024</v>
      </c>
      <c r="W364" t="s">
        <v>996</v>
      </c>
      <c r="X364" t="s">
        <v>998</v>
      </c>
      <c r="Y364" t="s">
        <v>1000</v>
      </c>
      <c r="Z364">
        <v>2</v>
      </c>
      <c r="AA364">
        <v>20</v>
      </c>
      <c r="AB364" s="4">
        <f>Table13[[#This Row],[Total_Price]]*(1-Table13[[#This Row],[Discount 2]])</f>
        <v>8004408.1215999993</v>
      </c>
      <c r="AC364" s="4" t="str" cm="1">
        <f t="array" ref="AC364">_xlfn.IFS(Table13[[#This Row],[Revenue]]&gt;=30000000,"High Value",Table13[[#This Row],[Revenue]]&gt;=10000000,"Moderate Value",TRUE,"Low Value")</f>
        <v>Low Value</v>
      </c>
      <c r="AD364" t="str">
        <f>IF(Table13[[#This Row],[Discount 2]]&gt;=5%, "YES", "NO")</f>
        <v>NO</v>
      </c>
      <c r="AE364" t="str" cm="1">
        <f t="array" ref="AE364">_xlfn.IFS(Table13[[#This Row],[Revenue]]&gt;=30000000,"High Spender",Table13[[#This Row],[Revenue]]&gt;=10000000,"Moderate Spender",TRUE,"Low Spender")</f>
        <v>Low Spender</v>
      </c>
      <c r="AF364" s="4" t="str" cm="1">
        <f t="array" ref="AF364">_xlfn.IFS(Table13[[#This Row],[Land_Size_SQM]]&gt;=730,"LARGE",Table13[[#This Row],[Land_Size_SQM]]&gt;=465,"MEDIUM",TRUE,"SMALL")</f>
        <v>MEDIUM</v>
      </c>
    </row>
    <row r="365" spans="1:32" x14ac:dyDescent="0.3">
      <c r="A365" t="s">
        <v>298</v>
      </c>
      <c r="B365" t="s">
        <v>598</v>
      </c>
      <c r="C365" t="s">
        <v>627</v>
      </c>
      <c r="D365">
        <v>27</v>
      </c>
      <c r="E365" t="s">
        <v>629</v>
      </c>
      <c r="F365">
        <v>452</v>
      </c>
      <c r="G365" s="4">
        <v>17880</v>
      </c>
      <c r="H365" s="4">
        <v>8081760</v>
      </c>
      <c r="I365" t="s">
        <v>665</v>
      </c>
      <c r="J365" t="s">
        <v>672</v>
      </c>
      <c r="K365" t="s">
        <v>675</v>
      </c>
      <c r="L365" t="s">
        <v>681</v>
      </c>
      <c r="M365" t="s">
        <v>684</v>
      </c>
      <c r="N365" t="s">
        <v>690</v>
      </c>
      <c r="O365" t="s">
        <v>693</v>
      </c>
      <c r="P365" s="4">
        <v>8081760</v>
      </c>
      <c r="Q365">
        <v>0</v>
      </c>
      <c r="R365" s="7">
        <v>2.66</v>
      </c>
      <c r="S365" s="8">
        <f>Table13[[#This Row],[Discount_%]]/100</f>
        <v>2.6600000000000002E-2</v>
      </c>
      <c r="T365" s="6" t="s">
        <v>757</v>
      </c>
      <c r="U365" t="s">
        <v>989</v>
      </c>
      <c r="V365">
        <v>2024</v>
      </c>
      <c r="W365" t="s">
        <v>994</v>
      </c>
      <c r="X365" t="s">
        <v>999</v>
      </c>
      <c r="Y365" t="s">
        <v>1002</v>
      </c>
      <c r="Z365">
        <v>3</v>
      </c>
      <c r="AA365">
        <v>39</v>
      </c>
      <c r="AB365" s="4">
        <f>Table13[[#This Row],[Total_Price]]*(1-Table13[[#This Row],[Discount 2]])</f>
        <v>7866785.1840000004</v>
      </c>
      <c r="AC365" s="4" t="str" cm="1">
        <f t="array" ref="AC365">_xlfn.IFS(Table13[[#This Row],[Revenue]]&gt;=30000000,"High Value",Table13[[#This Row],[Revenue]]&gt;=10000000,"Moderate Value",TRUE,"Low Value")</f>
        <v>Low Value</v>
      </c>
      <c r="AD365" t="str">
        <f>IF(Table13[[#This Row],[Discount 2]]&gt;=5%, "YES", "NO")</f>
        <v>NO</v>
      </c>
      <c r="AE365" t="str" cm="1">
        <f t="array" ref="AE365">_xlfn.IFS(Table13[[#This Row],[Revenue]]&gt;=30000000,"High Spender",Table13[[#This Row],[Revenue]]&gt;=10000000,"Moderate Spender",TRUE,"Low Spender")</f>
        <v>Low Spender</v>
      </c>
      <c r="AF365" s="4" t="str" cm="1">
        <f t="array" ref="AF365">_xlfn.IFS(Table13[[#This Row],[Land_Size_SQM]]&gt;=730,"LARGE",Table13[[#This Row],[Land_Size_SQM]]&gt;=465,"MEDIUM",TRUE,"SMALL")</f>
        <v>SMALL</v>
      </c>
    </row>
    <row r="366" spans="1:32" x14ac:dyDescent="0.3">
      <c r="A366" t="s">
        <v>476</v>
      </c>
      <c r="B366" t="s">
        <v>618</v>
      </c>
      <c r="C366" t="s">
        <v>626</v>
      </c>
      <c r="D366">
        <v>30</v>
      </c>
      <c r="E366" t="s">
        <v>630</v>
      </c>
      <c r="F366">
        <v>324</v>
      </c>
      <c r="G366" s="4">
        <v>26165</v>
      </c>
      <c r="H366" s="4">
        <v>8477460</v>
      </c>
      <c r="I366" t="s">
        <v>658</v>
      </c>
      <c r="J366" t="s">
        <v>670</v>
      </c>
      <c r="K366" t="s">
        <v>675</v>
      </c>
      <c r="L366" t="s">
        <v>680</v>
      </c>
      <c r="M366" t="s">
        <v>686</v>
      </c>
      <c r="N366" t="s">
        <v>689</v>
      </c>
      <c r="O366" t="s">
        <v>693</v>
      </c>
      <c r="P366" s="4">
        <v>8477460</v>
      </c>
      <c r="Q366">
        <v>0</v>
      </c>
      <c r="R366" s="7">
        <v>7.55</v>
      </c>
      <c r="S366" s="8">
        <f>Table13[[#This Row],[Discount_%]]/100</f>
        <v>7.5499999999999998E-2</v>
      </c>
      <c r="T366" s="6" t="s">
        <v>857</v>
      </c>
      <c r="U366" t="s">
        <v>986</v>
      </c>
      <c r="V366">
        <v>2024</v>
      </c>
      <c r="W366" t="s">
        <v>995</v>
      </c>
      <c r="X366" t="s">
        <v>999</v>
      </c>
      <c r="Y366" t="s">
        <v>1000</v>
      </c>
      <c r="Z366">
        <v>4</v>
      </c>
      <c r="AA366">
        <v>25</v>
      </c>
      <c r="AB366" s="4">
        <f>Table13[[#This Row],[Total_Price]]*(1-Table13[[#This Row],[Discount 2]])</f>
        <v>7837411.7699999996</v>
      </c>
      <c r="AC366" s="4" t="str" cm="1">
        <f t="array" ref="AC366">_xlfn.IFS(Table13[[#This Row],[Revenue]]&gt;=30000000,"High Value",Table13[[#This Row],[Revenue]]&gt;=10000000,"Moderate Value",TRUE,"Low Value")</f>
        <v>Low Value</v>
      </c>
      <c r="AD366" t="str">
        <f>IF(Table13[[#This Row],[Discount 2]]&gt;=5%, "YES", "NO")</f>
        <v>YES</v>
      </c>
      <c r="AE366" t="str" cm="1">
        <f t="array" ref="AE366">_xlfn.IFS(Table13[[#This Row],[Revenue]]&gt;=30000000,"High Spender",Table13[[#This Row],[Revenue]]&gt;=10000000,"Moderate Spender",TRUE,"Low Spender")</f>
        <v>Low Spender</v>
      </c>
      <c r="AF366" s="4" t="str" cm="1">
        <f t="array" ref="AF366">_xlfn.IFS(Table13[[#This Row],[Land_Size_SQM]]&gt;=730,"LARGE",Table13[[#This Row],[Land_Size_SQM]]&gt;=465,"MEDIUM",TRUE,"SMALL")</f>
        <v>SMALL</v>
      </c>
    </row>
    <row r="367" spans="1:32" x14ac:dyDescent="0.3">
      <c r="A367" t="s">
        <v>407</v>
      </c>
      <c r="B367" t="s">
        <v>536</v>
      </c>
      <c r="C367" t="s">
        <v>627</v>
      </c>
      <c r="D367">
        <v>43</v>
      </c>
      <c r="E367" t="s">
        <v>629</v>
      </c>
      <c r="F367">
        <v>628</v>
      </c>
      <c r="G367" s="4">
        <v>13820</v>
      </c>
      <c r="H367" s="4">
        <v>8678960</v>
      </c>
      <c r="I367" t="s">
        <v>659</v>
      </c>
      <c r="J367" t="s">
        <v>668</v>
      </c>
      <c r="K367" t="s">
        <v>679</v>
      </c>
      <c r="L367" t="s">
        <v>682</v>
      </c>
      <c r="M367" t="s">
        <v>684</v>
      </c>
      <c r="N367" t="s">
        <v>689</v>
      </c>
      <c r="O367" t="s">
        <v>694</v>
      </c>
      <c r="P367" s="4">
        <v>1810708</v>
      </c>
      <c r="Q367">
        <v>6</v>
      </c>
      <c r="R367" s="7">
        <v>9.76</v>
      </c>
      <c r="S367" s="8">
        <f>Table13[[#This Row],[Discount_%]]/100</f>
        <v>9.7599999999999992E-2</v>
      </c>
      <c r="T367" s="6" t="s">
        <v>846</v>
      </c>
      <c r="U367" t="s">
        <v>990</v>
      </c>
      <c r="V367">
        <v>2024</v>
      </c>
      <c r="W367" t="s">
        <v>993</v>
      </c>
      <c r="X367" t="s">
        <v>998</v>
      </c>
      <c r="Y367" t="s">
        <v>1000</v>
      </c>
      <c r="Z367">
        <v>3</v>
      </c>
      <c r="AA367">
        <v>45</v>
      </c>
      <c r="AB367" s="4">
        <f>Table13[[#This Row],[Total_Price]]*(1-Table13[[#This Row],[Discount 2]])</f>
        <v>7831893.5039999997</v>
      </c>
      <c r="AC367" s="4" t="str" cm="1">
        <f t="array" ref="AC367">_xlfn.IFS(Table13[[#This Row],[Revenue]]&gt;=30000000,"High Value",Table13[[#This Row],[Revenue]]&gt;=10000000,"Moderate Value",TRUE,"Low Value")</f>
        <v>Low Value</v>
      </c>
      <c r="AD367" t="str">
        <f>IF(Table13[[#This Row],[Discount 2]]&gt;=5%, "YES", "NO")</f>
        <v>YES</v>
      </c>
      <c r="AE367" t="str" cm="1">
        <f t="array" ref="AE367">_xlfn.IFS(Table13[[#This Row],[Revenue]]&gt;=30000000,"High Spender",Table13[[#This Row],[Revenue]]&gt;=10000000,"Moderate Spender",TRUE,"Low Spender")</f>
        <v>Low Spender</v>
      </c>
      <c r="AF367" s="4" t="str" cm="1">
        <f t="array" ref="AF367">_xlfn.IFS(Table13[[#This Row],[Land_Size_SQM]]&gt;=730,"LARGE",Table13[[#This Row],[Land_Size_SQM]]&gt;=465,"MEDIUM",TRUE,"SMALL")</f>
        <v>MEDIUM</v>
      </c>
    </row>
    <row r="368" spans="1:32" x14ac:dyDescent="0.3">
      <c r="A368" t="s">
        <v>286</v>
      </c>
      <c r="B368" t="s">
        <v>567</v>
      </c>
      <c r="C368" t="s">
        <v>626</v>
      </c>
      <c r="D368">
        <v>40</v>
      </c>
      <c r="E368" t="s">
        <v>629</v>
      </c>
      <c r="F368">
        <v>240</v>
      </c>
      <c r="G368" s="4">
        <v>33804</v>
      </c>
      <c r="H368" s="4">
        <v>8112960</v>
      </c>
      <c r="I368" t="s">
        <v>653</v>
      </c>
      <c r="J368" t="s">
        <v>668</v>
      </c>
      <c r="K368" t="s">
        <v>677</v>
      </c>
      <c r="L368" t="s">
        <v>681</v>
      </c>
      <c r="M368" t="s">
        <v>687</v>
      </c>
      <c r="N368" t="s">
        <v>692</v>
      </c>
      <c r="O368" t="s">
        <v>694</v>
      </c>
      <c r="P368" s="4">
        <v>2943546</v>
      </c>
      <c r="Q368">
        <v>12</v>
      </c>
      <c r="R368" s="7">
        <v>4.9000000000000004</v>
      </c>
      <c r="S368" s="8">
        <f>Table13[[#This Row],[Discount_%]]/100</f>
        <v>4.9000000000000002E-2</v>
      </c>
      <c r="T368" s="6" t="s">
        <v>699</v>
      </c>
      <c r="U368" t="s">
        <v>985</v>
      </c>
      <c r="V368">
        <v>2024</v>
      </c>
      <c r="W368" t="s">
        <v>996</v>
      </c>
      <c r="X368" t="s">
        <v>999</v>
      </c>
      <c r="Y368" t="s">
        <v>1001</v>
      </c>
      <c r="Z368">
        <v>2</v>
      </c>
      <c r="AA368">
        <v>29</v>
      </c>
      <c r="AB368" s="4">
        <f>Table13[[#This Row],[Total_Price]]*(1-Table13[[#This Row],[Discount 2]])</f>
        <v>7715424.96</v>
      </c>
      <c r="AC368" s="4" t="str" cm="1">
        <f t="array" ref="AC368">_xlfn.IFS(Table13[[#This Row],[Revenue]]&gt;=30000000,"High Value",Table13[[#This Row],[Revenue]]&gt;=10000000,"Moderate Value",TRUE,"Low Value")</f>
        <v>Low Value</v>
      </c>
      <c r="AD368" t="str">
        <f>IF(Table13[[#This Row],[Discount 2]]&gt;=5%, "YES", "NO")</f>
        <v>NO</v>
      </c>
      <c r="AE368" t="str" cm="1">
        <f t="array" ref="AE368">_xlfn.IFS(Table13[[#This Row],[Revenue]]&gt;=30000000,"High Spender",Table13[[#This Row],[Revenue]]&gt;=10000000,"Moderate Spender",TRUE,"Low Spender")</f>
        <v>Low Spender</v>
      </c>
      <c r="AF368" s="4" t="str" cm="1">
        <f t="array" ref="AF368">_xlfn.IFS(Table13[[#This Row],[Land_Size_SQM]]&gt;=730,"LARGE",Table13[[#This Row],[Land_Size_SQM]]&gt;=465,"MEDIUM",TRUE,"SMALL")</f>
        <v>SMALL</v>
      </c>
    </row>
    <row r="369" spans="1:32" x14ac:dyDescent="0.3">
      <c r="A369" t="s">
        <v>374</v>
      </c>
      <c r="B369" t="s">
        <v>621</v>
      </c>
      <c r="C369" t="s">
        <v>627</v>
      </c>
      <c r="D369">
        <v>39</v>
      </c>
      <c r="E369" t="s">
        <v>629</v>
      </c>
      <c r="F369">
        <v>624</v>
      </c>
      <c r="G369" s="4">
        <v>13461</v>
      </c>
      <c r="H369" s="4">
        <v>8399664</v>
      </c>
      <c r="I369" t="s">
        <v>661</v>
      </c>
      <c r="J369" t="s">
        <v>673</v>
      </c>
      <c r="K369" t="s">
        <v>677</v>
      </c>
      <c r="L369" t="s">
        <v>681</v>
      </c>
      <c r="M369" t="s">
        <v>684</v>
      </c>
      <c r="N369" t="s">
        <v>692</v>
      </c>
      <c r="O369" t="s">
        <v>694</v>
      </c>
      <c r="P369" s="4">
        <v>2182042</v>
      </c>
      <c r="Q369">
        <v>6</v>
      </c>
      <c r="R369" s="7">
        <v>8.32</v>
      </c>
      <c r="S369" s="8">
        <f>Table13[[#This Row],[Discount_%]]/100</f>
        <v>8.3199999999999996E-2</v>
      </c>
      <c r="T369" s="6" t="s">
        <v>926</v>
      </c>
      <c r="U369" t="s">
        <v>992</v>
      </c>
      <c r="V369">
        <v>2024</v>
      </c>
      <c r="W369" t="s">
        <v>995</v>
      </c>
      <c r="X369" t="s">
        <v>999</v>
      </c>
      <c r="Y369" t="s">
        <v>1000</v>
      </c>
      <c r="Z369">
        <v>1</v>
      </c>
      <c r="AA369">
        <v>10</v>
      </c>
      <c r="AB369" s="4">
        <f>Table13[[#This Row],[Total_Price]]*(1-Table13[[#This Row],[Discount 2]])</f>
        <v>7700811.9552000007</v>
      </c>
      <c r="AC369" s="4" t="str" cm="1">
        <f t="array" ref="AC369">_xlfn.IFS(Table13[[#This Row],[Revenue]]&gt;=30000000,"High Value",Table13[[#This Row],[Revenue]]&gt;=10000000,"Moderate Value",TRUE,"Low Value")</f>
        <v>Low Value</v>
      </c>
      <c r="AD369" t="str">
        <f>IF(Table13[[#This Row],[Discount 2]]&gt;=5%, "YES", "NO")</f>
        <v>YES</v>
      </c>
      <c r="AE369" t="str" cm="1">
        <f t="array" ref="AE369">_xlfn.IFS(Table13[[#This Row],[Revenue]]&gt;=30000000,"High Spender",Table13[[#This Row],[Revenue]]&gt;=10000000,"Moderate Spender",TRUE,"Low Spender")</f>
        <v>Low Spender</v>
      </c>
      <c r="AF369" s="4" t="str" cm="1">
        <f t="array" ref="AF369">_xlfn.IFS(Table13[[#This Row],[Land_Size_SQM]]&gt;=730,"LARGE",Table13[[#This Row],[Land_Size_SQM]]&gt;=465,"MEDIUM",TRUE,"SMALL")</f>
        <v>MEDIUM</v>
      </c>
    </row>
    <row r="370" spans="1:32" x14ac:dyDescent="0.3">
      <c r="A370" t="s">
        <v>369</v>
      </c>
      <c r="B370" t="s">
        <v>553</v>
      </c>
      <c r="C370" t="s">
        <v>627</v>
      </c>
      <c r="D370">
        <v>43</v>
      </c>
      <c r="E370" t="s">
        <v>630</v>
      </c>
      <c r="F370">
        <v>578</v>
      </c>
      <c r="G370" s="4">
        <v>14091</v>
      </c>
      <c r="H370" s="4">
        <v>8144598</v>
      </c>
      <c r="I370" t="s">
        <v>632</v>
      </c>
      <c r="J370" t="s">
        <v>669</v>
      </c>
      <c r="K370" t="s">
        <v>677</v>
      </c>
      <c r="L370" t="s">
        <v>682</v>
      </c>
      <c r="M370" t="s">
        <v>683</v>
      </c>
      <c r="N370" t="s">
        <v>692</v>
      </c>
      <c r="O370" t="s">
        <v>693</v>
      </c>
      <c r="P370" s="4">
        <v>8144598</v>
      </c>
      <c r="Q370">
        <v>0</v>
      </c>
      <c r="R370" s="7">
        <v>5.62</v>
      </c>
      <c r="S370" s="8">
        <f>Table13[[#This Row],[Discount_%]]/100</f>
        <v>5.62E-2</v>
      </c>
      <c r="T370" s="6" t="s">
        <v>938</v>
      </c>
      <c r="U370" t="s">
        <v>988</v>
      </c>
      <c r="V370">
        <v>2024</v>
      </c>
      <c r="W370" t="s">
        <v>994</v>
      </c>
      <c r="X370" t="s">
        <v>999</v>
      </c>
      <c r="Y370" t="s">
        <v>1000</v>
      </c>
      <c r="Z370">
        <v>4</v>
      </c>
      <c r="AA370">
        <v>32</v>
      </c>
      <c r="AB370" s="4">
        <f>Table13[[#This Row],[Total_Price]]*(1-Table13[[#This Row],[Discount 2]])</f>
        <v>7686871.5923999995</v>
      </c>
      <c r="AC370" s="4" t="str" cm="1">
        <f t="array" ref="AC370">_xlfn.IFS(Table13[[#This Row],[Revenue]]&gt;=30000000,"High Value",Table13[[#This Row],[Revenue]]&gt;=10000000,"Moderate Value",TRUE,"Low Value")</f>
        <v>Low Value</v>
      </c>
      <c r="AD370" t="str">
        <f>IF(Table13[[#This Row],[Discount 2]]&gt;=5%, "YES", "NO")</f>
        <v>YES</v>
      </c>
      <c r="AE370" t="str" cm="1">
        <f t="array" ref="AE370">_xlfn.IFS(Table13[[#This Row],[Revenue]]&gt;=30000000,"High Spender",Table13[[#This Row],[Revenue]]&gt;=10000000,"Moderate Spender",TRUE,"Low Spender")</f>
        <v>Low Spender</v>
      </c>
      <c r="AF370" s="4" t="str" cm="1">
        <f t="array" ref="AF370">_xlfn.IFS(Table13[[#This Row],[Land_Size_SQM]]&gt;=730,"LARGE",Table13[[#This Row],[Land_Size_SQM]]&gt;=465,"MEDIUM",TRUE,"SMALL")</f>
        <v>MEDIUM</v>
      </c>
    </row>
    <row r="371" spans="1:32" x14ac:dyDescent="0.3">
      <c r="A371" t="s">
        <v>72</v>
      </c>
      <c r="B371" t="s">
        <v>561</v>
      </c>
      <c r="C371" t="s">
        <v>626</v>
      </c>
      <c r="D371">
        <v>20</v>
      </c>
      <c r="E371" t="s">
        <v>630</v>
      </c>
      <c r="F371">
        <v>720</v>
      </c>
      <c r="G371" s="4">
        <v>10946</v>
      </c>
      <c r="H371" s="4">
        <v>7881120</v>
      </c>
      <c r="I371" t="s">
        <v>650</v>
      </c>
      <c r="J371" t="s">
        <v>670</v>
      </c>
      <c r="K371" t="s">
        <v>674</v>
      </c>
      <c r="L371" t="s">
        <v>682</v>
      </c>
      <c r="M371" t="s">
        <v>687</v>
      </c>
      <c r="N371" t="s">
        <v>692</v>
      </c>
      <c r="O371" t="s">
        <v>693</v>
      </c>
      <c r="P371" s="4">
        <v>7881120</v>
      </c>
      <c r="Q371">
        <v>0</v>
      </c>
      <c r="R371" s="7">
        <v>2.76</v>
      </c>
      <c r="S371" s="8">
        <f>Table13[[#This Row],[Discount_%]]/100</f>
        <v>2.76E-2</v>
      </c>
      <c r="T371" s="6" t="s">
        <v>736</v>
      </c>
      <c r="U371" t="s">
        <v>991</v>
      </c>
      <c r="V371">
        <v>2024</v>
      </c>
      <c r="W371" t="s">
        <v>995</v>
      </c>
      <c r="X371" t="s">
        <v>999</v>
      </c>
      <c r="Y371" t="s">
        <v>1002</v>
      </c>
      <c r="Z371">
        <v>5</v>
      </c>
      <c r="AA371">
        <v>31</v>
      </c>
      <c r="AB371" s="4">
        <f>Table13[[#This Row],[Total_Price]]*(1-Table13[[#This Row],[Discount 2]])</f>
        <v>7663601.0880000005</v>
      </c>
      <c r="AC371" s="4" t="str" cm="1">
        <f t="array" ref="AC371">_xlfn.IFS(Table13[[#This Row],[Revenue]]&gt;=30000000,"High Value",Table13[[#This Row],[Revenue]]&gt;=10000000,"Moderate Value",TRUE,"Low Value")</f>
        <v>Low Value</v>
      </c>
      <c r="AD371" t="str">
        <f>IF(Table13[[#This Row],[Discount 2]]&gt;=5%, "YES", "NO")</f>
        <v>NO</v>
      </c>
      <c r="AE371" t="str" cm="1">
        <f t="array" ref="AE371">_xlfn.IFS(Table13[[#This Row],[Revenue]]&gt;=30000000,"High Spender",Table13[[#This Row],[Revenue]]&gt;=10000000,"Moderate Spender",TRUE,"Low Spender")</f>
        <v>Low Spender</v>
      </c>
      <c r="AF371" s="4" t="str" cm="1">
        <f t="array" ref="AF371">_xlfn.IFS(Table13[[#This Row],[Land_Size_SQM]]&gt;=730,"LARGE",Table13[[#This Row],[Land_Size_SQM]]&gt;=465,"MEDIUM",TRUE,"SMALL")</f>
        <v>MEDIUM</v>
      </c>
    </row>
    <row r="372" spans="1:32" x14ac:dyDescent="0.3">
      <c r="A372" t="s">
        <v>124</v>
      </c>
      <c r="B372" t="s">
        <v>581</v>
      </c>
      <c r="C372" t="s">
        <v>626</v>
      </c>
      <c r="D372">
        <v>59</v>
      </c>
      <c r="E372" t="s">
        <v>629</v>
      </c>
      <c r="F372">
        <v>667</v>
      </c>
      <c r="G372" s="4">
        <v>11760</v>
      </c>
      <c r="H372" s="4">
        <v>7843920</v>
      </c>
      <c r="I372" t="s">
        <v>639</v>
      </c>
      <c r="J372" t="s">
        <v>671</v>
      </c>
      <c r="K372" t="s">
        <v>675</v>
      </c>
      <c r="L372" t="s">
        <v>681</v>
      </c>
      <c r="M372" t="s">
        <v>686</v>
      </c>
      <c r="N372" t="s">
        <v>690</v>
      </c>
      <c r="O372" t="s">
        <v>693</v>
      </c>
      <c r="P372" s="4">
        <v>7843920</v>
      </c>
      <c r="Q372">
        <v>0</v>
      </c>
      <c r="R372" s="7">
        <v>3.28</v>
      </c>
      <c r="S372" s="8">
        <f>Table13[[#This Row],[Discount_%]]/100</f>
        <v>3.2799999999999996E-2</v>
      </c>
      <c r="T372" s="6" t="s">
        <v>778</v>
      </c>
      <c r="U372" t="s">
        <v>983</v>
      </c>
      <c r="V372">
        <v>2024</v>
      </c>
      <c r="W372" t="s">
        <v>995</v>
      </c>
      <c r="X372" t="s">
        <v>997</v>
      </c>
      <c r="Y372" t="s">
        <v>1001</v>
      </c>
      <c r="Z372">
        <v>3</v>
      </c>
      <c r="AA372">
        <v>31</v>
      </c>
      <c r="AB372" s="4">
        <f>Table13[[#This Row],[Total_Price]]*(1-Table13[[#This Row],[Discount 2]])</f>
        <v>7586639.4240000006</v>
      </c>
      <c r="AC372" s="4" t="str" cm="1">
        <f t="array" ref="AC372">_xlfn.IFS(Table13[[#This Row],[Revenue]]&gt;=30000000,"High Value",Table13[[#This Row],[Revenue]]&gt;=10000000,"Moderate Value",TRUE,"Low Value")</f>
        <v>Low Value</v>
      </c>
      <c r="AD372" t="str">
        <f>IF(Table13[[#This Row],[Discount 2]]&gt;=5%, "YES", "NO")</f>
        <v>NO</v>
      </c>
      <c r="AE372" t="str" cm="1">
        <f t="array" ref="AE372">_xlfn.IFS(Table13[[#This Row],[Revenue]]&gt;=30000000,"High Spender",Table13[[#This Row],[Revenue]]&gt;=10000000,"Moderate Spender",TRUE,"Low Spender")</f>
        <v>Low Spender</v>
      </c>
      <c r="AF372" s="4" t="str" cm="1">
        <f t="array" ref="AF372">_xlfn.IFS(Table13[[#This Row],[Land_Size_SQM]]&gt;=730,"LARGE",Table13[[#This Row],[Land_Size_SQM]]&gt;=465,"MEDIUM",TRUE,"SMALL")</f>
        <v>MEDIUM</v>
      </c>
    </row>
    <row r="373" spans="1:32" x14ac:dyDescent="0.3">
      <c r="A373" t="s">
        <v>125</v>
      </c>
      <c r="B373" t="s">
        <v>582</v>
      </c>
      <c r="C373" t="s">
        <v>626</v>
      </c>
      <c r="D373">
        <v>36</v>
      </c>
      <c r="E373" t="s">
        <v>629</v>
      </c>
      <c r="F373">
        <v>889</v>
      </c>
      <c r="G373" s="4">
        <v>9183</v>
      </c>
      <c r="H373" s="4">
        <v>8163687</v>
      </c>
      <c r="I373" t="s">
        <v>646</v>
      </c>
      <c r="J373" t="s">
        <v>673</v>
      </c>
      <c r="K373" t="s">
        <v>651</v>
      </c>
      <c r="L373" t="s">
        <v>682</v>
      </c>
      <c r="M373" t="s">
        <v>686</v>
      </c>
      <c r="N373" t="s">
        <v>688</v>
      </c>
      <c r="O373" t="s">
        <v>694</v>
      </c>
      <c r="P373" s="4">
        <v>3584074</v>
      </c>
      <c r="Q373">
        <v>12</v>
      </c>
      <c r="R373" s="7">
        <v>7.25</v>
      </c>
      <c r="S373" s="8">
        <f>Table13[[#This Row],[Discount_%]]/100</f>
        <v>7.2499999999999995E-2</v>
      </c>
      <c r="T373" s="6" t="s">
        <v>779</v>
      </c>
      <c r="U373" t="s">
        <v>984</v>
      </c>
      <c r="V373">
        <v>2024</v>
      </c>
      <c r="W373" t="s">
        <v>993</v>
      </c>
      <c r="X373" t="s">
        <v>997</v>
      </c>
      <c r="Y373" t="s">
        <v>1002</v>
      </c>
      <c r="Z373">
        <v>2</v>
      </c>
      <c r="AA373">
        <v>34</v>
      </c>
      <c r="AB373" s="4">
        <f>Table13[[#This Row],[Total_Price]]*(1-Table13[[#This Row],[Discount 2]])</f>
        <v>7571819.6924999999</v>
      </c>
      <c r="AC373" s="4" t="str" cm="1">
        <f t="array" ref="AC373">_xlfn.IFS(Table13[[#This Row],[Revenue]]&gt;=30000000,"High Value",Table13[[#This Row],[Revenue]]&gt;=10000000,"Moderate Value",TRUE,"Low Value")</f>
        <v>Low Value</v>
      </c>
      <c r="AD373" t="str">
        <f>IF(Table13[[#This Row],[Discount 2]]&gt;=5%, "YES", "NO")</f>
        <v>YES</v>
      </c>
      <c r="AE373" t="str" cm="1">
        <f t="array" ref="AE373">_xlfn.IFS(Table13[[#This Row],[Revenue]]&gt;=30000000,"High Spender",Table13[[#This Row],[Revenue]]&gt;=10000000,"Moderate Spender",TRUE,"Low Spender")</f>
        <v>Low Spender</v>
      </c>
      <c r="AF373" s="4" t="str" cm="1">
        <f t="array" ref="AF373">_xlfn.IFS(Table13[[#This Row],[Land_Size_SQM]]&gt;=730,"LARGE",Table13[[#This Row],[Land_Size_SQM]]&gt;=465,"MEDIUM",TRUE,"SMALL")</f>
        <v>LARGE</v>
      </c>
    </row>
    <row r="374" spans="1:32" x14ac:dyDescent="0.3">
      <c r="A374" t="s">
        <v>93</v>
      </c>
      <c r="B374" t="s">
        <v>566</v>
      </c>
      <c r="C374" t="s">
        <v>626</v>
      </c>
      <c r="D374">
        <v>53</v>
      </c>
      <c r="E374" t="s">
        <v>629</v>
      </c>
      <c r="F374">
        <v>479</v>
      </c>
      <c r="G374" s="4">
        <v>16127</v>
      </c>
      <c r="H374" s="4">
        <v>7724833</v>
      </c>
      <c r="I374" t="s">
        <v>660</v>
      </c>
      <c r="J374" t="s">
        <v>672</v>
      </c>
      <c r="K374" t="s">
        <v>640</v>
      </c>
      <c r="L374" t="s">
        <v>681</v>
      </c>
      <c r="M374" t="s">
        <v>685</v>
      </c>
      <c r="N374" t="s">
        <v>688</v>
      </c>
      <c r="O374" t="s">
        <v>693</v>
      </c>
      <c r="P374" s="4">
        <v>7724833</v>
      </c>
      <c r="Q374">
        <v>0</v>
      </c>
      <c r="R374" s="7">
        <v>3.45</v>
      </c>
      <c r="S374" s="8">
        <f>Table13[[#This Row],[Discount_%]]/100</f>
        <v>3.4500000000000003E-2</v>
      </c>
      <c r="T374" s="6" t="s">
        <v>756</v>
      </c>
      <c r="U374" t="s">
        <v>981</v>
      </c>
      <c r="V374">
        <v>2024</v>
      </c>
      <c r="W374" t="s">
        <v>995</v>
      </c>
      <c r="X374" t="s">
        <v>997</v>
      </c>
      <c r="Y374" t="s">
        <v>1000</v>
      </c>
      <c r="Z374">
        <v>1</v>
      </c>
      <c r="AA374">
        <v>14</v>
      </c>
      <c r="AB374" s="4">
        <f>Table13[[#This Row],[Total_Price]]*(1-Table13[[#This Row],[Discount 2]])</f>
        <v>7458326.2615</v>
      </c>
      <c r="AC374" s="4" t="str" cm="1">
        <f t="array" ref="AC374">_xlfn.IFS(Table13[[#This Row],[Revenue]]&gt;=30000000,"High Value",Table13[[#This Row],[Revenue]]&gt;=10000000,"Moderate Value",TRUE,"Low Value")</f>
        <v>Low Value</v>
      </c>
      <c r="AD374" t="str">
        <f>IF(Table13[[#This Row],[Discount 2]]&gt;=5%, "YES", "NO")</f>
        <v>NO</v>
      </c>
      <c r="AE374" t="str" cm="1">
        <f t="array" ref="AE374">_xlfn.IFS(Table13[[#This Row],[Revenue]]&gt;=30000000,"High Spender",Table13[[#This Row],[Revenue]]&gt;=10000000,"Moderate Spender",TRUE,"Low Spender")</f>
        <v>Low Spender</v>
      </c>
      <c r="AF374" s="4" t="str" cm="1">
        <f t="array" ref="AF374">_xlfn.IFS(Table13[[#This Row],[Land_Size_SQM]]&gt;=730,"LARGE",Table13[[#This Row],[Land_Size_SQM]]&gt;=465,"MEDIUM",TRUE,"SMALL")</f>
        <v>MEDIUM</v>
      </c>
    </row>
    <row r="375" spans="1:32" x14ac:dyDescent="0.3">
      <c r="A375" t="s">
        <v>275</v>
      </c>
      <c r="B375" t="s">
        <v>546</v>
      </c>
      <c r="C375" t="s">
        <v>627</v>
      </c>
      <c r="D375">
        <v>33</v>
      </c>
      <c r="E375" t="s">
        <v>628</v>
      </c>
      <c r="F375">
        <v>623</v>
      </c>
      <c r="G375" s="4">
        <v>12965</v>
      </c>
      <c r="H375" s="4">
        <v>8077195</v>
      </c>
      <c r="I375" t="s">
        <v>665</v>
      </c>
      <c r="J375" t="s">
        <v>672</v>
      </c>
      <c r="K375" t="s">
        <v>678</v>
      </c>
      <c r="L375" t="s">
        <v>681</v>
      </c>
      <c r="M375" t="s">
        <v>685</v>
      </c>
      <c r="N375" t="s">
        <v>689</v>
      </c>
      <c r="O375" t="s">
        <v>693</v>
      </c>
      <c r="P375" s="4">
        <v>8077195</v>
      </c>
      <c r="Q375">
        <v>0</v>
      </c>
      <c r="R375" s="7">
        <v>8.5399999999999991</v>
      </c>
      <c r="S375" s="8">
        <f>Table13[[#This Row],[Discount_%]]/100</f>
        <v>8.539999999999999E-2</v>
      </c>
      <c r="T375" s="6" t="s">
        <v>878</v>
      </c>
      <c r="U375" t="s">
        <v>987</v>
      </c>
      <c r="V375">
        <v>2024</v>
      </c>
      <c r="W375" t="s">
        <v>993</v>
      </c>
      <c r="X375" t="s">
        <v>998</v>
      </c>
      <c r="Y375" t="s">
        <v>1001</v>
      </c>
      <c r="Z375">
        <v>1</v>
      </c>
      <c r="AA375">
        <v>2</v>
      </c>
      <c r="AB375" s="4">
        <f>Table13[[#This Row],[Total_Price]]*(1-Table13[[#This Row],[Discount 2]])</f>
        <v>7387402.5469999993</v>
      </c>
      <c r="AC375" s="4" t="str" cm="1">
        <f t="array" ref="AC375">_xlfn.IFS(Table13[[#This Row],[Revenue]]&gt;=30000000,"High Value",Table13[[#This Row],[Revenue]]&gt;=10000000,"Moderate Value",TRUE,"Low Value")</f>
        <v>Low Value</v>
      </c>
      <c r="AD375" t="str">
        <f>IF(Table13[[#This Row],[Discount 2]]&gt;=5%, "YES", "NO")</f>
        <v>YES</v>
      </c>
      <c r="AE375" t="str" cm="1">
        <f t="array" ref="AE375">_xlfn.IFS(Table13[[#This Row],[Revenue]]&gt;=30000000,"High Spender",Table13[[#This Row],[Revenue]]&gt;=10000000,"Moderate Spender",TRUE,"Low Spender")</f>
        <v>Low Spender</v>
      </c>
      <c r="AF375" s="4" t="str" cm="1">
        <f t="array" ref="AF375">_xlfn.IFS(Table13[[#This Row],[Land_Size_SQM]]&gt;=730,"LARGE",Table13[[#This Row],[Land_Size_SQM]]&gt;=465,"MEDIUM",TRUE,"SMALL")</f>
        <v>MEDIUM</v>
      </c>
    </row>
    <row r="376" spans="1:32" x14ac:dyDescent="0.3">
      <c r="A376" t="s">
        <v>195</v>
      </c>
      <c r="B376" t="s">
        <v>598</v>
      </c>
      <c r="C376" t="s">
        <v>627</v>
      </c>
      <c r="D376">
        <v>65</v>
      </c>
      <c r="E376" t="s">
        <v>629</v>
      </c>
      <c r="F376">
        <v>563</v>
      </c>
      <c r="G376" s="4">
        <v>13384</v>
      </c>
      <c r="H376" s="4">
        <v>7535192</v>
      </c>
      <c r="I376" t="s">
        <v>656</v>
      </c>
      <c r="J376" t="s">
        <v>669</v>
      </c>
      <c r="K376" t="s">
        <v>640</v>
      </c>
      <c r="L376" t="s">
        <v>681</v>
      </c>
      <c r="M376" t="s">
        <v>686</v>
      </c>
      <c r="N376" t="s">
        <v>692</v>
      </c>
      <c r="O376" t="s">
        <v>693</v>
      </c>
      <c r="P376" s="4">
        <v>7535192</v>
      </c>
      <c r="Q376">
        <v>0</v>
      </c>
      <c r="R376" s="7">
        <v>2.37</v>
      </c>
      <c r="S376" s="8">
        <f>Table13[[#This Row],[Discount_%]]/100</f>
        <v>2.3700000000000002E-2</v>
      </c>
      <c r="T376" s="6" t="s">
        <v>826</v>
      </c>
      <c r="U376" t="s">
        <v>982</v>
      </c>
      <c r="V376">
        <v>2024</v>
      </c>
      <c r="W376" t="s">
        <v>996</v>
      </c>
      <c r="X376" t="s">
        <v>997</v>
      </c>
      <c r="Y376" t="s">
        <v>1000</v>
      </c>
      <c r="Z376">
        <v>4</v>
      </c>
      <c r="AA376">
        <v>35</v>
      </c>
      <c r="AB376" s="4">
        <f>Table13[[#This Row],[Total_Price]]*(1-Table13[[#This Row],[Discount 2]])</f>
        <v>7356607.9495999999</v>
      </c>
      <c r="AC376" s="4" t="str" cm="1">
        <f t="array" ref="AC376">_xlfn.IFS(Table13[[#This Row],[Revenue]]&gt;=30000000,"High Value",Table13[[#This Row],[Revenue]]&gt;=10000000,"Moderate Value",TRUE,"Low Value")</f>
        <v>Low Value</v>
      </c>
      <c r="AD376" t="str">
        <f>IF(Table13[[#This Row],[Discount 2]]&gt;=5%, "YES", "NO")</f>
        <v>NO</v>
      </c>
      <c r="AE376" t="str" cm="1">
        <f t="array" ref="AE376">_xlfn.IFS(Table13[[#This Row],[Revenue]]&gt;=30000000,"High Spender",Table13[[#This Row],[Revenue]]&gt;=10000000,"Moderate Spender",TRUE,"Low Spender")</f>
        <v>Low Spender</v>
      </c>
      <c r="AF376" s="4" t="str" cm="1">
        <f t="array" ref="AF376">_xlfn.IFS(Table13[[#This Row],[Land_Size_SQM]]&gt;=730,"LARGE",Table13[[#This Row],[Land_Size_SQM]]&gt;=465,"MEDIUM",TRUE,"SMALL")</f>
        <v>MEDIUM</v>
      </c>
    </row>
    <row r="377" spans="1:32" x14ac:dyDescent="0.3">
      <c r="A377" t="s">
        <v>381</v>
      </c>
      <c r="B377" t="s">
        <v>550</v>
      </c>
      <c r="C377" t="s">
        <v>627</v>
      </c>
      <c r="D377">
        <v>62</v>
      </c>
      <c r="E377" t="s">
        <v>630</v>
      </c>
      <c r="F377">
        <v>972</v>
      </c>
      <c r="G377" s="4">
        <v>8324</v>
      </c>
      <c r="H377" s="4">
        <v>8090928</v>
      </c>
      <c r="I377" t="s">
        <v>646</v>
      </c>
      <c r="J377" t="s">
        <v>673</v>
      </c>
      <c r="K377" t="s">
        <v>664</v>
      </c>
      <c r="L377" t="s">
        <v>680</v>
      </c>
      <c r="M377" t="s">
        <v>685</v>
      </c>
      <c r="N377" t="s">
        <v>688</v>
      </c>
      <c r="O377" t="s">
        <v>693</v>
      </c>
      <c r="P377" s="4">
        <v>8090928</v>
      </c>
      <c r="Q377">
        <v>0</v>
      </c>
      <c r="R377" s="7">
        <v>9.1999999999999993</v>
      </c>
      <c r="S377" s="8">
        <f>Table13[[#This Row],[Discount_%]]/100</f>
        <v>9.1999999999999998E-2</v>
      </c>
      <c r="T377" s="6" t="s">
        <v>942</v>
      </c>
      <c r="U377" t="s">
        <v>990</v>
      </c>
      <c r="V377">
        <v>2024</v>
      </c>
      <c r="W377" t="s">
        <v>994</v>
      </c>
      <c r="X377" t="s">
        <v>997</v>
      </c>
      <c r="Y377" t="s">
        <v>1002</v>
      </c>
      <c r="Z377">
        <v>3</v>
      </c>
      <c r="AA377">
        <v>11</v>
      </c>
      <c r="AB377" s="4">
        <f>Table13[[#This Row],[Total_Price]]*(1-Table13[[#This Row],[Discount 2]])</f>
        <v>7346562.6239999998</v>
      </c>
      <c r="AC377" s="4" t="str" cm="1">
        <f t="array" ref="AC377">_xlfn.IFS(Table13[[#This Row],[Revenue]]&gt;=30000000,"High Value",Table13[[#This Row],[Revenue]]&gt;=10000000,"Moderate Value",TRUE,"Low Value")</f>
        <v>Low Value</v>
      </c>
      <c r="AD377" t="str">
        <f>IF(Table13[[#This Row],[Discount 2]]&gt;=5%, "YES", "NO")</f>
        <v>YES</v>
      </c>
      <c r="AE377" t="str" cm="1">
        <f t="array" ref="AE377">_xlfn.IFS(Table13[[#This Row],[Revenue]]&gt;=30000000,"High Spender",Table13[[#This Row],[Revenue]]&gt;=10000000,"Moderate Spender",TRUE,"Low Spender")</f>
        <v>Low Spender</v>
      </c>
      <c r="AF377" s="4" t="str" cm="1">
        <f t="array" ref="AF377">_xlfn.IFS(Table13[[#This Row],[Land_Size_SQM]]&gt;=730,"LARGE",Table13[[#This Row],[Land_Size_SQM]]&gt;=465,"MEDIUM",TRUE,"SMALL")</f>
        <v>LARGE</v>
      </c>
    </row>
    <row r="378" spans="1:32" x14ac:dyDescent="0.3">
      <c r="A378" t="s">
        <v>37</v>
      </c>
      <c r="B378" t="s">
        <v>537</v>
      </c>
      <c r="C378" t="s">
        <v>627</v>
      </c>
      <c r="D378">
        <v>37</v>
      </c>
      <c r="E378" t="s">
        <v>630</v>
      </c>
      <c r="F378">
        <v>262</v>
      </c>
      <c r="G378" s="4">
        <v>28386</v>
      </c>
      <c r="H378" s="4">
        <v>7437132</v>
      </c>
      <c r="I378" t="s">
        <v>631</v>
      </c>
      <c r="J378" t="s">
        <v>668</v>
      </c>
      <c r="K378" t="s">
        <v>676</v>
      </c>
      <c r="L378" t="s">
        <v>680</v>
      </c>
      <c r="M378" t="s">
        <v>685</v>
      </c>
      <c r="N378" t="s">
        <v>691</v>
      </c>
      <c r="O378" t="s">
        <v>694</v>
      </c>
      <c r="P378" s="4">
        <v>2042213</v>
      </c>
      <c r="Q378">
        <v>3</v>
      </c>
      <c r="R378" s="7">
        <v>1.9</v>
      </c>
      <c r="S378" s="8">
        <f>Table13[[#This Row],[Discount_%]]/100</f>
        <v>1.9E-2</v>
      </c>
      <c r="T378" s="6" t="s">
        <v>706</v>
      </c>
      <c r="U378" t="s">
        <v>989</v>
      </c>
      <c r="V378">
        <v>2024</v>
      </c>
      <c r="W378" t="s">
        <v>993</v>
      </c>
      <c r="X378" t="s">
        <v>999</v>
      </c>
      <c r="Y378" t="s">
        <v>1001</v>
      </c>
      <c r="Z378">
        <v>5</v>
      </c>
      <c r="AA378">
        <v>1</v>
      </c>
      <c r="AB378" s="4">
        <f>Table13[[#This Row],[Total_Price]]*(1-Table13[[#This Row],[Discount 2]])</f>
        <v>7295826.4919999996</v>
      </c>
      <c r="AC378" s="4" t="str" cm="1">
        <f t="array" ref="AC378">_xlfn.IFS(Table13[[#This Row],[Revenue]]&gt;=30000000,"High Value",Table13[[#This Row],[Revenue]]&gt;=10000000,"Moderate Value",TRUE,"Low Value")</f>
        <v>Low Value</v>
      </c>
      <c r="AD378" t="str">
        <f>IF(Table13[[#This Row],[Discount 2]]&gt;=5%, "YES", "NO")</f>
        <v>NO</v>
      </c>
      <c r="AE378" t="str" cm="1">
        <f t="array" ref="AE378">_xlfn.IFS(Table13[[#This Row],[Revenue]]&gt;=30000000,"High Spender",Table13[[#This Row],[Revenue]]&gt;=10000000,"Moderate Spender",TRUE,"Low Spender")</f>
        <v>Low Spender</v>
      </c>
      <c r="AF378" s="4" t="str" cm="1">
        <f t="array" ref="AF378">_xlfn.IFS(Table13[[#This Row],[Land_Size_SQM]]&gt;=730,"LARGE",Table13[[#This Row],[Land_Size_SQM]]&gt;=465,"MEDIUM",TRUE,"SMALL")</f>
        <v>SMALL</v>
      </c>
    </row>
    <row r="379" spans="1:32" x14ac:dyDescent="0.3">
      <c r="A379" t="s">
        <v>483</v>
      </c>
      <c r="B379" t="s">
        <v>545</v>
      </c>
      <c r="C379" t="s">
        <v>627</v>
      </c>
      <c r="D379">
        <v>52</v>
      </c>
      <c r="E379" t="s">
        <v>629</v>
      </c>
      <c r="F379">
        <v>540</v>
      </c>
      <c r="G379" s="4">
        <v>13490</v>
      </c>
      <c r="H379" s="4">
        <v>7284600</v>
      </c>
      <c r="I379" t="s">
        <v>633</v>
      </c>
      <c r="J379" t="s">
        <v>668</v>
      </c>
      <c r="K379" t="s">
        <v>638</v>
      </c>
      <c r="L379" t="s">
        <v>682</v>
      </c>
      <c r="M379" t="s">
        <v>685</v>
      </c>
      <c r="N379" t="s">
        <v>688</v>
      </c>
      <c r="O379" t="s">
        <v>694</v>
      </c>
      <c r="P379" s="4">
        <v>1604463</v>
      </c>
      <c r="Q379">
        <v>24</v>
      </c>
      <c r="R379" s="7">
        <v>0.18</v>
      </c>
      <c r="S379" s="8">
        <f>Table13[[#This Row],[Discount_%]]/100</f>
        <v>1.8E-3</v>
      </c>
      <c r="T379" s="6" t="s">
        <v>906</v>
      </c>
      <c r="U379" t="s">
        <v>985</v>
      </c>
      <c r="V379">
        <v>2024</v>
      </c>
      <c r="W379" t="s">
        <v>993</v>
      </c>
      <c r="X379" t="s">
        <v>997</v>
      </c>
      <c r="Y379" t="s">
        <v>1000</v>
      </c>
      <c r="Z379">
        <v>3</v>
      </c>
      <c r="AA379">
        <v>16</v>
      </c>
      <c r="AB379" s="4">
        <f>Table13[[#This Row],[Total_Price]]*(1-Table13[[#This Row],[Discount 2]])</f>
        <v>7271487.7199999997</v>
      </c>
      <c r="AC379" s="4" t="str" cm="1">
        <f t="array" ref="AC379">_xlfn.IFS(Table13[[#This Row],[Revenue]]&gt;=30000000,"High Value",Table13[[#This Row],[Revenue]]&gt;=10000000,"Moderate Value",TRUE,"Low Value")</f>
        <v>Low Value</v>
      </c>
      <c r="AD379" t="str">
        <f>IF(Table13[[#This Row],[Discount 2]]&gt;=5%, "YES", "NO")</f>
        <v>NO</v>
      </c>
      <c r="AE379" t="str" cm="1">
        <f t="array" ref="AE379">_xlfn.IFS(Table13[[#This Row],[Revenue]]&gt;=30000000,"High Spender",Table13[[#This Row],[Revenue]]&gt;=10000000,"Moderate Spender",TRUE,"Low Spender")</f>
        <v>Low Spender</v>
      </c>
      <c r="AF379" s="4" t="str" cm="1">
        <f t="array" ref="AF379">_xlfn.IFS(Table13[[#This Row],[Land_Size_SQM]]&gt;=730,"LARGE",Table13[[#This Row],[Land_Size_SQM]]&gt;=465,"MEDIUM",TRUE,"SMALL")</f>
        <v>MEDIUM</v>
      </c>
    </row>
    <row r="380" spans="1:32" x14ac:dyDescent="0.3">
      <c r="A380" t="s">
        <v>199</v>
      </c>
      <c r="B380" t="s">
        <v>571</v>
      </c>
      <c r="C380" t="s">
        <v>626</v>
      </c>
      <c r="D380">
        <v>20</v>
      </c>
      <c r="E380" t="s">
        <v>630</v>
      </c>
      <c r="F380">
        <v>708</v>
      </c>
      <c r="G380" s="4">
        <v>11217</v>
      </c>
      <c r="H380" s="4">
        <v>7941636</v>
      </c>
      <c r="I380" t="s">
        <v>656</v>
      </c>
      <c r="J380" t="s">
        <v>669</v>
      </c>
      <c r="K380" t="s">
        <v>676</v>
      </c>
      <c r="L380" t="s">
        <v>680</v>
      </c>
      <c r="M380" t="s">
        <v>683</v>
      </c>
      <c r="N380" t="s">
        <v>689</v>
      </c>
      <c r="O380" t="s">
        <v>694</v>
      </c>
      <c r="P380" s="4">
        <v>2155350</v>
      </c>
      <c r="Q380">
        <v>3</v>
      </c>
      <c r="R380" s="7">
        <v>9.82</v>
      </c>
      <c r="S380" s="8">
        <f>Table13[[#This Row],[Discount_%]]/100</f>
        <v>9.820000000000001E-2</v>
      </c>
      <c r="T380" s="6" t="s">
        <v>829</v>
      </c>
      <c r="U380" t="s">
        <v>987</v>
      </c>
      <c r="V380">
        <v>2024</v>
      </c>
      <c r="W380" t="s">
        <v>994</v>
      </c>
      <c r="X380" t="s">
        <v>998</v>
      </c>
      <c r="Y380" t="s">
        <v>1000</v>
      </c>
      <c r="Z380">
        <v>1</v>
      </c>
      <c r="AA380">
        <v>4</v>
      </c>
      <c r="AB380" s="4">
        <f>Table13[[#This Row],[Total_Price]]*(1-Table13[[#This Row],[Discount 2]])</f>
        <v>7161767.3447999991</v>
      </c>
      <c r="AC380" s="4" t="str" cm="1">
        <f t="array" ref="AC380">_xlfn.IFS(Table13[[#This Row],[Revenue]]&gt;=30000000,"High Value",Table13[[#This Row],[Revenue]]&gt;=10000000,"Moderate Value",TRUE,"Low Value")</f>
        <v>Low Value</v>
      </c>
      <c r="AD380" t="str">
        <f>IF(Table13[[#This Row],[Discount 2]]&gt;=5%, "YES", "NO")</f>
        <v>YES</v>
      </c>
      <c r="AE380" t="str" cm="1">
        <f t="array" ref="AE380">_xlfn.IFS(Table13[[#This Row],[Revenue]]&gt;=30000000,"High Spender",Table13[[#This Row],[Revenue]]&gt;=10000000,"Moderate Spender",TRUE,"Low Spender")</f>
        <v>Low Spender</v>
      </c>
      <c r="AF380" s="4" t="str" cm="1">
        <f t="array" ref="AF380">_xlfn.IFS(Table13[[#This Row],[Land_Size_SQM]]&gt;=730,"LARGE",Table13[[#This Row],[Land_Size_SQM]]&gt;=465,"MEDIUM",TRUE,"SMALL")</f>
        <v>MEDIUM</v>
      </c>
    </row>
    <row r="381" spans="1:32" x14ac:dyDescent="0.3">
      <c r="A381" t="s">
        <v>99</v>
      </c>
      <c r="B381" t="s">
        <v>574</v>
      </c>
      <c r="C381" t="s">
        <v>626</v>
      </c>
      <c r="D381">
        <v>48</v>
      </c>
      <c r="E381" t="s">
        <v>629</v>
      </c>
      <c r="F381">
        <v>305</v>
      </c>
      <c r="G381" s="4">
        <v>24507</v>
      </c>
      <c r="H381" s="4">
        <v>7474635</v>
      </c>
      <c r="I381" t="s">
        <v>649</v>
      </c>
      <c r="J381" t="s">
        <v>669</v>
      </c>
      <c r="K381" t="s">
        <v>678</v>
      </c>
      <c r="L381" t="s">
        <v>682</v>
      </c>
      <c r="M381" t="s">
        <v>686</v>
      </c>
      <c r="N381" t="s">
        <v>688</v>
      </c>
      <c r="O381" t="s">
        <v>693</v>
      </c>
      <c r="P381" s="4">
        <v>7474635</v>
      </c>
      <c r="Q381">
        <v>0</v>
      </c>
      <c r="R381" s="7">
        <v>5.05</v>
      </c>
      <c r="S381" s="8">
        <f>Table13[[#This Row],[Discount_%]]/100</f>
        <v>5.0499999999999996E-2</v>
      </c>
      <c r="T381" s="6" t="s">
        <v>760</v>
      </c>
      <c r="U381" t="s">
        <v>987</v>
      </c>
      <c r="V381">
        <v>2024</v>
      </c>
      <c r="W381" t="s">
        <v>994</v>
      </c>
      <c r="X381" t="s">
        <v>998</v>
      </c>
      <c r="Y381" t="s">
        <v>1002</v>
      </c>
      <c r="Z381">
        <v>4</v>
      </c>
      <c r="AA381">
        <v>27</v>
      </c>
      <c r="AB381" s="4">
        <f>Table13[[#This Row],[Total_Price]]*(1-Table13[[#This Row],[Discount 2]])</f>
        <v>7097165.9325000001</v>
      </c>
      <c r="AC381" s="4" t="str" cm="1">
        <f t="array" ref="AC381">_xlfn.IFS(Table13[[#This Row],[Revenue]]&gt;=30000000,"High Value",Table13[[#This Row],[Revenue]]&gt;=10000000,"Moderate Value",TRUE,"Low Value")</f>
        <v>Low Value</v>
      </c>
      <c r="AD381" t="str">
        <f>IF(Table13[[#This Row],[Discount 2]]&gt;=5%, "YES", "NO")</f>
        <v>YES</v>
      </c>
      <c r="AE381" t="str" cm="1">
        <f t="array" ref="AE381">_xlfn.IFS(Table13[[#This Row],[Revenue]]&gt;=30000000,"High Spender",Table13[[#This Row],[Revenue]]&gt;=10000000,"Moderate Spender",TRUE,"Low Spender")</f>
        <v>Low Spender</v>
      </c>
      <c r="AF381" s="4" t="str" cm="1">
        <f t="array" ref="AF381">_xlfn.IFS(Table13[[#This Row],[Land_Size_SQM]]&gt;=730,"LARGE",Table13[[#This Row],[Land_Size_SQM]]&gt;=465,"MEDIUM",TRUE,"SMALL")</f>
        <v>SMALL</v>
      </c>
    </row>
    <row r="382" spans="1:32" x14ac:dyDescent="0.3">
      <c r="A382" t="s">
        <v>427</v>
      </c>
      <c r="B382" t="s">
        <v>531</v>
      </c>
      <c r="C382" t="s">
        <v>627</v>
      </c>
      <c r="D382">
        <v>59</v>
      </c>
      <c r="E382" t="s">
        <v>629</v>
      </c>
      <c r="F382">
        <v>885</v>
      </c>
      <c r="G382" s="4">
        <v>8825</v>
      </c>
      <c r="H382" s="4">
        <v>7810125</v>
      </c>
      <c r="I382" t="s">
        <v>644</v>
      </c>
      <c r="J382" t="s">
        <v>668</v>
      </c>
      <c r="K382" t="s">
        <v>674</v>
      </c>
      <c r="L382" t="s">
        <v>680</v>
      </c>
      <c r="M382" t="s">
        <v>686</v>
      </c>
      <c r="N382" t="s">
        <v>689</v>
      </c>
      <c r="O382" t="s">
        <v>693</v>
      </c>
      <c r="P382" s="4">
        <v>7810125</v>
      </c>
      <c r="Q382">
        <v>0</v>
      </c>
      <c r="R382" s="7">
        <v>9.27</v>
      </c>
      <c r="S382" s="8">
        <f>Table13[[#This Row],[Discount_%]]/100</f>
        <v>9.2699999999999991E-2</v>
      </c>
      <c r="T382" s="6" t="s">
        <v>955</v>
      </c>
      <c r="U382" t="s">
        <v>989</v>
      </c>
      <c r="V382">
        <v>2024</v>
      </c>
      <c r="W382" t="s">
        <v>993</v>
      </c>
      <c r="X382" t="s">
        <v>999</v>
      </c>
      <c r="Y382" t="s">
        <v>1001</v>
      </c>
      <c r="Z382">
        <v>1</v>
      </c>
      <c r="AA382">
        <v>14</v>
      </c>
      <c r="AB382" s="4">
        <f>Table13[[#This Row],[Total_Price]]*(1-Table13[[#This Row],[Discount 2]])</f>
        <v>7086126.4124999996</v>
      </c>
      <c r="AC382" s="4" t="str" cm="1">
        <f t="array" ref="AC382">_xlfn.IFS(Table13[[#This Row],[Revenue]]&gt;=30000000,"High Value",Table13[[#This Row],[Revenue]]&gt;=10000000,"Moderate Value",TRUE,"Low Value")</f>
        <v>Low Value</v>
      </c>
      <c r="AD382" t="str">
        <f>IF(Table13[[#This Row],[Discount 2]]&gt;=5%, "YES", "NO")</f>
        <v>YES</v>
      </c>
      <c r="AE382" t="str" cm="1">
        <f t="array" ref="AE382">_xlfn.IFS(Table13[[#This Row],[Revenue]]&gt;=30000000,"High Spender",Table13[[#This Row],[Revenue]]&gt;=10000000,"Moderate Spender",TRUE,"Low Spender")</f>
        <v>Low Spender</v>
      </c>
      <c r="AF382" s="4" t="str" cm="1">
        <f t="array" ref="AF382">_xlfn.IFS(Table13[[#This Row],[Land_Size_SQM]]&gt;=730,"LARGE",Table13[[#This Row],[Land_Size_SQM]]&gt;=465,"MEDIUM",TRUE,"SMALL")</f>
        <v>LARGE</v>
      </c>
    </row>
    <row r="383" spans="1:32" x14ac:dyDescent="0.3">
      <c r="A383" t="s">
        <v>490</v>
      </c>
      <c r="B383" t="s">
        <v>577</v>
      </c>
      <c r="C383" t="s">
        <v>627</v>
      </c>
      <c r="D383">
        <v>32</v>
      </c>
      <c r="E383" t="s">
        <v>630</v>
      </c>
      <c r="F383">
        <v>272</v>
      </c>
      <c r="G383" s="4">
        <v>28790</v>
      </c>
      <c r="H383" s="4">
        <v>7830880</v>
      </c>
      <c r="I383" t="s">
        <v>645</v>
      </c>
      <c r="J383" t="s">
        <v>670</v>
      </c>
      <c r="K383" t="s">
        <v>674</v>
      </c>
      <c r="L383" t="s">
        <v>681</v>
      </c>
      <c r="M383" t="s">
        <v>687</v>
      </c>
      <c r="N383" t="s">
        <v>692</v>
      </c>
      <c r="O383" t="s">
        <v>693</v>
      </c>
      <c r="P383" s="4">
        <v>7830880</v>
      </c>
      <c r="Q383">
        <v>0</v>
      </c>
      <c r="R383" s="7">
        <v>9.92</v>
      </c>
      <c r="S383" s="8">
        <f>Table13[[#This Row],[Discount_%]]/100</f>
        <v>9.9199999999999997E-2</v>
      </c>
      <c r="T383" s="6" t="s">
        <v>907</v>
      </c>
      <c r="U383" t="s">
        <v>987</v>
      </c>
      <c r="V383">
        <v>2024</v>
      </c>
      <c r="W383" t="s">
        <v>995</v>
      </c>
      <c r="X383" t="s">
        <v>997</v>
      </c>
      <c r="Y383" t="s">
        <v>1001</v>
      </c>
      <c r="Z383">
        <v>3</v>
      </c>
      <c r="AA383">
        <v>45</v>
      </c>
      <c r="AB383" s="4">
        <f>Table13[[#This Row],[Total_Price]]*(1-Table13[[#This Row],[Discount 2]])</f>
        <v>7054056.7039999999</v>
      </c>
      <c r="AC383" s="4" t="str" cm="1">
        <f t="array" ref="AC383">_xlfn.IFS(Table13[[#This Row],[Revenue]]&gt;=30000000,"High Value",Table13[[#This Row],[Revenue]]&gt;=10000000,"Moderate Value",TRUE,"Low Value")</f>
        <v>Low Value</v>
      </c>
      <c r="AD383" t="str">
        <f>IF(Table13[[#This Row],[Discount 2]]&gt;=5%, "YES", "NO")</f>
        <v>YES</v>
      </c>
      <c r="AE383" t="str" cm="1">
        <f t="array" ref="AE383">_xlfn.IFS(Table13[[#This Row],[Revenue]]&gt;=30000000,"High Spender",Table13[[#This Row],[Revenue]]&gt;=10000000,"Moderate Spender",TRUE,"Low Spender")</f>
        <v>Low Spender</v>
      </c>
      <c r="AF383" s="4" t="str" cm="1">
        <f t="array" ref="AF383">_xlfn.IFS(Table13[[#This Row],[Land_Size_SQM]]&gt;=730,"LARGE",Table13[[#This Row],[Land_Size_SQM]]&gt;=465,"MEDIUM",TRUE,"SMALL")</f>
        <v>SMALL</v>
      </c>
    </row>
    <row r="384" spans="1:32" x14ac:dyDescent="0.3">
      <c r="A384" t="s">
        <v>89</v>
      </c>
      <c r="B384" t="s">
        <v>571</v>
      </c>
      <c r="C384" t="s">
        <v>627</v>
      </c>
      <c r="D384">
        <v>55</v>
      </c>
      <c r="E384" t="s">
        <v>628</v>
      </c>
      <c r="F384">
        <v>583</v>
      </c>
      <c r="G384" s="4">
        <v>12003</v>
      </c>
      <c r="H384" s="4">
        <v>6997749</v>
      </c>
      <c r="I384" t="s">
        <v>645</v>
      </c>
      <c r="J384" t="s">
        <v>670</v>
      </c>
      <c r="K384" t="s">
        <v>677</v>
      </c>
      <c r="L384" t="s">
        <v>682</v>
      </c>
      <c r="M384" t="s">
        <v>686</v>
      </c>
      <c r="N384" t="s">
        <v>692</v>
      </c>
      <c r="O384" t="s">
        <v>694</v>
      </c>
      <c r="P384" s="4">
        <v>1591060</v>
      </c>
      <c r="Q384">
        <v>3</v>
      </c>
      <c r="R384" s="7">
        <v>0.85</v>
      </c>
      <c r="S384" s="8">
        <f>Table13[[#This Row],[Discount_%]]/100</f>
        <v>8.5000000000000006E-3</v>
      </c>
      <c r="T384" s="6" t="s">
        <v>752</v>
      </c>
      <c r="U384" t="s">
        <v>989</v>
      </c>
      <c r="V384">
        <v>2024</v>
      </c>
      <c r="W384" t="s">
        <v>994</v>
      </c>
      <c r="X384" t="s">
        <v>997</v>
      </c>
      <c r="Y384" t="s">
        <v>1000</v>
      </c>
      <c r="Z384">
        <v>4</v>
      </c>
      <c r="AA384">
        <v>23</v>
      </c>
      <c r="AB384" s="4">
        <f>Table13[[#This Row],[Total_Price]]*(1-Table13[[#This Row],[Discount 2]])</f>
        <v>6938268.1335000005</v>
      </c>
      <c r="AC384" s="4" t="str" cm="1">
        <f t="array" ref="AC384">_xlfn.IFS(Table13[[#This Row],[Revenue]]&gt;=30000000,"High Value",Table13[[#This Row],[Revenue]]&gt;=10000000,"Moderate Value",TRUE,"Low Value")</f>
        <v>Low Value</v>
      </c>
      <c r="AD384" t="str">
        <f>IF(Table13[[#This Row],[Discount 2]]&gt;=5%, "YES", "NO")</f>
        <v>NO</v>
      </c>
      <c r="AE384" t="str" cm="1">
        <f t="array" ref="AE384">_xlfn.IFS(Table13[[#This Row],[Revenue]]&gt;=30000000,"High Spender",Table13[[#This Row],[Revenue]]&gt;=10000000,"Moderate Spender",TRUE,"Low Spender")</f>
        <v>Low Spender</v>
      </c>
      <c r="AF384" s="4" t="str" cm="1">
        <f t="array" ref="AF384">_xlfn.IFS(Table13[[#This Row],[Land_Size_SQM]]&gt;=730,"LARGE",Table13[[#This Row],[Land_Size_SQM]]&gt;=465,"MEDIUM",TRUE,"SMALL")</f>
        <v>MEDIUM</v>
      </c>
    </row>
    <row r="385" spans="1:32" x14ac:dyDescent="0.3">
      <c r="A385" t="s">
        <v>472</v>
      </c>
      <c r="B385" t="s">
        <v>605</v>
      </c>
      <c r="C385" t="s">
        <v>626</v>
      </c>
      <c r="D385">
        <v>53</v>
      </c>
      <c r="E385" t="s">
        <v>628</v>
      </c>
      <c r="F385">
        <v>271</v>
      </c>
      <c r="G385" s="4">
        <v>27289</v>
      </c>
      <c r="H385" s="4">
        <v>7395319</v>
      </c>
      <c r="I385" t="s">
        <v>641</v>
      </c>
      <c r="J385" t="s">
        <v>673</v>
      </c>
      <c r="K385" t="s">
        <v>679</v>
      </c>
      <c r="L385" t="s">
        <v>680</v>
      </c>
      <c r="M385" t="s">
        <v>687</v>
      </c>
      <c r="N385" t="s">
        <v>691</v>
      </c>
      <c r="O385" t="s">
        <v>694</v>
      </c>
      <c r="P385" s="4">
        <v>1996084</v>
      </c>
      <c r="Q385">
        <v>6</v>
      </c>
      <c r="R385" s="7">
        <v>6.6</v>
      </c>
      <c r="S385" s="8">
        <f>Table13[[#This Row],[Discount_%]]/100</f>
        <v>6.6000000000000003E-2</v>
      </c>
      <c r="T385" s="6" t="s">
        <v>871</v>
      </c>
      <c r="U385" t="s">
        <v>981</v>
      </c>
      <c r="V385">
        <v>2024</v>
      </c>
      <c r="W385" t="s">
        <v>995</v>
      </c>
      <c r="X385" t="s">
        <v>999</v>
      </c>
      <c r="Y385" t="s">
        <v>1000</v>
      </c>
      <c r="Z385">
        <v>2</v>
      </c>
      <c r="AA385">
        <v>35</v>
      </c>
      <c r="AB385" s="4">
        <f>Table13[[#This Row],[Total_Price]]*(1-Table13[[#This Row],[Discount 2]])</f>
        <v>6907227.9459999995</v>
      </c>
      <c r="AC385" s="4" t="str" cm="1">
        <f t="array" ref="AC385">_xlfn.IFS(Table13[[#This Row],[Revenue]]&gt;=30000000,"High Value",Table13[[#This Row],[Revenue]]&gt;=10000000,"Moderate Value",TRUE,"Low Value")</f>
        <v>Low Value</v>
      </c>
      <c r="AD385" t="str">
        <f>IF(Table13[[#This Row],[Discount 2]]&gt;=5%, "YES", "NO")</f>
        <v>YES</v>
      </c>
      <c r="AE385" t="str" cm="1">
        <f t="array" ref="AE385">_xlfn.IFS(Table13[[#This Row],[Revenue]]&gt;=30000000,"High Spender",Table13[[#This Row],[Revenue]]&gt;=10000000,"Moderate Spender",TRUE,"Low Spender")</f>
        <v>Low Spender</v>
      </c>
      <c r="AF385" s="4" t="str" cm="1">
        <f t="array" ref="AF385">_xlfn.IFS(Table13[[#This Row],[Land_Size_SQM]]&gt;=730,"LARGE",Table13[[#This Row],[Land_Size_SQM]]&gt;=465,"MEDIUM",TRUE,"SMALL")</f>
        <v>SMALL</v>
      </c>
    </row>
    <row r="386" spans="1:32" x14ac:dyDescent="0.3">
      <c r="A386" t="s">
        <v>435</v>
      </c>
      <c r="B386" t="s">
        <v>552</v>
      </c>
      <c r="C386" t="s">
        <v>626</v>
      </c>
      <c r="D386">
        <v>46</v>
      </c>
      <c r="E386" t="s">
        <v>628</v>
      </c>
      <c r="F386">
        <v>279</v>
      </c>
      <c r="G386" s="4">
        <v>26202</v>
      </c>
      <c r="H386" s="4">
        <v>7310358</v>
      </c>
      <c r="I386" t="s">
        <v>650</v>
      </c>
      <c r="J386" t="s">
        <v>670</v>
      </c>
      <c r="K386" t="s">
        <v>678</v>
      </c>
      <c r="L386" t="s">
        <v>680</v>
      </c>
      <c r="M386" t="s">
        <v>686</v>
      </c>
      <c r="N386" t="s">
        <v>688</v>
      </c>
      <c r="O386" t="s">
        <v>694</v>
      </c>
      <c r="P386" s="4">
        <v>3374494</v>
      </c>
      <c r="Q386">
        <v>24</v>
      </c>
      <c r="R386" s="7">
        <v>5.84</v>
      </c>
      <c r="S386" s="8">
        <f>Table13[[#This Row],[Discount_%]]/100</f>
        <v>5.8400000000000001E-2</v>
      </c>
      <c r="T386" s="6" t="s">
        <v>743</v>
      </c>
      <c r="U386" t="s">
        <v>983</v>
      </c>
      <c r="V386">
        <v>2024</v>
      </c>
      <c r="W386" t="s">
        <v>995</v>
      </c>
      <c r="X386" t="s">
        <v>997</v>
      </c>
      <c r="Y386" t="s">
        <v>1002</v>
      </c>
      <c r="Z386">
        <v>2</v>
      </c>
      <c r="AA386">
        <v>46</v>
      </c>
      <c r="AB386" s="4">
        <f>Table13[[#This Row],[Total_Price]]*(1-Table13[[#This Row],[Discount 2]])</f>
        <v>6883433.0927999998</v>
      </c>
      <c r="AC386" s="4" t="str" cm="1">
        <f t="array" ref="AC386">_xlfn.IFS(Table13[[#This Row],[Revenue]]&gt;=30000000,"High Value",Table13[[#This Row],[Revenue]]&gt;=10000000,"Moderate Value",TRUE,"Low Value")</f>
        <v>Low Value</v>
      </c>
      <c r="AD386" t="str">
        <f>IF(Table13[[#This Row],[Discount 2]]&gt;=5%, "YES", "NO")</f>
        <v>YES</v>
      </c>
      <c r="AE386" t="str" cm="1">
        <f t="array" ref="AE386">_xlfn.IFS(Table13[[#This Row],[Revenue]]&gt;=30000000,"High Spender",Table13[[#This Row],[Revenue]]&gt;=10000000,"Moderate Spender",TRUE,"Low Spender")</f>
        <v>Low Spender</v>
      </c>
      <c r="AF386" s="4" t="str" cm="1">
        <f t="array" ref="AF386">_xlfn.IFS(Table13[[#This Row],[Land_Size_SQM]]&gt;=730,"LARGE",Table13[[#This Row],[Land_Size_SQM]]&gt;=465,"MEDIUM",TRUE,"SMALL")</f>
        <v>SMALL</v>
      </c>
    </row>
    <row r="387" spans="1:32" x14ac:dyDescent="0.3">
      <c r="A387" t="s">
        <v>152</v>
      </c>
      <c r="B387" t="s">
        <v>568</v>
      </c>
      <c r="C387" t="s">
        <v>627</v>
      </c>
      <c r="D387">
        <v>31</v>
      </c>
      <c r="E387" t="s">
        <v>630</v>
      </c>
      <c r="F387">
        <v>435</v>
      </c>
      <c r="G387" s="4">
        <v>15855</v>
      </c>
      <c r="H387" s="4">
        <v>6896925</v>
      </c>
      <c r="I387" t="s">
        <v>642</v>
      </c>
      <c r="J387" t="s">
        <v>673</v>
      </c>
      <c r="K387" t="s">
        <v>664</v>
      </c>
      <c r="L387" t="s">
        <v>680</v>
      </c>
      <c r="M387" t="s">
        <v>683</v>
      </c>
      <c r="N387" t="s">
        <v>692</v>
      </c>
      <c r="O387" t="s">
        <v>694</v>
      </c>
      <c r="P387" s="4">
        <v>1475725</v>
      </c>
      <c r="Q387">
        <v>12</v>
      </c>
      <c r="R387" s="7">
        <v>0.74</v>
      </c>
      <c r="S387" s="8">
        <f>Table13[[#This Row],[Discount_%]]/100</f>
        <v>7.4000000000000003E-3</v>
      </c>
      <c r="T387" s="6" t="s">
        <v>798</v>
      </c>
      <c r="U387" t="s">
        <v>992</v>
      </c>
      <c r="V387">
        <v>2024</v>
      </c>
      <c r="W387" t="s">
        <v>996</v>
      </c>
      <c r="X387" t="s">
        <v>997</v>
      </c>
      <c r="Y387" t="s">
        <v>1002</v>
      </c>
      <c r="Z387">
        <v>1</v>
      </c>
      <c r="AA387">
        <v>20</v>
      </c>
      <c r="AB387" s="4">
        <f>Table13[[#This Row],[Total_Price]]*(1-Table13[[#This Row],[Discount 2]])</f>
        <v>6845887.7549999999</v>
      </c>
      <c r="AC387" s="4" t="str" cm="1">
        <f t="array" ref="AC387">_xlfn.IFS(Table13[[#This Row],[Revenue]]&gt;=30000000,"High Value",Table13[[#This Row],[Revenue]]&gt;=10000000,"Moderate Value",TRUE,"Low Value")</f>
        <v>Low Value</v>
      </c>
      <c r="AD387" t="str">
        <f>IF(Table13[[#This Row],[Discount 2]]&gt;=5%, "YES", "NO")</f>
        <v>NO</v>
      </c>
      <c r="AE387" t="str" cm="1">
        <f t="array" ref="AE387">_xlfn.IFS(Table13[[#This Row],[Revenue]]&gt;=30000000,"High Spender",Table13[[#This Row],[Revenue]]&gt;=10000000,"Moderate Spender",TRUE,"Low Spender")</f>
        <v>Low Spender</v>
      </c>
      <c r="AF387" s="4" t="str" cm="1">
        <f t="array" ref="AF387">_xlfn.IFS(Table13[[#This Row],[Land_Size_SQM]]&gt;=730,"LARGE",Table13[[#This Row],[Land_Size_SQM]]&gt;=465,"MEDIUM",TRUE,"SMALL")</f>
        <v>SMALL</v>
      </c>
    </row>
    <row r="388" spans="1:32" x14ac:dyDescent="0.3">
      <c r="A388" t="s">
        <v>520</v>
      </c>
      <c r="B388" t="s">
        <v>552</v>
      </c>
      <c r="C388" t="s">
        <v>626</v>
      </c>
      <c r="D388">
        <v>30</v>
      </c>
      <c r="E388" t="s">
        <v>630</v>
      </c>
      <c r="F388">
        <v>276</v>
      </c>
      <c r="G388" s="4">
        <v>26055</v>
      </c>
      <c r="H388" s="4">
        <v>7191180</v>
      </c>
      <c r="I388" t="s">
        <v>640</v>
      </c>
      <c r="J388" t="s">
        <v>672</v>
      </c>
      <c r="K388" t="s">
        <v>638</v>
      </c>
      <c r="L388" t="s">
        <v>680</v>
      </c>
      <c r="M388" t="s">
        <v>687</v>
      </c>
      <c r="N388" t="s">
        <v>688</v>
      </c>
      <c r="O388" t="s">
        <v>693</v>
      </c>
      <c r="P388" s="4">
        <v>7191180</v>
      </c>
      <c r="Q388">
        <v>0</v>
      </c>
      <c r="R388" s="7">
        <v>5.14</v>
      </c>
      <c r="S388" s="8">
        <f>Table13[[#This Row],[Discount_%]]/100</f>
        <v>5.1399999999999994E-2</v>
      </c>
      <c r="T388" s="6" t="s">
        <v>730</v>
      </c>
      <c r="U388" t="s">
        <v>988</v>
      </c>
      <c r="V388">
        <v>2024</v>
      </c>
      <c r="W388" t="s">
        <v>993</v>
      </c>
      <c r="X388" t="s">
        <v>998</v>
      </c>
      <c r="Y388" t="s">
        <v>1002</v>
      </c>
      <c r="Z388">
        <v>4</v>
      </c>
      <c r="AA388">
        <v>19</v>
      </c>
      <c r="AB388" s="4">
        <f>Table13[[#This Row],[Total_Price]]*(1-Table13[[#This Row],[Discount 2]])</f>
        <v>6821553.3480000002</v>
      </c>
      <c r="AC388" s="4" t="str" cm="1">
        <f t="array" ref="AC388">_xlfn.IFS(Table13[[#This Row],[Revenue]]&gt;=30000000,"High Value",Table13[[#This Row],[Revenue]]&gt;=10000000,"Moderate Value",TRUE,"Low Value")</f>
        <v>Low Value</v>
      </c>
      <c r="AD388" t="str">
        <f>IF(Table13[[#This Row],[Discount 2]]&gt;=5%, "YES", "NO")</f>
        <v>YES</v>
      </c>
      <c r="AE388" t="str" cm="1">
        <f t="array" ref="AE388">_xlfn.IFS(Table13[[#This Row],[Revenue]]&gt;=30000000,"High Spender",Table13[[#This Row],[Revenue]]&gt;=10000000,"Moderate Spender",TRUE,"Low Spender")</f>
        <v>Low Spender</v>
      </c>
      <c r="AF388" s="4" t="str" cm="1">
        <f t="array" ref="AF388">_xlfn.IFS(Table13[[#This Row],[Land_Size_SQM]]&gt;=730,"LARGE",Table13[[#This Row],[Land_Size_SQM]]&gt;=465,"MEDIUM",TRUE,"SMALL")</f>
        <v>SMALL</v>
      </c>
    </row>
    <row r="389" spans="1:32" x14ac:dyDescent="0.3">
      <c r="A389" t="s">
        <v>263</v>
      </c>
      <c r="B389" t="s">
        <v>570</v>
      </c>
      <c r="C389" t="s">
        <v>627</v>
      </c>
      <c r="D389">
        <v>63</v>
      </c>
      <c r="E389" t="s">
        <v>628</v>
      </c>
      <c r="F389">
        <v>492</v>
      </c>
      <c r="G389" s="4">
        <v>14762</v>
      </c>
      <c r="H389" s="4">
        <v>7262904</v>
      </c>
      <c r="I389" t="s">
        <v>641</v>
      </c>
      <c r="J389" t="s">
        <v>673</v>
      </c>
      <c r="K389" t="s">
        <v>675</v>
      </c>
      <c r="L389" t="s">
        <v>681</v>
      </c>
      <c r="M389" t="s">
        <v>683</v>
      </c>
      <c r="N389" t="s">
        <v>689</v>
      </c>
      <c r="O389" t="s">
        <v>693</v>
      </c>
      <c r="P389" s="4">
        <v>7262904</v>
      </c>
      <c r="Q389">
        <v>0</v>
      </c>
      <c r="R389" s="7">
        <v>7.84</v>
      </c>
      <c r="S389" s="8">
        <f>Table13[[#This Row],[Discount_%]]/100</f>
        <v>7.8399999999999997E-2</v>
      </c>
      <c r="T389" s="6" t="s">
        <v>759</v>
      </c>
      <c r="U389" t="s">
        <v>986</v>
      </c>
      <c r="V389">
        <v>2024</v>
      </c>
      <c r="W389" t="s">
        <v>996</v>
      </c>
      <c r="X389" t="s">
        <v>999</v>
      </c>
      <c r="Y389" t="s">
        <v>1002</v>
      </c>
      <c r="Z389">
        <v>4</v>
      </c>
      <c r="AA389">
        <v>23</v>
      </c>
      <c r="AB389" s="4">
        <f>Table13[[#This Row],[Total_Price]]*(1-Table13[[#This Row],[Discount 2]])</f>
        <v>6693492.3263999997</v>
      </c>
      <c r="AC389" s="4" t="str" cm="1">
        <f t="array" ref="AC389">_xlfn.IFS(Table13[[#This Row],[Revenue]]&gt;=30000000,"High Value",Table13[[#This Row],[Revenue]]&gt;=10000000,"Moderate Value",TRUE,"Low Value")</f>
        <v>Low Value</v>
      </c>
      <c r="AD389" t="str">
        <f>IF(Table13[[#This Row],[Discount 2]]&gt;=5%, "YES", "NO")</f>
        <v>YES</v>
      </c>
      <c r="AE389" t="str" cm="1">
        <f t="array" ref="AE389">_xlfn.IFS(Table13[[#This Row],[Revenue]]&gt;=30000000,"High Spender",Table13[[#This Row],[Revenue]]&gt;=10000000,"Moderate Spender",TRUE,"Low Spender")</f>
        <v>Low Spender</v>
      </c>
      <c r="AF389" s="4" t="str" cm="1">
        <f t="array" ref="AF389">_xlfn.IFS(Table13[[#This Row],[Land_Size_SQM]]&gt;=730,"LARGE",Table13[[#This Row],[Land_Size_SQM]]&gt;=465,"MEDIUM",TRUE,"SMALL")</f>
        <v>MEDIUM</v>
      </c>
    </row>
    <row r="390" spans="1:32" x14ac:dyDescent="0.3">
      <c r="A390" t="s">
        <v>403</v>
      </c>
      <c r="B390" t="s">
        <v>548</v>
      </c>
      <c r="C390" t="s">
        <v>627</v>
      </c>
      <c r="D390">
        <v>20</v>
      </c>
      <c r="E390" t="s">
        <v>630</v>
      </c>
      <c r="F390">
        <v>267</v>
      </c>
      <c r="G390" s="4">
        <v>25059</v>
      </c>
      <c r="H390" s="4">
        <v>6690753</v>
      </c>
      <c r="I390" t="s">
        <v>651</v>
      </c>
      <c r="J390" t="s">
        <v>669</v>
      </c>
      <c r="K390" t="s">
        <v>675</v>
      </c>
      <c r="L390" t="s">
        <v>680</v>
      </c>
      <c r="M390" t="s">
        <v>687</v>
      </c>
      <c r="N390" t="s">
        <v>690</v>
      </c>
      <c r="O390" t="s">
        <v>694</v>
      </c>
      <c r="P390" s="4">
        <v>2247949</v>
      </c>
      <c r="Q390">
        <v>12</v>
      </c>
      <c r="R390" s="7">
        <v>0.27</v>
      </c>
      <c r="S390" s="8">
        <f>Table13[[#This Row],[Discount_%]]/100</f>
        <v>2.7000000000000001E-3</v>
      </c>
      <c r="T390" s="6" t="s">
        <v>730</v>
      </c>
      <c r="U390" t="s">
        <v>988</v>
      </c>
      <c r="V390">
        <v>2024</v>
      </c>
      <c r="W390" t="s">
        <v>993</v>
      </c>
      <c r="X390" t="s">
        <v>999</v>
      </c>
      <c r="Y390" t="s">
        <v>1000</v>
      </c>
      <c r="Z390">
        <v>2</v>
      </c>
      <c r="AA390">
        <v>34</v>
      </c>
      <c r="AB390" s="4">
        <f>Table13[[#This Row],[Total_Price]]*(1-Table13[[#This Row],[Discount 2]])</f>
        <v>6672687.9668999994</v>
      </c>
      <c r="AC390" s="4" t="str" cm="1">
        <f t="array" ref="AC390">_xlfn.IFS(Table13[[#This Row],[Revenue]]&gt;=30000000,"High Value",Table13[[#This Row],[Revenue]]&gt;=10000000,"Moderate Value",TRUE,"Low Value")</f>
        <v>Low Value</v>
      </c>
      <c r="AD390" t="str">
        <f>IF(Table13[[#This Row],[Discount 2]]&gt;=5%, "YES", "NO")</f>
        <v>NO</v>
      </c>
      <c r="AE390" t="str" cm="1">
        <f t="array" ref="AE390">_xlfn.IFS(Table13[[#This Row],[Revenue]]&gt;=30000000,"High Spender",Table13[[#This Row],[Revenue]]&gt;=10000000,"Moderate Spender",TRUE,"Low Spender")</f>
        <v>Low Spender</v>
      </c>
      <c r="AF390" s="4" t="str" cm="1">
        <f t="array" ref="AF390">_xlfn.IFS(Table13[[#This Row],[Land_Size_SQM]]&gt;=730,"LARGE",Table13[[#This Row],[Land_Size_SQM]]&gt;=465,"MEDIUM",TRUE,"SMALL")</f>
        <v>SMALL</v>
      </c>
    </row>
    <row r="391" spans="1:32" x14ac:dyDescent="0.3">
      <c r="A391" t="s">
        <v>47</v>
      </c>
      <c r="B391" t="s">
        <v>533</v>
      </c>
      <c r="C391" t="s">
        <v>627</v>
      </c>
      <c r="D391">
        <v>43</v>
      </c>
      <c r="E391" t="s">
        <v>630</v>
      </c>
      <c r="F391">
        <v>723</v>
      </c>
      <c r="G391" s="4">
        <v>9578</v>
      </c>
      <c r="H391" s="4">
        <v>6924894</v>
      </c>
      <c r="I391" t="s">
        <v>639</v>
      </c>
      <c r="J391" t="s">
        <v>671</v>
      </c>
      <c r="K391" t="s">
        <v>674</v>
      </c>
      <c r="L391" t="s">
        <v>680</v>
      </c>
      <c r="M391" t="s">
        <v>687</v>
      </c>
      <c r="N391" t="s">
        <v>692</v>
      </c>
      <c r="O391" t="s">
        <v>694</v>
      </c>
      <c r="P391" s="4">
        <v>1914157</v>
      </c>
      <c r="Q391">
        <v>6</v>
      </c>
      <c r="R391" s="7">
        <v>7.09</v>
      </c>
      <c r="S391" s="8">
        <f>Table13[[#This Row],[Discount_%]]/100</f>
        <v>7.0900000000000005E-2</v>
      </c>
      <c r="T391" s="6" t="s">
        <v>715</v>
      </c>
      <c r="U391" t="s">
        <v>988</v>
      </c>
      <c r="V391">
        <v>2024</v>
      </c>
      <c r="W391" t="s">
        <v>994</v>
      </c>
      <c r="X391" t="s">
        <v>997</v>
      </c>
      <c r="Y391" t="s">
        <v>1000</v>
      </c>
      <c r="Z391">
        <v>3</v>
      </c>
      <c r="AA391">
        <v>33</v>
      </c>
      <c r="AB391" s="4">
        <f>Table13[[#This Row],[Total_Price]]*(1-Table13[[#This Row],[Discount 2]])</f>
        <v>6433919.0153999999</v>
      </c>
      <c r="AC391" s="4" t="str" cm="1">
        <f t="array" ref="AC391">_xlfn.IFS(Table13[[#This Row],[Revenue]]&gt;=30000000,"High Value",Table13[[#This Row],[Revenue]]&gt;=10000000,"Moderate Value",TRUE,"Low Value")</f>
        <v>Low Value</v>
      </c>
      <c r="AD391" t="str">
        <f>IF(Table13[[#This Row],[Discount 2]]&gt;=5%, "YES", "NO")</f>
        <v>YES</v>
      </c>
      <c r="AE391" t="str" cm="1">
        <f t="array" ref="AE391">_xlfn.IFS(Table13[[#This Row],[Revenue]]&gt;=30000000,"High Spender",Table13[[#This Row],[Revenue]]&gt;=10000000,"Moderate Spender",TRUE,"Low Spender")</f>
        <v>Low Spender</v>
      </c>
      <c r="AF391" s="4" t="str" cm="1">
        <f t="array" ref="AF391">_xlfn.IFS(Table13[[#This Row],[Land_Size_SQM]]&gt;=730,"LARGE",Table13[[#This Row],[Land_Size_SQM]]&gt;=465,"MEDIUM",TRUE,"SMALL")</f>
        <v>MEDIUM</v>
      </c>
    </row>
    <row r="392" spans="1:32" x14ac:dyDescent="0.3">
      <c r="A392" t="s">
        <v>56</v>
      </c>
      <c r="B392" t="s">
        <v>548</v>
      </c>
      <c r="C392" t="s">
        <v>627</v>
      </c>
      <c r="D392">
        <v>56</v>
      </c>
      <c r="E392" t="s">
        <v>628</v>
      </c>
      <c r="F392">
        <v>453</v>
      </c>
      <c r="G392" s="4">
        <v>15065</v>
      </c>
      <c r="H392" s="4">
        <v>6824445</v>
      </c>
      <c r="I392" t="s">
        <v>631</v>
      </c>
      <c r="J392" t="s">
        <v>668</v>
      </c>
      <c r="K392" t="s">
        <v>664</v>
      </c>
      <c r="L392" t="s">
        <v>681</v>
      </c>
      <c r="M392" t="s">
        <v>687</v>
      </c>
      <c r="N392" t="s">
        <v>690</v>
      </c>
      <c r="O392" t="s">
        <v>693</v>
      </c>
      <c r="P392" s="4">
        <v>6824445</v>
      </c>
      <c r="Q392">
        <v>0</v>
      </c>
      <c r="R392" s="7">
        <v>6.21</v>
      </c>
      <c r="S392" s="8">
        <f>Table13[[#This Row],[Discount_%]]/100</f>
        <v>6.2100000000000002E-2</v>
      </c>
      <c r="T392" s="6" t="s">
        <v>723</v>
      </c>
      <c r="U392" t="s">
        <v>992</v>
      </c>
      <c r="V392">
        <v>2024</v>
      </c>
      <c r="W392" t="s">
        <v>996</v>
      </c>
      <c r="X392" t="s">
        <v>997</v>
      </c>
      <c r="Y392" t="s">
        <v>1001</v>
      </c>
      <c r="Z392">
        <v>1</v>
      </c>
      <c r="AA392">
        <v>50</v>
      </c>
      <c r="AB392" s="4">
        <f>Table13[[#This Row],[Total_Price]]*(1-Table13[[#This Row],[Discount 2]])</f>
        <v>6400646.9654999999</v>
      </c>
      <c r="AC392" s="4" t="str" cm="1">
        <f t="array" ref="AC392">_xlfn.IFS(Table13[[#This Row],[Revenue]]&gt;=30000000,"High Value",Table13[[#This Row],[Revenue]]&gt;=10000000,"Moderate Value",TRUE,"Low Value")</f>
        <v>Low Value</v>
      </c>
      <c r="AD392" t="str">
        <f>IF(Table13[[#This Row],[Discount 2]]&gt;=5%, "YES", "NO")</f>
        <v>YES</v>
      </c>
      <c r="AE392" t="str" cm="1">
        <f t="array" ref="AE392">_xlfn.IFS(Table13[[#This Row],[Revenue]]&gt;=30000000,"High Spender",Table13[[#This Row],[Revenue]]&gt;=10000000,"Moderate Spender",TRUE,"Low Spender")</f>
        <v>Low Spender</v>
      </c>
      <c r="AF392" s="4" t="str" cm="1">
        <f t="array" ref="AF392">_xlfn.IFS(Table13[[#This Row],[Land_Size_SQM]]&gt;=730,"LARGE",Table13[[#This Row],[Land_Size_SQM]]&gt;=465,"MEDIUM",TRUE,"SMALL")</f>
        <v>SMALL</v>
      </c>
    </row>
    <row r="393" spans="1:32" x14ac:dyDescent="0.3">
      <c r="A393" t="s">
        <v>356</v>
      </c>
      <c r="B393" t="s">
        <v>573</v>
      </c>
      <c r="C393" t="s">
        <v>626</v>
      </c>
      <c r="D393">
        <v>46</v>
      </c>
      <c r="E393" t="s">
        <v>628</v>
      </c>
      <c r="F393">
        <v>727</v>
      </c>
      <c r="G393" s="4">
        <v>9606</v>
      </c>
      <c r="H393" s="4">
        <v>6983562</v>
      </c>
      <c r="I393" t="s">
        <v>649</v>
      </c>
      <c r="J393" t="s">
        <v>669</v>
      </c>
      <c r="K393" t="s">
        <v>678</v>
      </c>
      <c r="L393" t="s">
        <v>682</v>
      </c>
      <c r="M393" t="s">
        <v>687</v>
      </c>
      <c r="N393" t="s">
        <v>688</v>
      </c>
      <c r="O393" t="s">
        <v>693</v>
      </c>
      <c r="P393" s="4">
        <v>6983562</v>
      </c>
      <c r="Q393">
        <v>0</v>
      </c>
      <c r="R393" s="7">
        <v>8.9499999999999993</v>
      </c>
      <c r="S393" s="8">
        <f>Table13[[#This Row],[Discount_%]]/100</f>
        <v>8.9499999999999996E-2</v>
      </c>
      <c r="T393" s="6" t="s">
        <v>750</v>
      </c>
      <c r="U393" t="s">
        <v>989</v>
      </c>
      <c r="V393">
        <v>2024</v>
      </c>
      <c r="W393" t="s">
        <v>993</v>
      </c>
      <c r="X393" t="s">
        <v>998</v>
      </c>
      <c r="Y393" t="s">
        <v>1000</v>
      </c>
      <c r="Z393">
        <v>1</v>
      </c>
      <c r="AA393">
        <v>16</v>
      </c>
      <c r="AB393" s="4">
        <f>Table13[[#This Row],[Total_Price]]*(1-Table13[[#This Row],[Discount 2]])</f>
        <v>6358533.2009999994</v>
      </c>
      <c r="AC393" s="4" t="str" cm="1">
        <f t="array" ref="AC393">_xlfn.IFS(Table13[[#This Row],[Revenue]]&gt;=30000000,"High Value",Table13[[#This Row],[Revenue]]&gt;=10000000,"Moderate Value",TRUE,"Low Value")</f>
        <v>Low Value</v>
      </c>
      <c r="AD393" t="str">
        <f>IF(Table13[[#This Row],[Discount 2]]&gt;=5%, "YES", "NO")</f>
        <v>YES</v>
      </c>
      <c r="AE393" t="str" cm="1">
        <f t="array" ref="AE393">_xlfn.IFS(Table13[[#This Row],[Revenue]]&gt;=30000000,"High Spender",Table13[[#This Row],[Revenue]]&gt;=10000000,"Moderate Spender",TRUE,"Low Spender")</f>
        <v>Low Spender</v>
      </c>
      <c r="AF393" s="4" t="str" cm="1">
        <f t="array" ref="AF393">_xlfn.IFS(Table13[[#This Row],[Land_Size_SQM]]&gt;=730,"LARGE",Table13[[#This Row],[Land_Size_SQM]]&gt;=465,"MEDIUM",TRUE,"SMALL")</f>
        <v>MEDIUM</v>
      </c>
    </row>
    <row r="394" spans="1:32" x14ac:dyDescent="0.3">
      <c r="A394" t="s">
        <v>236</v>
      </c>
      <c r="B394" t="s">
        <v>574</v>
      </c>
      <c r="C394" t="s">
        <v>626</v>
      </c>
      <c r="D394">
        <v>30</v>
      </c>
      <c r="E394" t="s">
        <v>630</v>
      </c>
      <c r="F394">
        <v>735</v>
      </c>
      <c r="G394" s="4">
        <v>8977</v>
      </c>
      <c r="H394" s="4">
        <v>6598095</v>
      </c>
      <c r="I394" t="s">
        <v>658</v>
      </c>
      <c r="J394" t="s">
        <v>670</v>
      </c>
      <c r="K394" t="s">
        <v>664</v>
      </c>
      <c r="L394" t="s">
        <v>682</v>
      </c>
      <c r="M394" t="s">
        <v>687</v>
      </c>
      <c r="N394" t="s">
        <v>688</v>
      </c>
      <c r="O394" t="s">
        <v>693</v>
      </c>
      <c r="P394" s="4">
        <v>6598095</v>
      </c>
      <c r="Q394">
        <v>0</v>
      </c>
      <c r="R394" s="7">
        <v>3.81</v>
      </c>
      <c r="S394" s="8">
        <f>Table13[[#This Row],[Discount_%]]/100</f>
        <v>3.8100000000000002E-2</v>
      </c>
      <c r="T394" s="6" t="s">
        <v>854</v>
      </c>
      <c r="U394" t="s">
        <v>988</v>
      </c>
      <c r="V394">
        <v>2024</v>
      </c>
      <c r="W394" t="s">
        <v>993</v>
      </c>
      <c r="X394" t="s">
        <v>997</v>
      </c>
      <c r="Y394" t="s">
        <v>1002</v>
      </c>
      <c r="Z394">
        <v>2</v>
      </c>
      <c r="AA394">
        <v>49</v>
      </c>
      <c r="AB394" s="4">
        <f>Table13[[#This Row],[Total_Price]]*(1-Table13[[#This Row],[Discount 2]])</f>
        <v>6346707.5805000002</v>
      </c>
      <c r="AC394" s="4" t="str" cm="1">
        <f t="array" ref="AC394">_xlfn.IFS(Table13[[#This Row],[Revenue]]&gt;=30000000,"High Value",Table13[[#This Row],[Revenue]]&gt;=10000000,"Moderate Value",TRUE,"Low Value")</f>
        <v>Low Value</v>
      </c>
      <c r="AD394" t="str">
        <f>IF(Table13[[#This Row],[Discount 2]]&gt;=5%, "YES", "NO")</f>
        <v>NO</v>
      </c>
      <c r="AE394" t="str" cm="1">
        <f t="array" ref="AE394">_xlfn.IFS(Table13[[#This Row],[Revenue]]&gt;=30000000,"High Spender",Table13[[#This Row],[Revenue]]&gt;=10000000,"Moderate Spender",TRUE,"Low Spender")</f>
        <v>Low Spender</v>
      </c>
      <c r="AF394" s="4" t="str" cm="1">
        <f t="array" ref="AF394">_xlfn.IFS(Table13[[#This Row],[Land_Size_SQM]]&gt;=730,"LARGE",Table13[[#This Row],[Land_Size_SQM]]&gt;=465,"MEDIUM",TRUE,"SMALL")</f>
        <v>LARGE</v>
      </c>
    </row>
    <row r="395" spans="1:32" x14ac:dyDescent="0.3">
      <c r="A395" t="s">
        <v>201</v>
      </c>
      <c r="B395" t="s">
        <v>605</v>
      </c>
      <c r="C395" t="s">
        <v>626</v>
      </c>
      <c r="D395">
        <v>61</v>
      </c>
      <c r="E395" t="s">
        <v>628</v>
      </c>
      <c r="F395">
        <v>949</v>
      </c>
      <c r="G395" s="4">
        <v>6915</v>
      </c>
      <c r="H395" s="4">
        <v>6562335</v>
      </c>
      <c r="I395" t="s">
        <v>632</v>
      </c>
      <c r="J395" t="s">
        <v>669</v>
      </c>
      <c r="K395" t="s">
        <v>638</v>
      </c>
      <c r="L395" t="s">
        <v>682</v>
      </c>
      <c r="M395" t="s">
        <v>684</v>
      </c>
      <c r="N395" t="s">
        <v>688</v>
      </c>
      <c r="O395" t="s">
        <v>693</v>
      </c>
      <c r="P395" s="4">
        <v>6562335</v>
      </c>
      <c r="Q395">
        <v>0</v>
      </c>
      <c r="R395" s="7">
        <v>3.38</v>
      </c>
      <c r="S395" s="8">
        <f>Table13[[#This Row],[Discount_%]]/100</f>
        <v>3.3799999999999997E-2</v>
      </c>
      <c r="T395" s="6" t="s">
        <v>831</v>
      </c>
      <c r="U395" t="s">
        <v>983</v>
      </c>
      <c r="V395">
        <v>2024</v>
      </c>
      <c r="W395" t="s">
        <v>993</v>
      </c>
      <c r="X395" t="s">
        <v>999</v>
      </c>
      <c r="Y395" t="s">
        <v>1002</v>
      </c>
      <c r="Z395">
        <v>2</v>
      </c>
      <c r="AA395">
        <v>13</v>
      </c>
      <c r="AB395" s="4">
        <f>Table13[[#This Row],[Total_Price]]*(1-Table13[[#This Row],[Discount 2]])</f>
        <v>6340528.0769999996</v>
      </c>
      <c r="AC395" s="4" t="str" cm="1">
        <f t="array" ref="AC395">_xlfn.IFS(Table13[[#This Row],[Revenue]]&gt;=30000000,"High Value",Table13[[#This Row],[Revenue]]&gt;=10000000,"Moderate Value",TRUE,"Low Value")</f>
        <v>Low Value</v>
      </c>
      <c r="AD395" t="str">
        <f>IF(Table13[[#This Row],[Discount 2]]&gt;=5%, "YES", "NO")</f>
        <v>NO</v>
      </c>
      <c r="AE395" t="str" cm="1">
        <f t="array" ref="AE395">_xlfn.IFS(Table13[[#This Row],[Revenue]]&gt;=30000000,"High Spender",Table13[[#This Row],[Revenue]]&gt;=10000000,"Moderate Spender",TRUE,"Low Spender")</f>
        <v>Low Spender</v>
      </c>
      <c r="AF395" s="4" t="str" cm="1">
        <f t="array" ref="AF395">_xlfn.IFS(Table13[[#This Row],[Land_Size_SQM]]&gt;=730,"LARGE",Table13[[#This Row],[Land_Size_SQM]]&gt;=465,"MEDIUM",TRUE,"SMALL")</f>
        <v>LARGE</v>
      </c>
    </row>
    <row r="396" spans="1:32" x14ac:dyDescent="0.3">
      <c r="A396" t="s">
        <v>412</v>
      </c>
      <c r="B396" t="s">
        <v>573</v>
      </c>
      <c r="C396" t="s">
        <v>627</v>
      </c>
      <c r="D396">
        <v>57</v>
      </c>
      <c r="E396" t="s">
        <v>628</v>
      </c>
      <c r="F396">
        <v>490</v>
      </c>
      <c r="G396" s="4">
        <v>13839</v>
      </c>
      <c r="H396" s="4">
        <v>6781110</v>
      </c>
      <c r="I396" t="s">
        <v>643</v>
      </c>
      <c r="J396" t="s">
        <v>671</v>
      </c>
      <c r="K396" t="s">
        <v>679</v>
      </c>
      <c r="L396" t="s">
        <v>682</v>
      </c>
      <c r="M396" t="s">
        <v>686</v>
      </c>
      <c r="N396" t="s">
        <v>688</v>
      </c>
      <c r="O396" t="s">
        <v>693</v>
      </c>
      <c r="P396" s="4">
        <v>6781110</v>
      </c>
      <c r="Q396">
        <v>0</v>
      </c>
      <c r="R396" s="7">
        <v>7.5</v>
      </c>
      <c r="S396" s="8">
        <f>Table13[[#This Row],[Discount_%]]/100</f>
        <v>7.4999999999999997E-2</v>
      </c>
      <c r="T396" s="6" t="s">
        <v>881</v>
      </c>
      <c r="U396" t="s">
        <v>992</v>
      </c>
      <c r="V396">
        <v>2024</v>
      </c>
      <c r="W396" t="s">
        <v>995</v>
      </c>
      <c r="X396" t="s">
        <v>999</v>
      </c>
      <c r="Y396" t="s">
        <v>1000</v>
      </c>
      <c r="Z396">
        <v>4</v>
      </c>
      <c r="AA396">
        <v>44</v>
      </c>
      <c r="AB396" s="4">
        <f>Table13[[#This Row],[Total_Price]]*(1-Table13[[#This Row],[Discount 2]])</f>
        <v>6272526.75</v>
      </c>
      <c r="AC396" s="4" t="str" cm="1">
        <f t="array" ref="AC396">_xlfn.IFS(Table13[[#This Row],[Revenue]]&gt;=30000000,"High Value",Table13[[#This Row],[Revenue]]&gt;=10000000,"Moderate Value",TRUE,"Low Value")</f>
        <v>Low Value</v>
      </c>
      <c r="AD396" t="str">
        <f>IF(Table13[[#This Row],[Discount 2]]&gt;=5%, "YES", "NO")</f>
        <v>YES</v>
      </c>
      <c r="AE396" t="str" cm="1">
        <f t="array" ref="AE396">_xlfn.IFS(Table13[[#This Row],[Revenue]]&gt;=30000000,"High Spender",Table13[[#This Row],[Revenue]]&gt;=10000000,"Moderate Spender",TRUE,"Low Spender")</f>
        <v>Low Spender</v>
      </c>
      <c r="AF396" s="4" t="str" cm="1">
        <f t="array" ref="AF396">_xlfn.IFS(Table13[[#This Row],[Land_Size_SQM]]&gt;=730,"LARGE",Table13[[#This Row],[Land_Size_SQM]]&gt;=465,"MEDIUM",TRUE,"SMALL")</f>
        <v>MEDIUM</v>
      </c>
    </row>
    <row r="397" spans="1:32" x14ac:dyDescent="0.3">
      <c r="A397" t="s">
        <v>65</v>
      </c>
      <c r="B397" t="s">
        <v>556</v>
      </c>
      <c r="C397" t="s">
        <v>627</v>
      </c>
      <c r="D397">
        <v>46</v>
      </c>
      <c r="E397" t="s">
        <v>630</v>
      </c>
      <c r="F397">
        <v>876</v>
      </c>
      <c r="G397" s="4">
        <v>7320</v>
      </c>
      <c r="H397" s="4">
        <v>6412320</v>
      </c>
      <c r="I397" t="s">
        <v>654</v>
      </c>
      <c r="J397" t="s">
        <v>669</v>
      </c>
      <c r="K397" t="s">
        <v>677</v>
      </c>
      <c r="L397" t="s">
        <v>682</v>
      </c>
      <c r="M397" t="s">
        <v>686</v>
      </c>
      <c r="N397" t="s">
        <v>691</v>
      </c>
      <c r="O397" t="s">
        <v>693</v>
      </c>
      <c r="P397" s="4">
        <v>6412320</v>
      </c>
      <c r="Q397">
        <v>0</v>
      </c>
      <c r="R397" s="7">
        <v>2.4</v>
      </c>
      <c r="S397" s="8">
        <f>Table13[[#This Row],[Discount_%]]/100</f>
        <v>2.4E-2</v>
      </c>
      <c r="T397" s="6" t="s">
        <v>731</v>
      </c>
      <c r="U397" t="s">
        <v>985</v>
      </c>
      <c r="V397">
        <v>2024</v>
      </c>
      <c r="W397" t="s">
        <v>994</v>
      </c>
      <c r="X397" t="s">
        <v>999</v>
      </c>
      <c r="Y397" t="s">
        <v>1000</v>
      </c>
      <c r="Z397">
        <v>3</v>
      </c>
      <c r="AA397">
        <v>46</v>
      </c>
      <c r="AB397" s="4">
        <f>Table13[[#This Row],[Total_Price]]*(1-Table13[[#This Row],[Discount 2]])</f>
        <v>6258424.3200000003</v>
      </c>
      <c r="AC397" s="4" t="str" cm="1">
        <f t="array" ref="AC397">_xlfn.IFS(Table13[[#This Row],[Revenue]]&gt;=30000000,"High Value",Table13[[#This Row],[Revenue]]&gt;=10000000,"Moderate Value",TRUE,"Low Value")</f>
        <v>Low Value</v>
      </c>
      <c r="AD397" t="str">
        <f>IF(Table13[[#This Row],[Discount 2]]&gt;=5%, "YES", "NO")</f>
        <v>NO</v>
      </c>
      <c r="AE397" t="str" cm="1">
        <f t="array" ref="AE397">_xlfn.IFS(Table13[[#This Row],[Revenue]]&gt;=30000000,"High Spender",Table13[[#This Row],[Revenue]]&gt;=10000000,"Moderate Spender",TRUE,"Low Spender")</f>
        <v>Low Spender</v>
      </c>
      <c r="AF397" s="4" t="str" cm="1">
        <f t="array" ref="AF397">_xlfn.IFS(Table13[[#This Row],[Land_Size_SQM]]&gt;=730,"LARGE",Table13[[#This Row],[Land_Size_SQM]]&gt;=465,"MEDIUM",TRUE,"SMALL")</f>
        <v>LARGE</v>
      </c>
    </row>
    <row r="398" spans="1:32" x14ac:dyDescent="0.3">
      <c r="A398" t="s">
        <v>506</v>
      </c>
      <c r="B398" t="s">
        <v>598</v>
      </c>
      <c r="C398" t="s">
        <v>627</v>
      </c>
      <c r="D398">
        <v>63</v>
      </c>
      <c r="E398" t="s">
        <v>628</v>
      </c>
      <c r="F398">
        <v>414</v>
      </c>
      <c r="G398" s="4">
        <v>16295</v>
      </c>
      <c r="H398" s="4">
        <v>6746130</v>
      </c>
      <c r="I398" t="s">
        <v>645</v>
      </c>
      <c r="J398" t="s">
        <v>670</v>
      </c>
      <c r="K398" t="s">
        <v>638</v>
      </c>
      <c r="L398" t="s">
        <v>681</v>
      </c>
      <c r="M398" t="s">
        <v>684</v>
      </c>
      <c r="N398" t="s">
        <v>688</v>
      </c>
      <c r="O398" t="s">
        <v>693</v>
      </c>
      <c r="P398" s="4">
        <v>6746130</v>
      </c>
      <c r="Q398">
        <v>0</v>
      </c>
      <c r="R398" s="7">
        <v>7.35</v>
      </c>
      <c r="S398" s="8">
        <f>Table13[[#This Row],[Discount_%]]/100</f>
        <v>7.3499999999999996E-2</v>
      </c>
      <c r="T398" s="6" t="s">
        <v>973</v>
      </c>
      <c r="U398" t="s">
        <v>988</v>
      </c>
      <c r="V398">
        <v>2024</v>
      </c>
      <c r="W398" t="s">
        <v>993</v>
      </c>
      <c r="X398" t="s">
        <v>999</v>
      </c>
      <c r="Y398" t="s">
        <v>1002</v>
      </c>
      <c r="Z398">
        <v>4</v>
      </c>
      <c r="AA398">
        <v>12</v>
      </c>
      <c r="AB398" s="4">
        <f>Table13[[#This Row],[Total_Price]]*(1-Table13[[#This Row],[Discount 2]])</f>
        <v>6250289.4450000003</v>
      </c>
      <c r="AC398" s="4" t="str" cm="1">
        <f t="array" ref="AC398">_xlfn.IFS(Table13[[#This Row],[Revenue]]&gt;=30000000,"High Value",Table13[[#This Row],[Revenue]]&gt;=10000000,"Moderate Value",TRUE,"Low Value")</f>
        <v>Low Value</v>
      </c>
      <c r="AD398" t="str">
        <f>IF(Table13[[#This Row],[Discount 2]]&gt;=5%, "YES", "NO")</f>
        <v>YES</v>
      </c>
      <c r="AE398" t="str" cm="1">
        <f t="array" ref="AE398">_xlfn.IFS(Table13[[#This Row],[Revenue]]&gt;=30000000,"High Spender",Table13[[#This Row],[Revenue]]&gt;=10000000,"Moderate Spender",TRUE,"Low Spender")</f>
        <v>Low Spender</v>
      </c>
      <c r="AF398" s="4" t="str" cm="1">
        <f t="array" ref="AF398">_xlfn.IFS(Table13[[#This Row],[Land_Size_SQM]]&gt;=730,"LARGE",Table13[[#This Row],[Land_Size_SQM]]&gt;=465,"MEDIUM",TRUE,"SMALL")</f>
        <v>SMALL</v>
      </c>
    </row>
    <row r="399" spans="1:32" x14ac:dyDescent="0.3">
      <c r="A399" t="s">
        <v>80</v>
      </c>
      <c r="B399" t="s">
        <v>561</v>
      </c>
      <c r="C399" t="s">
        <v>626</v>
      </c>
      <c r="D399">
        <v>30</v>
      </c>
      <c r="E399" t="s">
        <v>630</v>
      </c>
      <c r="F399">
        <v>292</v>
      </c>
      <c r="G399" s="4">
        <v>21340</v>
      </c>
      <c r="H399" s="4">
        <v>6231280</v>
      </c>
      <c r="I399" t="s">
        <v>636</v>
      </c>
      <c r="J399" t="s">
        <v>671</v>
      </c>
      <c r="K399" t="s">
        <v>638</v>
      </c>
      <c r="L399" t="s">
        <v>681</v>
      </c>
      <c r="M399" t="s">
        <v>687</v>
      </c>
      <c r="N399" t="s">
        <v>690</v>
      </c>
      <c r="O399" t="s">
        <v>694</v>
      </c>
      <c r="P399" s="4">
        <v>1574595</v>
      </c>
      <c r="Q399">
        <v>24</v>
      </c>
      <c r="R399" s="7">
        <v>1.32</v>
      </c>
      <c r="S399" s="8">
        <f>Table13[[#This Row],[Discount_%]]/100</f>
        <v>1.32E-2</v>
      </c>
      <c r="T399" s="6" t="s">
        <v>744</v>
      </c>
      <c r="U399" t="s">
        <v>985</v>
      </c>
      <c r="V399">
        <v>2024</v>
      </c>
      <c r="W399" t="s">
        <v>993</v>
      </c>
      <c r="X399" t="s">
        <v>998</v>
      </c>
      <c r="Y399" t="s">
        <v>1000</v>
      </c>
      <c r="Z399">
        <v>2</v>
      </c>
      <c r="AA399">
        <v>49</v>
      </c>
      <c r="AB399" s="4">
        <f>Table13[[#This Row],[Total_Price]]*(1-Table13[[#This Row],[Discount 2]])</f>
        <v>6149027.1040000003</v>
      </c>
      <c r="AC399" s="4" t="str" cm="1">
        <f t="array" ref="AC399">_xlfn.IFS(Table13[[#This Row],[Revenue]]&gt;=30000000,"High Value",Table13[[#This Row],[Revenue]]&gt;=10000000,"Moderate Value",TRUE,"Low Value")</f>
        <v>Low Value</v>
      </c>
      <c r="AD399" t="str">
        <f>IF(Table13[[#This Row],[Discount 2]]&gt;=5%, "YES", "NO")</f>
        <v>NO</v>
      </c>
      <c r="AE399" t="str" cm="1">
        <f t="array" ref="AE399">_xlfn.IFS(Table13[[#This Row],[Revenue]]&gt;=30000000,"High Spender",Table13[[#This Row],[Revenue]]&gt;=10000000,"Moderate Spender",TRUE,"Low Spender")</f>
        <v>Low Spender</v>
      </c>
      <c r="AF399" s="4" t="str" cm="1">
        <f t="array" ref="AF399">_xlfn.IFS(Table13[[#This Row],[Land_Size_SQM]]&gt;=730,"LARGE",Table13[[#This Row],[Land_Size_SQM]]&gt;=465,"MEDIUM",TRUE,"SMALL")</f>
        <v>SMALL</v>
      </c>
    </row>
    <row r="400" spans="1:32" x14ac:dyDescent="0.3">
      <c r="A400" t="s">
        <v>489</v>
      </c>
      <c r="B400" t="s">
        <v>590</v>
      </c>
      <c r="C400" t="s">
        <v>627</v>
      </c>
      <c r="D400">
        <v>20</v>
      </c>
      <c r="E400" t="s">
        <v>629</v>
      </c>
      <c r="F400">
        <v>273</v>
      </c>
      <c r="G400" s="4">
        <v>23838</v>
      </c>
      <c r="H400" s="4">
        <v>6507774</v>
      </c>
      <c r="I400" t="s">
        <v>665</v>
      </c>
      <c r="J400" t="s">
        <v>672</v>
      </c>
      <c r="K400" t="s">
        <v>678</v>
      </c>
      <c r="L400" t="s">
        <v>682</v>
      </c>
      <c r="M400" t="s">
        <v>687</v>
      </c>
      <c r="N400" t="s">
        <v>691</v>
      </c>
      <c r="O400" t="s">
        <v>693</v>
      </c>
      <c r="P400" s="4">
        <v>6507774</v>
      </c>
      <c r="Q400">
        <v>0</v>
      </c>
      <c r="R400" s="7">
        <v>7.15</v>
      </c>
      <c r="S400" s="8">
        <f>Table13[[#This Row],[Discount_%]]/100</f>
        <v>7.1500000000000008E-2</v>
      </c>
      <c r="T400" s="6" t="s">
        <v>970</v>
      </c>
      <c r="U400" t="s">
        <v>990</v>
      </c>
      <c r="V400">
        <v>2024</v>
      </c>
      <c r="W400" t="s">
        <v>995</v>
      </c>
      <c r="X400" t="s">
        <v>998</v>
      </c>
      <c r="Y400" t="s">
        <v>1002</v>
      </c>
      <c r="Z400">
        <v>3</v>
      </c>
      <c r="AA400">
        <v>25</v>
      </c>
      <c r="AB400" s="4">
        <f>Table13[[#This Row],[Total_Price]]*(1-Table13[[#This Row],[Discount 2]])</f>
        <v>6042468.159</v>
      </c>
      <c r="AC400" s="4" t="str" cm="1">
        <f t="array" ref="AC400">_xlfn.IFS(Table13[[#This Row],[Revenue]]&gt;=30000000,"High Value",Table13[[#This Row],[Revenue]]&gt;=10000000,"Moderate Value",TRUE,"Low Value")</f>
        <v>Low Value</v>
      </c>
      <c r="AD400" t="str">
        <f>IF(Table13[[#This Row],[Discount 2]]&gt;=5%, "YES", "NO")</f>
        <v>YES</v>
      </c>
      <c r="AE400" t="str" cm="1">
        <f t="array" ref="AE400">_xlfn.IFS(Table13[[#This Row],[Revenue]]&gt;=30000000,"High Spender",Table13[[#This Row],[Revenue]]&gt;=10000000,"Moderate Spender",TRUE,"Low Spender")</f>
        <v>Low Spender</v>
      </c>
      <c r="AF400" s="4" t="str" cm="1">
        <f t="array" ref="AF400">_xlfn.IFS(Table13[[#This Row],[Land_Size_SQM]]&gt;=730,"LARGE",Table13[[#This Row],[Land_Size_SQM]]&gt;=465,"MEDIUM",TRUE,"SMALL")</f>
        <v>SMALL</v>
      </c>
    </row>
    <row r="401" spans="1:32" x14ac:dyDescent="0.3">
      <c r="A401" t="s">
        <v>360</v>
      </c>
      <c r="B401" t="s">
        <v>563</v>
      </c>
      <c r="C401" t="s">
        <v>626</v>
      </c>
      <c r="D401">
        <v>53</v>
      </c>
      <c r="E401" t="s">
        <v>630</v>
      </c>
      <c r="F401">
        <v>205</v>
      </c>
      <c r="G401" s="4">
        <v>29379</v>
      </c>
      <c r="H401" s="4">
        <v>6022695</v>
      </c>
      <c r="I401" t="s">
        <v>640</v>
      </c>
      <c r="J401" t="s">
        <v>672</v>
      </c>
      <c r="K401" t="s">
        <v>674</v>
      </c>
      <c r="L401" t="s">
        <v>681</v>
      </c>
      <c r="M401" t="s">
        <v>685</v>
      </c>
      <c r="N401" t="s">
        <v>691</v>
      </c>
      <c r="O401" t="s">
        <v>693</v>
      </c>
      <c r="P401" s="4">
        <v>6022695</v>
      </c>
      <c r="Q401">
        <v>0</v>
      </c>
      <c r="R401" s="7">
        <v>0.4</v>
      </c>
      <c r="S401" s="8">
        <f>Table13[[#This Row],[Discount_%]]/100</f>
        <v>4.0000000000000001E-3</v>
      </c>
      <c r="T401" s="6" t="s">
        <v>795</v>
      </c>
      <c r="U401" t="s">
        <v>989</v>
      </c>
      <c r="V401">
        <v>2024</v>
      </c>
      <c r="W401" t="s">
        <v>995</v>
      </c>
      <c r="X401" t="s">
        <v>999</v>
      </c>
      <c r="Y401" t="s">
        <v>1000</v>
      </c>
      <c r="Z401">
        <v>5</v>
      </c>
      <c r="AA401">
        <v>49</v>
      </c>
      <c r="AB401" s="4">
        <f>Table13[[#This Row],[Total_Price]]*(1-Table13[[#This Row],[Discount 2]])</f>
        <v>5998604.2199999997</v>
      </c>
      <c r="AC401" s="4" t="str" cm="1">
        <f t="array" ref="AC401">_xlfn.IFS(Table13[[#This Row],[Revenue]]&gt;=30000000,"High Value",Table13[[#This Row],[Revenue]]&gt;=10000000,"Moderate Value",TRUE,"Low Value")</f>
        <v>Low Value</v>
      </c>
      <c r="AD401" t="str">
        <f>IF(Table13[[#This Row],[Discount 2]]&gt;=5%, "YES", "NO")</f>
        <v>NO</v>
      </c>
      <c r="AE401" t="str" cm="1">
        <f t="array" ref="AE401">_xlfn.IFS(Table13[[#This Row],[Revenue]]&gt;=30000000,"High Spender",Table13[[#This Row],[Revenue]]&gt;=10000000,"Moderate Spender",TRUE,"Low Spender")</f>
        <v>Low Spender</v>
      </c>
      <c r="AF401" s="4" t="str" cm="1">
        <f t="array" ref="AF401">_xlfn.IFS(Table13[[#This Row],[Land_Size_SQM]]&gt;=730,"LARGE",Table13[[#This Row],[Land_Size_SQM]]&gt;=465,"MEDIUM",TRUE,"SMALL")</f>
        <v>SMALL</v>
      </c>
    </row>
    <row r="402" spans="1:32" x14ac:dyDescent="0.3">
      <c r="A402" t="s">
        <v>193</v>
      </c>
      <c r="B402" t="s">
        <v>563</v>
      </c>
      <c r="C402" t="s">
        <v>626</v>
      </c>
      <c r="D402">
        <v>65</v>
      </c>
      <c r="E402" t="s">
        <v>630</v>
      </c>
      <c r="F402">
        <v>592</v>
      </c>
      <c r="G402" s="4">
        <v>10993</v>
      </c>
      <c r="H402" s="4">
        <v>6507856</v>
      </c>
      <c r="I402" t="s">
        <v>664</v>
      </c>
      <c r="J402" t="s">
        <v>673</v>
      </c>
      <c r="K402" t="s">
        <v>677</v>
      </c>
      <c r="L402" t="s">
        <v>681</v>
      </c>
      <c r="M402" t="s">
        <v>686</v>
      </c>
      <c r="N402" t="s">
        <v>691</v>
      </c>
      <c r="O402" t="s">
        <v>694</v>
      </c>
      <c r="P402" s="4">
        <v>2556258</v>
      </c>
      <c r="Q402">
        <v>6</v>
      </c>
      <c r="R402" s="7">
        <v>7.97</v>
      </c>
      <c r="S402" s="8">
        <f>Table13[[#This Row],[Discount_%]]/100</f>
        <v>7.9699999999999993E-2</v>
      </c>
      <c r="T402" s="6" t="s">
        <v>803</v>
      </c>
      <c r="U402" t="s">
        <v>992</v>
      </c>
      <c r="V402">
        <v>2024</v>
      </c>
      <c r="W402" t="s">
        <v>994</v>
      </c>
      <c r="X402" t="s">
        <v>997</v>
      </c>
      <c r="Y402" t="s">
        <v>1001</v>
      </c>
      <c r="Z402">
        <v>3</v>
      </c>
      <c r="AA402">
        <v>25</v>
      </c>
      <c r="AB402" s="4">
        <f>Table13[[#This Row],[Total_Price]]*(1-Table13[[#This Row],[Discount 2]])</f>
        <v>5989179.8767999997</v>
      </c>
      <c r="AC402" s="4" t="str" cm="1">
        <f t="array" ref="AC402">_xlfn.IFS(Table13[[#This Row],[Revenue]]&gt;=30000000,"High Value",Table13[[#This Row],[Revenue]]&gt;=10000000,"Moderate Value",TRUE,"Low Value")</f>
        <v>Low Value</v>
      </c>
      <c r="AD402" t="str">
        <f>IF(Table13[[#This Row],[Discount 2]]&gt;=5%, "YES", "NO")</f>
        <v>YES</v>
      </c>
      <c r="AE402" t="str" cm="1">
        <f t="array" ref="AE402">_xlfn.IFS(Table13[[#This Row],[Revenue]]&gt;=30000000,"High Spender",Table13[[#This Row],[Revenue]]&gt;=10000000,"Moderate Spender",TRUE,"Low Spender")</f>
        <v>Low Spender</v>
      </c>
      <c r="AF402" s="4" t="str" cm="1">
        <f t="array" ref="AF402">_xlfn.IFS(Table13[[#This Row],[Land_Size_SQM]]&gt;=730,"LARGE",Table13[[#This Row],[Land_Size_SQM]]&gt;=465,"MEDIUM",TRUE,"SMALL")</f>
        <v>MEDIUM</v>
      </c>
    </row>
    <row r="403" spans="1:32" x14ac:dyDescent="0.3">
      <c r="A403" t="s">
        <v>504</v>
      </c>
      <c r="B403" t="s">
        <v>606</v>
      </c>
      <c r="C403" t="s">
        <v>626</v>
      </c>
      <c r="D403">
        <v>45</v>
      </c>
      <c r="E403" t="s">
        <v>630</v>
      </c>
      <c r="F403">
        <v>541</v>
      </c>
      <c r="G403" s="4">
        <v>12007</v>
      </c>
      <c r="H403" s="4">
        <v>6495787</v>
      </c>
      <c r="I403" t="s">
        <v>633</v>
      </c>
      <c r="J403" t="s">
        <v>668</v>
      </c>
      <c r="K403" t="s">
        <v>664</v>
      </c>
      <c r="L403" t="s">
        <v>682</v>
      </c>
      <c r="M403" t="s">
        <v>683</v>
      </c>
      <c r="N403" t="s">
        <v>689</v>
      </c>
      <c r="O403" t="s">
        <v>693</v>
      </c>
      <c r="P403" s="4">
        <v>6495787</v>
      </c>
      <c r="Q403">
        <v>0</v>
      </c>
      <c r="R403" s="7">
        <v>8.48</v>
      </c>
      <c r="S403" s="8">
        <f>Table13[[#This Row],[Discount_%]]/100</f>
        <v>8.48E-2</v>
      </c>
      <c r="T403" s="6" t="s">
        <v>935</v>
      </c>
      <c r="U403" t="s">
        <v>990</v>
      </c>
      <c r="V403">
        <v>2024</v>
      </c>
      <c r="W403" t="s">
        <v>995</v>
      </c>
      <c r="X403" t="s">
        <v>998</v>
      </c>
      <c r="Y403" t="s">
        <v>1002</v>
      </c>
      <c r="Z403">
        <v>4</v>
      </c>
      <c r="AA403">
        <v>23</v>
      </c>
      <c r="AB403" s="4">
        <f>Table13[[#This Row],[Total_Price]]*(1-Table13[[#This Row],[Discount 2]])</f>
        <v>5944944.2624000004</v>
      </c>
      <c r="AC403" s="4" t="str" cm="1">
        <f t="array" ref="AC403">_xlfn.IFS(Table13[[#This Row],[Revenue]]&gt;=30000000,"High Value",Table13[[#This Row],[Revenue]]&gt;=10000000,"Moderate Value",TRUE,"Low Value")</f>
        <v>Low Value</v>
      </c>
      <c r="AD403" t="str">
        <f>IF(Table13[[#This Row],[Discount 2]]&gt;=5%, "YES", "NO")</f>
        <v>YES</v>
      </c>
      <c r="AE403" t="str" cm="1">
        <f t="array" ref="AE403">_xlfn.IFS(Table13[[#This Row],[Revenue]]&gt;=30000000,"High Spender",Table13[[#This Row],[Revenue]]&gt;=10000000,"Moderate Spender",TRUE,"Low Spender")</f>
        <v>Low Spender</v>
      </c>
      <c r="AF403" s="4" t="str" cm="1">
        <f t="array" ref="AF403">_xlfn.IFS(Table13[[#This Row],[Land_Size_SQM]]&gt;=730,"LARGE",Table13[[#This Row],[Land_Size_SQM]]&gt;=465,"MEDIUM",TRUE,"SMALL")</f>
        <v>MEDIUM</v>
      </c>
    </row>
    <row r="404" spans="1:32" x14ac:dyDescent="0.3">
      <c r="A404" t="s">
        <v>484</v>
      </c>
      <c r="B404" t="s">
        <v>609</v>
      </c>
      <c r="C404" t="s">
        <v>627</v>
      </c>
      <c r="D404">
        <v>44</v>
      </c>
      <c r="E404" t="s">
        <v>628</v>
      </c>
      <c r="F404">
        <v>834</v>
      </c>
      <c r="G404" s="4">
        <v>7202</v>
      </c>
      <c r="H404" s="4">
        <v>6006468</v>
      </c>
      <c r="I404" t="s">
        <v>633</v>
      </c>
      <c r="J404" t="s">
        <v>668</v>
      </c>
      <c r="K404" t="s">
        <v>679</v>
      </c>
      <c r="L404" t="s">
        <v>682</v>
      </c>
      <c r="M404" t="s">
        <v>685</v>
      </c>
      <c r="N404" t="s">
        <v>688</v>
      </c>
      <c r="O404" t="s">
        <v>693</v>
      </c>
      <c r="P404" s="4">
        <v>6006468</v>
      </c>
      <c r="Q404">
        <v>0</v>
      </c>
      <c r="R404" s="7">
        <v>1.38</v>
      </c>
      <c r="S404" s="8">
        <f>Table13[[#This Row],[Discount_%]]/100</f>
        <v>1.38E-2</v>
      </c>
      <c r="T404" s="6" t="s">
        <v>968</v>
      </c>
      <c r="U404" t="s">
        <v>986</v>
      </c>
      <c r="V404">
        <v>2024</v>
      </c>
      <c r="W404" t="s">
        <v>995</v>
      </c>
      <c r="X404" t="s">
        <v>997</v>
      </c>
      <c r="Y404" t="s">
        <v>1002</v>
      </c>
      <c r="Z404">
        <v>2</v>
      </c>
      <c r="AA404">
        <v>18</v>
      </c>
      <c r="AB404" s="4">
        <f>Table13[[#This Row],[Total_Price]]*(1-Table13[[#This Row],[Discount 2]])</f>
        <v>5923578.7415999994</v>
      </c>
      <c r="AC404" s="4" t="str" cm="1">
        <f t="array" ref="AC404">_xlfn.IFS(Table13[[#This Row],[Revenue]]&gt;=30000000,"High Value",Table13[[#This Row],[Revenue]]&gt;=10000000,"Moderate Value",TRUE,"Low Value")</f>
        <v>Low Value</v>
      </c>
      <c r="AD404" t="str">
        <f>IF(Table13[[#This Row],[Discount 2]]&gt;=5%, "YES", "NO")</f>
        <v>NO</v>
      </c>
      <c r="AE404" t="str" cm="1">
        <f t="array" ref="AE404">_xlfn.IFS(Table13[[#This Row],[Revenue]]&gt;=30000000,"High Spender",Table13[[#This Row],[Revenue]]&gt;=10000000,"Moderate Spender",TRUE,"Low Spender")</f>
        <v>Low Spender</v>
      </c>
      <c r="AF404" s="4" t="str" cm="1">
        <f t="array" ref="AF404">_xlfn.IFS(Table13[[#This Row],[Land_Size_SQM]]&gt;=730,"LARGE",Table13[[#This Row],[Land_Size_SQM]]&gt;=465,"MEDIUM",TRUE,"SMALL")</f>
        <v>LARGE</v>
      </c>
    </row>
    <row r="405" spans="1:32" x14ac:dyDescent="0.3">
      <c r="A405" t="s">
        <v>39</v>
      </c>
      <c r="B405" t="s">
        <v>533</v>
      </c>
      <c r="C405" t="s">
        <v>627</v>
      </c>
      <c r="D405">
        <v>23</v>
      </c>
      <c r="E405" t="s">
        <v>629</v>
      </c>
      <c r="F405">
        <v>262</v>
      </c>
      <c r="G405" s="4">
        <v>22552</v>
      </c>
      <c r="H405" s="4">
        <v>5908624</v>
      </c>
      <c r="I405" t="s">
        <v>642</v>
      </c>
      <c r="J405" t="s">
        <v>673</v>
      </c>
      <c r="K405" t="s">
        <v>675</v>
      </c>
      <c r="L405" t="s">
        <v>680</v>
      </c>
      <c r="M405" t="s">
        <v>683</v>
      </c>
      <c r="N405" t="s">
        <v>689</v>
      </c>
      <c r="O405" t="s">
        <v>693</v>
      </c>
      <c r="P405" s="4">
        <v>5908624</v>
      </c>
      <c r="Q405">
        <v>0</v>
      </c>
      <c r="R405" s="7">
        <v>0.5</v>
      </c>
      <c r="S405" s="8">
        <f>Table13[[#This Row],[Discount_%]]/100</f>
        <v>5.0000000000000001E-3</v>
      </c>
      <c r="T405" s="6" t="s">
        <v>708</v>
      </c>
      <c r="U405" t="s">
        <v>986</v>
      </c>
      <c r="V405">
        <v>2024</v>
      </c>
      <c r="W405" t="s">
        <v>993</v>
      </c>
      <c r="X405" t="s">
        <v>997</v>
      </c>
      <c r="Y405" t="s">
        <v>1000</v>
      </c>
      <c r="Z405">
        <v>4</v>
      </c>
      <c r="AA405">
        <v>8</v>
      </c>
      <c r="AB405" s="4">
        <f>Table13[[#This Row],[Total_Price]]*(1-Table13[[#This Row],[Discount 2]])</f>
        <v>5879080.8799999999</v>
      </c>
      <c r="AC405" s="4" t="str" cm="1">
        <f t="array" ref="AC405">_xlfn.IFS(Table13[[#This Row],[Revenue]]&gt;=30000000,"High Value",Table13[[#This Row],[Revenue]]&gt;=10000000,"Moderate Value",TRUE,"Low Value")</f>
        <v>Low Value</v>
      </c>
      <c r="AD405" t="str">
        <f>IF(Table13[[#This Row],[Discount 2]]&gt;=5%, "YES", "NO")</f>
        <v>NO</v>
      </c>
      <c r="AE405" t="str" cm="1">
        <f t="array" ref="AE405">_xlfn.IFS(Table13[[#This Row],[Revenue]]&gt;=30000000,"High Spender",Table13[[#This Row],[Revenue]]&gt;=10000000,"Moderate Spender",TRUE,"Low Spender")</f>
        <v>Low Spender</v>
      </c>
      <c r="AF405" s="4" t="str" cm="1">
        <f t="array" ref="AF405">_xlfn.IFS(Table13[[#This Row],[Land_Size_SQM]]&gt;=730,"LARGE",Table13[[#This Row],[Land_Size_SQM]]&gt;=465,"MEDIUM",TRUE,"SMALL")</f>
        <v>SMALL</v>
      </c>
    </row>
    <row r="406" spans="1:32" x14ac:dyDescent="0.3">
      <c r="A406" t="s">
        <v>276</v>
      </c>
      <c r="B406" t="s">
        <v>609</v>
      </c>
      <c r="C406" t="s">
        <v>627</v>
      </c>
      <c r="D406">
        <v>38</v>
      </c>
      <c r="E406" t="s">
        <v>630</v>
      </c>
      <c r="F406">
        <v>306</v>
      </c>
      <c r="G406" s="4">
        <v>19200</v>
      </c>
      <c r="H406" s="4">
        <v>5875200</v>
      </c>
      <c r="I406" t="s">
        <v>647</v>
      </c>
      <c r="J406" t="s">
        <v>670</v>
      </c>
      <c r="K406" t="s">
        <v>676</v>
      </c>
      <c r="L406" t="s">
        <v>682</v>
      </c>
      <c r="M406" t="s">
        <v>683</v>
      </c>
      <c r="N406" t="s">
        <v>688</v>
      </c>
      <c r="O406" t="s">
        <v>693</v>
      </c>
      <c r="P406" s="4">
        <v>5875200</v>
      </c>
      <c r="Q406">
        <v>0</v>
      </c>
      <c r="R406" s="7">
        <v>0.84</v>
      </c>
      <c r="S406" s="8">
        <f>Table13[[#This Row],[Discount_%]]/100</f>
        <v>8.3999999999999995E-3</v>
      </c>
      <c r="T406" s="6" t="s">
        <v>721</v>
      </c>
      <c r="U406" t="s">
        <v>991</v>
      </c>
      <c r="V406">
        <v>2024</v>
      </c>
      <c r="W406" t="s">
        <v>996</v>
      </c>
      <c r="X406" t="s">
        <v>999</v>
      </c>
      <c r="Y406" t="s">
        <v>1000</v>
      </c>
      <c r="Z406">
        <v>3</v>
      </c>
      <c r="AA406">
        <v>21</v>
      </c>
      <c r="AB406" s="4">
        <f>Table13[[#This Row],[Total_Price]]*(1-Table13[[#This Row],[Discount 2]])</f>
        <v>5825848.3200000003</v>
      </c>
      <c r="AC406" s="4" t="str" cm="1">
        <f t="array" ref="AC406">_xlfn.IFS(Table13[[#This Row],[Revenue]]&gt;=30000000,"High Value",Table13[[#This Row],[Revenue]]&gt;=10000000,"Moderate Value",TRUE,"Low Value")</f>
        <v>Low Value</v>
      </c>
      <c r="AD406" t="str">
        <f>IF(Table13[[#This Row],[Discount 2]]&gt;=5%, "YES", "NO")</f>
        <v>NO</v>
      </c>
      <c r="AE406" t="str" cm="1">
        <f t="array" ref="AE406">_xlfn.IFS(Table13[[#This Row],[Revenue]]&gt;=30000000,"High Spender",Table13[[#This Row],[Revenue]]&gt;=10000000,"Moderate Spender",TRUE,"Low Spender")</f>
        <v>Low Spender</v>
      </c>
      <c r="AF406" s="4" t="str" cm="1">
        <f t="array" ref="AF406">_xlfn.IFS(Table13[[#This Row],[Land_Size_SQM]]&gt;=730,"LARGE",Table13[[#This Row],[Land_Size_SQM]]&gt;=465,"MEDIUM",TRUE,"SMALL")</f>
        <v>SMALL</v>
      </c>
    </row>
    <row r="407" spans="1:32" x14ac:dyDescent="0.3">
      <c r="A407" t="s">
        <v>147</v>
      </c>
      <c r="B407" t="s">
        <v>550</v>
      </c>
      <c r="C407" t="s">
        <v>626</v>
      </c>
      <c r="D407">
        <v>55</v>
      </c>
      <c r="E407" t="s">
        <v>629</v>
      </c>
      <c r="F407">
        <v>502</v>
      </c>
      <c r="G407" s="4">
        <v>11988</v>
      </c>
      <c r="H407" s="4">
        <v>6017976</v>
      </c>
      <c r="I407" t="s">
        <v>655</v>
      </c>
      <c r="J407" t="s">
        <v>672</v>
      </c>
      <c r="K407" t="s">
        <v>640</v>
      </c>
      <c r="L407" t="s">
        <v>682</v>
      </c>
      <c r="M407" t="s">
        <v>687</v>
      </c>
      <c r="N407" t="s">
        <v>690</v>
      </c>
      <c r="O407" t="s">
        <v>693</v>
      </c>
      <c r="P407" s="4">
        <v>6017976</v>
      </c>
      <c r="Q407">
        <v>0</v>
      </c>
      <c r="R407" s="7">
        <v>3.3</v>
      </c>
      <c r="S407" s="8">
        <f>Table13[[#This Row],[Discount_%]]/100</f>
        <v>3.3000000000000002E-2</v>
      </c>
      <c r="T407" s="6" t="s">
        <v>716</v>
      </c>
      <c r="U407" t="s">
        <v>991</v>
      </c>
      <c r="V407">
        <v>2024</v>
      </c>
      <c r="W407" t="s">
        <v>995</v>
      </c>
      <c r="X407" t="s">
        <v>997</v>
      </c>
      <c r="Y407" t="s">
        <v>1001</v>
      </c>
      <c r="Z407">
        <v>4</v>
      </c>
      <c r="AA407">
        <v>30</v>
      </c>
      <c r="AB407" s="4">
        <f>Table13[[#This Row],[Total_Price]]*(1-Table13[[#This Row],[Discount 2]])</f>
        <v>5819382.7919999994</v>
      </c>
      <c r="AC407" s="4" t="str" cm="1">
        <f t="array" ref="AC407">_xlfn.IFS(Table13[[#This Row],[Revenue]]&gt;=30000000,"High Value",Table13[[#This Row],[Revenue]]&gt;=10000000,"Moderate Value",TRUE,"Low Value")</f>
        <v>Low Value</v>
      </c>
      <c r="AD407" t="str">
        <f>IF(Table13[[#This Row],[Discount 2]]&gt;=5%, "YES", "NO")</f>
        <v>NO</v>
      </c>
      <c r="AE407" t="str" cm="1">
        <f t="array" ref="AE407">_xlfn.IFS(Table13[[#This Row],[Revenue]]&gt;=30000000,"High Spender",Table13[[#This Row],[Revenue]]&gt;=10000000,"Moderate Spender",TRUE,"Low Spender")</f>
        <v>Low Spender</v>
      </c>
      <c r="AF407" s="4" t="str" cm="1">
        <f t="array" ref="AF407">_xlfn.IFS(Table13[[#This Row],[Land_Size_SQM]]&gt;=730,"LARGE",Table13[[#This Row],[Land_Size_SQM]]&gt;=465,"MEDIUM",TRUE,"SMALL")</f>
        <v>MEDIUM</v>
      </c>
    </row>
    <row r="408" spans="1:32" x14ac:dyDescent="0.3">
      <c r="A408" t="s">
        <v>396</v>
      </c>
      <c r="B408" t="s">
        <v>617</v>
      </c>
      <c r="C408" t="s">
        <v>626</v>
      </c>
      <c r="D408">
        <v>24</v>
      </c>
      <c r="E408" t="s">
        <v>629</v>
      </c>
      <c r="F408">
        <v>351</v>
      </c>
      <c r="G408" s="4">
        <v>17753</v>
      </c>
      <c r="H408" s="4">
        <v>6231303</v>
      </c>
      <c r="I408" t="s">
        <v>651</v>
      </c>
      <c r="J408" t="s">
        <v>669</v>
      </c>
      <c r="K408" t="s">
        <v>678</v>
      </c>
      <c r="L408" t="s">
        <v>680</v>
      </c>
      <c r="M408" t="s">
        <v>684</v>
      </c>
      <c r="N408" t="s">
        <v>690</v>
      </c>
      <c r="O408" t="s">
        <v>693</v>
      </c>
      <c r="P408" s="4">
        <v>6231303</v>
      </c>
      <c r="Q408">
        <v>0</v>
      </c>
      <c r="R408" s="7">
        <v>7.46</v>
      </c>
      <c r="S408" s="8">
        <f>Table13[[#This Row],[Discount_%]]/100</f>
        <v>7.46E-2</v>
      </c>
      <c r="T408" s="6" t="s">
        <v>946</v>
      </c>
      <c r="U408" t="s">
        <v>982</v>
      </c>
      <c r="V408">
        <v>2024</v>
      </c>
      <c r="W408" t="s">
        <v>994</v>
      </c>
      <c r="X408" t="s">
        <v>997</v>
      </c>
      <c r="Y408" t="s">
        <v>1000</v>
      </c>
      <c r="Z408">
        <v>3</v>
      </c>
      <c r="AA408">
        <v>44</v>
      </c>
      <c r="AB408" s="4">
        <f>Table13[[#This Row],[Total_Price]]*(1-Table13[[#This Row],[Discount 2]])</f>
        <v>5766447.7961999997</v>
      </c>
      <c r="AC408" s="4" t="str" cm="1">
        <f t="array" ref="AC408">_xlfn.IFS(Table13[[#This Row],[Revenue]]&gt;=30000000,"High Value",Table13[[#This Row],[Revenue]]&gt;=10000000,"Moderate Value",TRUE,"Low Value")</f>
        <v>Low Value</v>
      </c>
      <c r="AD408" t="str">
        <f>IF(Table13[[#This Row],[Discount 2]]&gt;=5%, "YES", "NO")</f>
        <v>YES</v>
      </c>
      <c r="AE408" t="str" cm="1">
        <f t="array" ref="AE408">_xlfn.IFS(Table13[[#This Row],[Revenue]]&gt;=30000000,"High Spender",Table13[[#This Row],[Revenue]]&gt;=10000000,"Moderate Spender",TRUE,"Low Spender")</f>
        <v>Low Spender</v>
      </c>
      <c r="AF408" s="4" t="str" cm="1">
        <f t="array" ref="AF408">_xlfn.IFS(Table13[[#This Row],[Land_Size_SQM]]&gt;=730,"LARGE",Table13[[#This Row],[Land_Size_SQM]]&gt;=465,"MEDIUM",TRUE,"SMALL")</f>
        <v>SMALL</v>
      </c>
    </row>
    <row r="409" spans="1:32" x14ac:dyDescent="0.3">
      <c r="A409" t="s">
        <v>118</v>
      </c>
      <c r="B409" t="s">
        <v>534</v>
      </c>
      <c r="C409" t="s">
        <v>626</v>
      </c>
      <c r="D409">
        <v>56</v>
      </c>
      <c r="E409" t="s">
        <v>628</v>
      </c>
      <c r="F409">
        <v>746</v>
      </c>
      <c r="G409" s="4">
        <v>8122</v>
      </c>
      <c r="H409" s="4">
        <v>6059012</v>
      </c>
      <c r="I409" t="s">
        <v>651</v>
      </c>
      <c r="J409" t="s">
        <v>669</v>
      </c>
      <c r="K409" t="s">
        <v>674</v>
      </c>
      <c r="L409" t="s">
        <v>680</v>
      </c>
      <c r="M409" t="s">
        <v>685</v>
      </c>
      <c r="N409" t="s">
        <v>689</v>
      </c>
      <c r="O409" t="s">
        <v>693</v>
      </c>
      <c r="P409" s="4">
        <v>6059012</v>
      </c>
      <c r="Q409">
        <v>0</v>
      </c>
      <c r="R409" s="7">
        <v>5.92</v>
      </c>
      <c r="S409" s="8">
        <f>Table13[[#This Row],[Discount_%]]/100</f>
        <v>5.9200000000000003E-2</v>
      </c>
      <c r="T409" s="6" t="s">
        <v>775</v>
      </c>
      <c r="U409" t="s">
        <v>985</v>
      </c>
      <c r="V409">
        <v>2024</v>
      </c>
      <c r="W409" t="s">
        <v>994</v>
      </c>
      <c r="X409" t="s">
        <v>997</v>
      </c>
      <c r="Y409" t="s">
        <v>1000</v>
      </c>
      <c r="Z409">
        <v>5</v>
      </c>
      <c r="AA409">
        <v>27</v>
      </c>
      <c r="AB409" s="4">
        <f>Table13[[#This Row],[Total_Price]]*(1-Table13[[#This Row],[Discount 2]])</f>
        <v>5700318.4896</v>
      </c>
      <c r="AC409" s="4" t="str" cm="1">
        <f t="array" ref="AC409">_xlfn.IFS(Table13[[#This Row],[Revenue]]&gt;=30000000,"High Value",Table13[[#This Row],[Revenue]]&gt;=10000000,"Moderate Value",TRUE,"Low Value")</f>
        <v>Low Value</v>
      </c>
      <c r="AD409" t="str">
        <f>IF(Table13[[#This Row],[Discount 2]]&gt;=5%, "YES", "NO")</f>
        <v>YES</v>
      </c>
      <c r="AE409" t="str" cm="1">
        <f t="array" ref="AE409">_xlfn.IFS(Table13[[#This Row],[Revenue]]&gt;=30000000,"High Spender",Table13[[#This Row],[Revenue]]&gt;=10000000,"Moderate Spender",TRUE,"Low Spender")</f>
        <v>Low Spender</v>
      </c>
      <c r="AF409" s="4" t="str" cm="1">
        <f t="array" ref="AF409">_xlfn.IFS(Table13[[#This Row],[Land_Size_SQM]]&gt;=730,"LARGE",Table13[[#This Row],[Land_Size_SQM]]&gt;=465,"MEDIUM",TRUE,"SMALL")</f>
        <v>LARGE</v>
      </c>
    </row>
    <row r="410" spans="1:32" x14ac:dyDescent="0.3">
      <c r="A410" t="s">
        <v>302</v>
      </c>
      <c r="B410" t="s">
        <v>563</v>
      </c>
      <c r="C410" t="s">
        <v>627</v>
      </c>
      <c r="D410">
        <v>35</v>
      </c>
      <c r="E410" t="s">
        <v>629</v>
      </c>
      <c r="F410">
        <v>744</v>
      </c>
      <c r="G410" s="4">
        <v>7768</v>
      </c>
      <c r="H410" s="4">
        <v>5779392</v>
      </c>
      <c r="I410" t="s">
        <v>658</v>
      </c>
      <c r="J410" t="s">
        <v>670</v>
      </c>
      <c r="K410" t="s">
        <v>674</v>
      </c>
      <c r="L410" t="s">
        <v>681</v>
      </c>
      <c r="M410" t="s">
        <v>687</v>
      </c>
      <c r="N410" t="s">
        <v>691</v>
      </c>
      <c r="O410" t="s">
        <v>693</v>
      </c>
      <c r="P410" s="4">
        <v>5779392</v>
      </c>
      <c r="Q410">
        <v>0</v>
      </c>
      <c r="R410" s="7">
        <v>1.99</v>
      </c>
      <c r="S410" s="8">
        <f>Table13[[#This Row],[Discount_%]]/100</f>
        <v>1.9900000000000001E-2</v>
      </c>
      <c r="T410" s="6" t="s">
        <v>899</v>
      </c>
      <c r="U410" t="s">
        <v>989</v>
      </c>
      <c r="V410">
        <v>2024</v>
      </c>
      <c r="W410" t="s">
        <v>995</v>
      </c>
      <c r="X410" t="s">
        <v>997</v>
      </c>
      <c r="Y410" t="s">
        <v>1000</v>
      </c>
      <c r="Z410">
        <v>1</v>
      </c>
      <c r="AA410">
        <v>23</v>
      </c>
      <c r="AB410" s="4">
        <f>Table13[[#This Row],[Total_Price]]*(1-Table13[[#This Row],[Discount 2]])</f>
        <v>5664382.0992000001</v>
      </c>
      <c r="AC410" s="4" t="str" cm="1">
        <f t="array" ref="AC410">_xlfn.IFS(Table13[[#This Row],[Revenue]]&gt;=30000000,"High Value",Table13[[#This Row],[Revenue]]&gt;=10000000,"Moderate Value",TRUE,"Low Value")</f>
        <v>Low Value</v>
      </c>
      <c r="AD410" t="str">
        <f>IF(Table13[[#This Row],[Discount 2]]&gt;=5%, "YES", "NO")</f>
        <v>NO</v>
      </c>
      <c r="AE410" t="str" cm="1">
        <f t="array" ref="AE410">_xlfn.IFS(Table13[[#This Row],[Revenue]]&gt;=30000000,"High Spender",Table13[[#This Row],[Revenue]]&gt;=10000000,"Moderate Spender",TRUE,"Low Spender")</f>
        <v>Low Spender</v>
      </c>
      <c r="AF410" s="4" t="str" cm="1">
        <f t="array" ref="AF410">_xlfn.IFS(Table13[[#This Row],[Land_Size_SQM]]&gt;=730,"LARGE",Table13[[#This Row],[Land_Size_SQM]]&gt;=465,"MEDIUM",TRUE,"SMALL")</f>
        <v>LARGE</v>
      </c>
    </row>
    <row r="411" spans="1:32" x14ac:dyDescent="0.3">
      <c r="A411" t="s">
        <v>102</v>
      </c>
      <c r="B411" t="s">
        <v>563</v>
      </c>
      <c r="C411" t="s">
        <v>626</v>
      </c>
      <c r="D411">
        <v>59</v>
      </c>
      <c r="E411" t="s">
        <v>628</v>
      </c>
      <c r="F411">
        <v>279</v>
      </c>
      <c r="G411" s="4">
        <v>21385</v>
      </c>
      <c r="H411" s="4">
        <v>5966415</v>
      </c>
      <c r="I411" t="s">
        <v>654</v>
      </c>
      <c r="J411" t="s">
        <v>669</v>
      </c>
      <c r="K411" t="s">
        <v>638</v>
      </c>
      <c r="L411" t="s">
        <v>682</v>
      </c>
      <c r="M411" t="s">
        <v>684</v>
      </c>
      <c r="N411" t="s">
        <v>688</v>
      </c>
      <c r="O411" t="s">
        <v>693</v>
      </c>
      <c r="P411" s="4">
        <v>5966415</v>
      </c>
      <c r="Q411">
        <v>0</v>
      </c>
      <c r="R411" s="7">
        <v>5.08</v>
      </c>
      <c r="S411" s="8">
        <f>Table13[[#This Row],[Discount_%]]/100</f>
        <v>5.0799999999999998E-2</v>
      </c>
      <c r="T411" s="6" t="s">
        <v>744</v>
      </c>
      <c r="U411" t="s">
        <v>985</v>
      </c>
      <c r="V411">
        <v>2024</v>
      </c>
      <c r="W411" t="s">
        <v>996</v>
      </c>
      <c r="X411" t="s">
        <v>999</v>
      </c>
      <c r="Y411" t="s">
        <v>1001</v>
      </c>
      <c r="Z411">
        <v>5</v>
      </c>
      <c r="AA411">
        <v>11</v>
      </c>
      <c r="AB411" s="4">
        <f>Table13[[#This Row],[Total_Price]]*(1-Table13[[#This Row],[Discount 2]])</f>
        <v>5663321.1180000007</v>
      </c>
      <c r="AC411" s="4" t="str" cm="1">
        <f t="array" ref="AC411">_xlfn.IFS(Table13[[#This Row],[Revenue]]&gt;=30000000,"High Value",Table13[[#This Row],[Revenue]]&gt;=10000000,"Moderate Value",TRUE,"Low Value")</f>
        <v>Low Value</v>
      </c>
      <c r="AD411" t="str">
        <f>IF(Table13[[#This Row],[Discount 2]]&gt;=5%, "YES", "NO")</f>
        <v>YES</v>
      </c>
      <c r="AE411" t="str" cm="1">
        <f t="array" ref="AE411">_xlfn.IFS(Table13[[#This Row],[Revenue]]&gt;=30000000,"High Spender",Table13[[#This Row],[Revenue]]&gt;=10000000,"Moderate Spender",TRUE,"Low Spender")</f>
        <v>Low Spender</v>
      </c>
      <c r="AF411" s="4" t="str" cm="1">
        <f t="array" ref="AF411">_xlfn.IFS(Table13[[#This Row],[Land_Size_SQM]]&gt;=730,"LARGE",Table13[[#This Row],[Land_Size_SQM]]&gt;=465,"MEDIUM",TRUE,"SMALL")</f>
        <v>SMALL</v>
      </c>
    </row>
    <row r="412" spans="1:32" x14ac:dyDescent="0.3">
      <c r="A412" t="s">
        <v>247</v>
      </c>
      <c r="B412" t="s">
        <v>536</v>
      </c>
      <c r="C412" t="s">
        <v>626</v>
      </c>
      <c r="D412">
        <v>42</v>
      </c>
      <c r="E412" t="s">
        <v>628</v>
      </c>
      <c r="F412">
        <v>274</v>
      </c>
      <c r="G412" s="4">
        <v>21048</v>
      </c>
      <c r="H412" s="4">
        <v>5767152</v>
      </c>
      <c r="I412" t="s">
        <v>660</v>
      </c>
      <c r="J412" t="s">
        <v>672</v>
      </c>
      <c r="K412" t="s">
        <v>675</v>
      </c>
      <c r="L412" t="s">
        <v>682</v>
      </c>
      <c r="M412" t="s">
        <v>683</v>
      </c>
      <c r="N412" t="s">
        <v>689</v>
      </c>
      <c r="O412" t="s">
        <v>693</v>
      </c>
      <c r="P412" s="4">
        <v>5767152</v>
      </c>
      <c r="Q412">
        <v>0</v>
      </c>
      <c r="R412" s="7">
        <v>2.5099999999999998</v>
      </c>
      <c r="S412" s="8">
        <f>Table13[[#This Row],[Discount_%]]/100</f>
        <v>2.5099999999999997E-2</v>
      </c>
      <c r="T412" s="6" t="s">
        <v>863</v>
      </c>
      <c r="U412" t="s">
        <v>990</v>
      </c>
      <c r="V412">
        <v>2024</v>
      </c>
      <c r="W412" t="s">
        <v>994</v>
      </c>
      <c r="X412" t="s">
        <v>997</v>
      </c>
      <c r="Y412" t="s">
        <v>1000</v>
      </c>
      <c r="Z412">
        <v>2</v>
      </c>
      <c r="AA412">
        <v>21</v>
      </c>
      <c r="AB412" s="4">
        <f>Table13[[#This Row],[Total_Price]]*(1-Table13[[#This Row],[Discount 2]])</f>
        <v>5622396.4847999997</v>
      </c>
      <c r="AC412" s="4" t="str" cm="1">
        <f t="array" ref="AC412">_xlfn.IFS(Table13[[#This Row],[Revenue]]&gt;=30000000,"High Value",Table13[[#This Row],[Revenue]]&gt;=10000000,"Moderate Value",TRUE,"Low Value")</f>
        <v>Low Value</v>
      </c>
      <c r="AD412" t="str">
        <f>IF(Table13[[#This Row],[Discount 2]]&gt;=5%, "YES", "NO")</f>
        <v>NO</v>
      </c>
      <c r="AE412" t="str" cm="1">
        <f t="array" ref="AE412">_xlfn.IFS(Table13[[#This Row],[Revenue]]&gt;=30000000,"High Spender",Table13[[#This Row],[Revenue]]&gt;=10000000,"Moderate Spender",TRUE,"Low Spender")</f>
        <v>Low Spender</v>
      </c>
      <c r="AF412" s="4" t="str" cm="1">
        <f t="array" ref="AF412">_xlfn.IFS(Table13[[#This Row],[Land_Size_SQM]]&gt;=730,"LARGE",Table13[[#This Row],[Land_Size_SQM]]&gt;=465,"MEDIUM",TRUE,"SMALL")</f>
        <v>SMALL</v>
      </c>
    </row>
    <row r="413" spans="1:32" x14ac:dyDescent="0.3">
      <c r="A413" t="s">
        <v>76</v>
      </c>
      <c r="B413" t="s">
        <v>564</v>
      </c>
      <c r="C413" t="s">
        <v>627</v>
      </c>
      <c r="D413">
        <v>53</v>
      </c>
      <c r="E413" t="s">
        <v>630</v>
      </c>
      <c r="F413">
        <v>247</v>
      </c>
      <c r="G413" s="4">
        <v>23258</v>
      </c>
      <c r="H413" s="4">
        <v>5744726</v>
      </c>
      <c r="I413" t="s">
        <v>651</v>
      </c>
      <c r="J413" t="s">
        <v>669</v>
      </c>
      <c r="K413" t="s">
        <v>664</v>
      </c>
      <c r="L413" t="s">
        <v>682</v>
      </c>
      <c r="M413" t="s">
        <v>683</v>
      </c>
      <c r="N413" t="s">
        <v>688</v>
      </c>
      <c r="O413" t="s">
        <v>693</v>
      </c>
      <c r="P413" s="4">
        <v>5744726</v>
      </c>
      <c r="Q413">
        <v>0</v>
      </c>
      <c r="R413" s="7">
        <v>2.93</v>
      </c>
      <c r="S413" s="8">
        <f>Table13[[#This Row],[Discount_%]]/100</f>
        <v>2.9300000000000003E-2</v>
      </c>
      <c r="T413" s="6" t="s">
        <v>740</v>
      </c>
      <c r="U413" t="s">
        <v>991</v>
      </c>
      <c r="V413">
        <v>2024</v>
      </c>
      <c r="W413" t="s">
        <v>996</v>
      </c>
      <c r="X413" t="s">
        <v>999</v>
      </c>
      <c r="Y413" t="s">
        <v>1001</v>
      </c>
      <c r="Z413">
        <v>4</v>
      </c>
      <c r="AA413">
        <v>40</v>
      </c>
      <c r="AB413" s="4">
        <f>Table13[[#This Row],[Total_Price]]*(1-Table13[[#This Row],[Discount 2]])</f>
        <v>5576405.5281999996</v>
      </c>
      <c r="AC413" s="4" t="str" cm="1">
        <f t="array" ref="AC413">_xlfn.IFS(Table13[[#This Row],[Revenue]]&gt;=30000000,"High Value",Table13[[#This Row],[Revenue]]&gt;=10000000,"Moderate Value",TRUE,"Low Value")</f>
        <v>Low Value</v>
      </c>
      <c r="AD413" t="str">
        <f>IF(Table13[[#This Row],[Discount 2]]&gt;=5%, "YES", "NO")</f>
        <v>NO</v>
      </c>
      <c r="AE413" t="str" cm="1">
        <f t="array" ref="AE413">_xlfn.IFS(Table13[[#This Row],[Revenue]]&gt;=30000000,"High Spender",Table13[[#This Row],[Revenue]]&gt;=10000000,"Moderate Spender",TRUE,"Low Spender")</f>
        <v>Low Spender</v>
      </c>
      <c r="AF413" s="4" t="str" cm="1">
        <f t="array" ref="AF413">_xlfn.IFS(Table13[[#This Row],[Land_Size_SQM]]&gt;=730,"LARGE",Table13[[#This Row],[Land_Size_SQM]]&gt;=465,"MEDIUM",TRUE,"SMALL")</f>
        <v>SMALL</v>
      </c>
    </row>
    <row r="414" spans="1:32" x14ac:dyDescent="0.3">
      <c r="A414" t="s">
        <v>328</v>
      </c>
      <c r="B414" t="s">
        <v>583</v>
      </c>
      <c r="C414" t="s">
        <v>627</v>
      </c>
      <c r="D414">
        <v>50</v>
      </c>
      <c r="E414" t="s">
        <v>630</v>
      </c>
      <c r="F414">
        <v>865</v>
      </c>
      <c r="G414" s="4">
        <v>6648</v>
      </c>
      <c r="H414" s="4">
        <v>5750520</v>
      </c>
      <c r="I414" t="s">
        <v>646</v>
      </c>
      <c r="J414" t="s">
        <v>673</v>
      </c>
      <c r="K414" t="s">
        <v>675</v>
      </c>
      <c r="L414" t="s">
        <v>680</v>
      </c>
      <c r="M414" t="s">
        <v>687</v>
      </c>
      <c r="N414" t="s">
        <v>688</v>
      </c>
      <c r="O414" t="s">
        <v>694</v>
      </c>
      <c r="P414" s="4">
        <v>1841575</v>
      </c>
      <c r="Q414">
        <v>24</v>
      </c>
      <c r="R414" s="7">
        <v>4.13</v>
      </c>
      <c r="S414" s="8">
        <f>Table13[[#This Row],[Discount_%]]/100</f>
        <v>4.1299999999999996E-2</v>
      </c>
      <c r="T414" s="6" t="s">
        <v>916</v>
      </c>
      <c r="U414" t="s">
        <v>983</v>
      </c>
      <c r="V414">
        <v>2024</v>
      </c>
      <c r="W414" t="s">
        <v>995</v>
      </c>
      <c r="X414" t="s">
        <v>998</v>
      </c>
      <c r="Y414" t="s">
        <v>1001</v>
      </c>
      <c r="Z414">
        <v>3</v>
      </c>
      <c r="AA414">
        <v>35</v>
      </c>
      <c r="AB414" s="4">
        <f>Table13[[#This Row],[Total_Price]]*(1-Table13[[#This Row],[Discount 2]])</f>
        <v>5513023.5240000002</v>
      </c>
      <c r="AC414" s="4" t="str" cm="1">
        <f t="array" ref="AC414">_xlfn.IFS(Table13[[#This Row],[Revenue]]&gt;=30000000,"High Value",Table13[[#This Row],[Revenue]]&gt;=10000000,"Moderate Value",TRUE,"Low Value")</f>
        <v>Low Value</v>
      </c>
      <c r="AD414" t="str">
        <f>IF(Table13[[#This Row],[Discount 2]]&gt;=5%, "YES", "NO")</f>
        <v>NO</v>
      </c>
      <c r="AE414" t="str" cm="1">
        <f t="array" ref="AE414">_xlfn.IFS(Table13[[#This Row],[Revenue]]&gt;=30000000,"High Spender",Table13[[#This Row],[Revenue]]&gt;=10000000,"Moderate Spender",TRUE,"Low Spender")</f>
        <v>Low Spender</v>
      </c>
      <c r="AF414" s="4" t="str" cm="1">
        <f t="array" ref="AF414">_xlfn.IFS(Table13[[#This Row],[Land_Size_SQM]]&gt;=730,"LARGE",Table13[[#This Row],[Land_Size_SQM]]&gt;=465,"MEDIUM",TRUE,"SMALL")</f>
        <v>LARGE</v>
      </c>
    </row>
    <row r="415" spans="1:32" x14ac:dyDescent="0.3">
      <c r="A415" t="s">
        <v>498</v>
      </c>
      <c r="B415" t="s">
        <v>571</v>
      </c>
      <c r="C415" t="s">
        <v>626</v>
      </c>
      <c r="D415">
        <v>50</v>
      </c>
      <c r="E415" t="s">
        <v>629</v>
      </c>
      <c r="F415">
        <v>246</v>
      </c>
      <c r="G415" s="4">
        <v>23333</v>
      </c>
      <c r="H415" s="4">
        <v>5739918</v>
      </c>
      <c r="I415" t="s">
        <v>643</v>
      </c>
      <c r="J415" t="s">
        <v>671</v>
      </c>
      <c r="K415" t="s">
        <v>651</v>
      </c>
      <c r="L415" t="s">
        <v>682</v>
      </c>
      <c r="M415" t="s">
        <v>685</v>
      </c>
      <c r="N415" t="s">
        <v>691</v>
      </c>
      <c r="O415" t="s">
        <v>694</v>
      </c>
      <c r="P415" s="4">
        <v>2192815</v>
      </c>
      <c r="Q415">
        <v>6</v>
      </c>
      <c r="R415" s="7">
        <v>4</v>
      </c>
      <c r="S415" s="8">
        <f>Table13[[#This Row],[Discount_%]]/100</f>
        <v>0.04</v>
      </c>
      <c r="T415" s="6" t="s">
        <v>778</v>
      </c>
      <c r="U415" t="s">
        <v>983</v>
      </c>
      <c r="V415">
        <v>2024</v>
      </c>
      <c r="W415" t="s">
        <v>994</v>
      </c>
      <c r="X415" t="s">
        <v>997</v>
      </c>
      <c r="Y415" t="s">
        <v>1000</v>
      </c>
      <c r="Z415">
        <v>2</v>
      </c>
      <c r="AA415">
        <v>34</v>
      </c>
      <c r="AB415" s="4">
        <f>Table13[[#This Row],[Total_Price]]*(1-Table13[[#This Row],[Discount 2]])</f>
        <v>5510321.2800000003</v>
      </c>
      <c r="AC415" s="4" t="str" cm="1">
        <f t="array" ref="AC415">_xlfn.IFS(Table13[[#This Row],[Revenue]]&gt;=30000000,"High Value",Table13[[#This Row],[Revenue]]&gt;=10000000,"Moderate Value",TRUE,"Low Value")</f>
        <v>Low Value</v>
      </c>
      <c r="AD415" t="str">
        <f>IF(Table13[[#This Row],[Discount 2]]&gt;=5%, "YES", "NO")</f>
        <v>NO</v>
      </c>
      <c r="AE415" t="str" cm="1">
        <f t="array" ref="AE415">_xlfn.IFS(Table13[[#This Row],[Revenue]]&gt;=30000000,"High Spender",Table13[[#This Row],[Revenue]]&gt;=10000000,"Moderate Spender",TRUE,"Low Spender")</f>
        <v>Low Spender</v>
      </c>
      <c r="AF415" s="4" t="str" cm="1">
        <f t="array" ref="AF415">_xlfn.IFS(Table13[[#This Row],[Land_Size_SQM]]&gt;=730,"LARGE",Table13[[#This Row],[Land_Size_SQM]]&gt;=465,"MEDIUM",TRUE,"SMALL")</f>
        <v>SMALL</v>
      </c>
    </row>
    <row r="416" spans="1:32" x14ac:dyDescent="0.3">
      <c r="A416" t="s">
        <v>349</v>
      </c>
      <c r="B416" t="s">
        <v>621</v>
      </c>
      <c r="C416" t="s">
        <v>627</v>
      </c>
      <c r="D416">
        <v>57</v>
      </c>
      <c r="E416" t="s">
        <v>628</v>
      </c>
      <c r="F416">
        <v>615</v>
      </c>
      <c r="G416" s="4">
        <v>9745</v>
      </c>
      <c r="H416" s="4">
        <v>5993175</v>
      </c>
      <c r="I416" t="s">
        <v>636</v>
      </c>
      <c r="J416" t="s">
        <v>671</v>
      </c>
      <c r="K416" t="s">
        <v>664</v>
      </c>
      <c r="L416" t="s">
        <v>680</v>
      </c>
      <c r="M416" t="s">
        <v>685</v>
      </c>
      <c r="N416" t="s">
        <v>688</v>
      </c>
      <c r="O416" t="s">
        <v>693</v>
      </c>
      <c r="P416" s="4">
        <v>5993175</v>
      </c>
      <c r="Q416">
        <v>0</v>
      </c>
      <c r="R416" s="7">
        <v>8.07</v>
      </c>
      <c r="S416" s="8">
        <f>Table13[[#This Row],[Discount_%]]/100</f>
        <v>8.0700000000000008E-2</v>
      </c>
      <c r="T416" s="6" t="s">
        <v>719</v>
      </c>
      <c r="U416" t="s">
        <v>984</v>
      </c>
      <c r="V416">
        <v>2024</v>
      </c>
      <c r="W416" t="s">
        <v>995</v>
      </c>
      <c r="X416" t="s">
        <v>997</v>
      </c>
      <c r="Y416" t="s">
        <v>1000</v>
      </c>
      <c r="Z416">
        <v>4</v>
      </c>
      <c r="AA416">
        <v>40</v>
      </c>
      <c r="AB416" s="4">
        <f>Table13[[#This Row],[Total_Price]]*(1-Table13[[#This Row],[Discount 2]])</f>
        <v>5509525.7774999999</v>
      </c>
      <c r="AC416" s="4" t="str" cm="1">
        <f t="array" ref="AC416">_xlfn.IFS(Table13[[#This Row],[Revenue]]&gt;=30000000,"High Value",Table13[[#This Row],[Revenue]]&gt;=10000000,"Moderate Value",TRUE,"Low Value")</f>
        <v>Low Value</v>
      </c>
      <c r="AD416" t="str">
        <f>IF(Table13[[#This Row],[Discount 2]]&gt;=5%, "YES", "NO")</f>
        <v>YES</v>
      </c>
      <c r="AE416" t="str" cm="1">
        <f t="array" ref="AE416">_xlfn.IFS(Table13[[#This Row],[Revenue]]&gt;=30000000,"High Spender",Table13[[#This Row],[Revenue]]&gt;=10000000,"Moderate Spender",TRUE,"Low Spender")</f>
        <v>Low Spender</v>
      </c>
      <c r="AF416" s="4" t="str" cm="1">
        <f t="array" ref="AF416">_xlfn.IFS(Table13[[#This Row],[Land_Size_SQM]]&gt;=730,"LARGE",Table13[[#This Row],[Land_Size_SQM]]&gt;=465,"MEDIUM",TRUE,"SMALL")</f>
        <v>MEDIUM</v>
      </c>
    </row>
    <row r="417" spans="1:32" x14ac:dyDescent="0.3">
      <c r="A417" t="s">
        <v>324</v>
      </c>
      <c r="B417" t="s">
        <v>535</v>
      </c>
      <c r="C417" t="s">
        <v>627</v>
      </c>
      <c r="D417">
        <v>33</v>
      </c>
      <c r="E417" t="s">
        <v>629</v>
      </c>
      <c r="F417">
        <v>479</v>
      </c>
      <c r="G417" s="4">
        <v>11785</v>
      </c>
      <c r="H417" s="4">
        <v>5645015</v>
      </c>
      <c r="I417" t="s">
        <v>639</v>
      </c>
      <c r="J417" t="s">
        <v>671</v>
      </c>
      <c r="K417" t="s">
        <v>676</v>
      </c>
      <c r="L417" t="s">
        <v>681</v>
      </c>
      <c r="M417" t="s">
        <v>686</v>
      </c>
      <c r="N417" t="s">
        <v>690</v>
      </c>
      <c r="O417" t="s">
        <v>693</v>
      </c>
      <c r="P417" s="4">
        <v>5645015</v>
      </c>
      <c r="Q417">
        <v>0</v>
      </c>
      <c r="R417" s="7">
        <v>2.74</v>
      </c>
      <c r="S417" s="8">
        <f>Table13[[#This Row],[Discount_%]]/100</f>
        <v>2.7400000000000001E-2</v>
      </c>
      <c r="T417" s="6" t="s">
        <v>913</v>
      </c>
      <c r="U417" t="s">
        <v>988</v>
      </c>
      <c r="V417">
        <v>2024</v>
      </c>
      <c r="W417" t="s">
        <v>994</v>
      </c>
      <c r="X417" t="s">
        <v>999</v>
      </c>
      <c r="Y417" t="s">
        <v>1001</v>
      </c>
      <c r="Z417">
        <v>3</v>
      </c>
      <c r="AA417">
        <v>37</v>
      </c>
      <c r="AB417" s="4">
        <f>Table13[[#This Row],[Total_Price]]*(1-Table13[[#This Row],[Discount 2]])</f>
        <v>5490341.5889999997</v>
      </c>
      <c r="AC417" s="4" t="str" cm="1">
        <f t="array" ref="AC417">_xlfn.IFS(Table13[[#This Row],[Revenue]]&gt;=30000000,"High Value",Table13[[#This Row],[Revenue]]&gt;=10000000,"Moderate Value",TRUE,"Low Value")</f>
        <v>Low Value</v>
      </c>
      <c r="AD417" t="str">
        <f>IF(Table13[[#This Row],[Discount 2]]&gt;=5%, "YES", "NO")</f>
        <v>NO</v>
      </c>
      <c r="AE417" t="str" cm="1">
        <f t="array" ref="AE417">_xlfn.IFS(Table13[[#This Row],[Revenue]]&gt;=30000000,"High Spender",Table13[[#This Row],[Revenue]]&gt;=10000000,"Moderate Spender",TRUE,"Low Spender")</f>
        <v>Low Spender</v>
      </c>
      <c r="AF417" s="4" t="str" cm="1">
        <f t="array" ref="AF417">_xlfn.IFS(Table13[[#This Row],[Land_Size_SQM]]&gt;=730,"LARGE",Table13[[#This Row],[Land_Size_SQM]]&gt;=465,"MEDIUM",TRUE,"SMALL")</f>
        <v>MEDIUM</v>
      </c>
    </row>
    <row r="418" spans="1:32" x14ac:dyDescent="0.3">
      <c r="A418" t="s">
        <v>296</v>
      </c>
      <c r="B418" t="s">
        <v>579</v>
      </c>
      <c r="C418" t="s">
        <v>627</v>
      </c>
      <c r="D418">
        <v>29</v>
      </c>
      <c r="E418" t="s">
        <v>628</v>
      </c>
      <c r="F418">
        <v>255</v>
      </c>
      <c r="G418" s="4">
        <v>21974</v>
      </c>
      <c r="H418" s="4">
        <v>5603370</v>
      </c>
      <c r="I418" t="s">
        <v>659</v>
      </c>
      <c r="J418" t="s">
        <v>668</v>
      </c>
      <c r="K418" t="s">
        <v>640</v>
      </c>
      <c r="L418" t="s">
        <v>682</v>
      </c>
      <c r="M418" t="s">
        <v>684</v>
      </c>
      <c r="N418" t="s">
        <v>691</v>
      </c>
      <c r="O418" t="s">
        <v>693</v>
      </c>
      <c r="P418" s="4">
        <v>5603370</v>
      </c>
      <c r="Q418">
        <v>0</v>
      </c>
      <c r="R418" s="7">
        <v>3.19</v>
      </c>
      <c r="S418" s="8">
        <f>Table13[[#This Row],[Discount_%]]/100</f>
        <v>3.1899999999999998E-2</v>
      </c>
      <c r="T418" s="6" t="s">
        <v>894</v>
      </c>
      <c r="U418" t="s">
        <v>985</v>
      </c>
      <c r="V418">
        <v>2024</v>
      </c>
      <c r="W418" t="s">
        <v>993</v>
      </c>
      <c r="X418" t="s">
        <v>999</v>
      </c>
      <c r="Y418" t="s">
        <v>1002</v>
      </c>
      <c r="Z418">
        <v>3</v>
      </c>
      <c r="AA418">
        <v>26</v>
      </c>
      <c r="AB418" s="4">
        <f>Table13[[#This Row],[Total_Price]]*(1-Table13[[#This Row],[Discount 2]])</f>
        <v>5424622.4969999995</v>
      </c>
      <c r="AC418" s="4" t="str" cm="1">
        <f t="array" ref="AC418">_xlfn.IFS(Table13[[#This Row],[Revenue]]&gt;=30000000,"High Value",Table13[[#This Row],[Revenue]]&gt;=10000000,"Moderate Value",TRUE,"Low Value")</f>
        <v>Low Value</v>
      </c>
      <c r="AD418" t="str">
        <f>IF(Table13[[#This Row],[Discount 2]]&gt;=5%, "YES", "NO")</f>
        <v>NO</v>
      </c>
      <c r="AE418" t="str" cm="1">
        <f t="array" ref="AE418">_xlfn.IFS(Table13[[#This Row],[Revenue]]&gt;=30000000,"High Spender",Table13[[#This Row],[Revenue]]&gt;=10000000,"Moderate Spender",TRUE,"Low Spender")</f>
        <v>Low Spender</v>
      </c>
      <c r="AF418" s="4" t="str" cm="1">
        <f t="array" ref="AF418">_xlfn.IFS(Table13[[#This Row],[Land_Size_SQM]]&gt;=730,"LARGE",Table13[[#This Row],[Land_Size_SQM]]&gt;=465,"MEDIUM",TRUE,"SMALL")</f>
        <v>SMALL</v>
      </c>
    </row>
    <row r="419" spans="1:32" x14ac:dyDescent="0.3">
      <c r="A419" t="s">
        <v>115</v>
      </c>
      <c r="B419" t="s">
        <v>579</v>
      </c>
      <c r="C419" t="s">
        <v>627</v>
      </c>
      <c r="D419">
        <v>27</v>
      </c>
      <c r="E419" t="s">
        <v>628</v>
      </c>
      <c r="F419">
        <v>926</v>
      </c>
      <c r="G419" s="4">
        <v>6255</v>
      </c>
      <c r="H419" s="4">
        <v>5792130</v>
      </c>
      <c r="I419" t="s">
        <v>635</v>
      </c>
      <c r="J419" t="s">
        <v>668</v>
      </c>
      <c r="K419" t="s">
        <v>651</v>
      </c>
      <c r="L419" t="s">
        <v>680</v>
      </c>
      <c r="M419" t="s">
        <v>683</v>
      </c>
      <c r="N419" t="s">
        <v>691</v>
      </c>
      <c r="O419" t="s">
        <v>694</v>
      </c>
      <c r="P419" s="4">
        <v>2637786</v>
      </c>
      <c r="Q419">
        <v>12</v>
      </c>
      <c r="R419" s="7">
        <v>7.12</v>
      </c>
      <c r="S419" s="8">
        <f>Table13[[#This Row],[Discount_%]]/100</f>
        <v>7.1199999999999999E-2</v>
      </c>
      <c r="T419" s="6" t="s">
        <v>773</v>
      </c>
      <c r="U419" t="s">
        <v>984</v>
      </c>
      <c r="V419">
        <v>2024</v>
      </c>
      <c r="W419" t="s">
        <v>993</v>
      </c>
      <c r="X419" t="s">
        <v>998</v>
      </c>
      <c r="Y419" t="s">
        <v>1001</v>
      </c>
      <c r="Z419">
        <v>5</v>
      </c>
      <c r="AA419">
        <v>24</v>
      </c>
      <c r="AB419" s="4">
        <f>Table13[[#This Row],[Total_Price]]*(1-Table13[[#This Row],[Discount 2]])</f>
        <v>5379730.3439999996</v>
      </c>
      <c r="AC419" s="4" t="str" cm="1">
        <f t="array" ref="AC419">_xlfn.IFS(Table13[[#This Row],[Revenue]]&gt;=30000000,"High Value",Table13[[#This Row],[Revenue]]&gt;=10000000,"Moderate Value",TRUE,"Low Value")</f>
        <v>Low Value</v>
      </c>
      <c r="AD419" t="str">
        <f>IF(Table13[[#This Row],[Discount 2]]&gt;=5%, "YES", "NO")</f>
        <v>YES</v>
      </c>
      <c r="AE419" t="str" cm="1">
        <f t="array" ref="AE419">_xlfn.IFS(Table13[[#This Row],[Revenue]]&gt;=30000000,"High Spender",Table13[[#This Row],[Revenue]]&gt;=10000000,"Moderate Spender",TRUE,"Low Spender")</f>
        <v>Low Spender</v>
      </c>
      <c r="AF419" s="4" t="str" cm="1">
        <f t="array" ref="AF419">_xlfn.IFS(Table13[[#This Row],[Land_Size_SQM]]&gt;=730,"LARGE",Table13[[#This Row],[Land_Size_SQM]]&gt;=465,"MEDIUM",TRUE,"SMALL")</f>
        <v>LARGE</v>
      </c>
    </row>
    <row r="420" spans="1:32" x14ac:dyDescent="0.3">
      <c r="A420" t="s">
        <v>203</v>
      </c>
      <c r="B420" t="s">
        <v>555</v>
      </c>
      <c r="C420" t="s">
        <v>626</v>
      </c>
      <c r="D420">
        <v>25</v>
      </c>
      <c r="E420" t="s">
        <v>629</v>
      </c>
      <c r="F420">
        <v>411</v>
      </c>
      <c r="G420" s="4">
        <v>13195</v>
      </c>
      <c r="H420" s="4">
        <v>5423145</v>
      </c>
      <c r="I420" t="s">
        <v>649</v>
      </c>
      <c r="J420" t="s">
        <v>669</v>
      </c>
      <c r="K420" t="s">
        <v>664</v>
      </c>
      <c r="L420" t="s">
        <v>682</v>
      </c>
      <c r="M420" t="s">
        <v>684</v>
      </c>
      <c r="N420" t="s">
        <v>688</v>
      </c>
      <c r="O420" t="s">
        <v>694</v>
      </c>
      <c r="P420" s="4">
        <v>1855102</v>
      </c>
      <c r="Q420">
        <v>3</v>
      </c>
      <c r="R420" s="7">
        <v>1.1599999999999999</v>
      </c>
      <c r="S420" s="8">
        <f>Table13[[#This Row],[Discount_%]]/100</f>
        <v>1.1599999999999999E-2</v>
      </c>
      <c r="T420" s="6" t="s">
        <v>774</v>
      </c>
      <c r="U420" t="s">
        <v>991</v>
      </c>
      <c r="V420">
        <v>2024</v>
      </c>
      <c r="W420" t="s">
        <v>994</v>
      </c>
      <c r="X420" t="s">
        <v>998</v>
      </c>
      <c r="Y420" t="s">
        <v>1002</v>
      </c>
      <c r="Z420">
        <v>2</v>
      </c>
      <c r="AA420">
        <v>29</v>
      </c>
      <c r="AB420" s="4">
        <f>Table13[[#This Row],[Total_Price]]*(1-Table13[[#This Row],[Discount 2]])</f>
        <v>5360236.5180000002</v>
      </c>
      <c r="AC420" s="4" t="str" cm="1">
        <f t="array" ref="AC420">_xlfn.IFS(Table13[[#This Row],[Revenue]]&gt;=30000000,"High Value",Table13[[#This Row],[Revenue]]&gt;=10000000,"Moderate Value",TRUE,"Low Value")</f>
        <v>Low Value</v>
      </c>
      <c r="AD420" t="str">
        <f>IF(Table13[[#This Row],[Discount 2]]&gt;=5%, "YES", "NO")</f>
        <v>NO</v>
      </c>
      <c r="AE420" t="str" cm="1">
        <f t="array" ref="AE420">_xlfn.IFS(Table13[[#This Row],[Revenue]]&gt;=30000000,"High Spender",Table13[[#This Row],[Revenue]]&gt;=10000000,"Moderate Spender",TRUE,"Low Spender")</f>
        <v>Low Spender</v>
      </c>
      <c r="AF420" s="4" t="str" cm="1">
        <f t="array" ref="AF420">_xlfn.IFS(Table13[[#This Row],[Land_Size_SQM]]&gt;=730,"LARGE",Table13[[#This Row],[Land_Size_SQM]]&gt;=465,"MEDIUM",TRUE,"SMALL")</f>
        <v>SMALL</v>
      </c>
    </row>
    <row r="421" spans="1:32" x14ac:dyDescent="0.3">
      <c r="A421" t="s">
        <v>237</v>
      </c>
      <c r="B421" t="s">
        <v>599</v>
      </c>
      <c r="C421" t="s">
        <v>626</v>
      </c>
      <c r="D421">
        <v>64</v>
      </c>
      <c r="E421" t="s">
        <v>629</v>
      </c>
      <c r="F421">
        <v>663</v>
      </c>
      <c r="G421" s="4">
        <v>8716</v>
      </c>
      <c r="H421" s="4">
        <v>5778708</v>
      </c>
      <c r="I421" t="s">
        <v>638</v>
      </c>
      <c r="J421" t="s">
        <v>672</v>
      </c>
      <c r="K421" t="s">
        <v>651</v>
      </c>
      <c r="L421" t="s">
        <v>680</v>
      </c>
      <c r="M421" t="s">
        <v>684</v>
      </c>
      <c r="N421" t="s">
        <v>691</v>
      </c>
      <c r="O421" t="s">
        <v>693</v>
      </c>
      <c r="P421" s="4">
        <v>5778708</v>
      </c>
      <c r="Q421">
        <v>0</v>
      </c>
      <c r="R421" s="7">
        <v>7.42</v>
      </c>
      <c r="S421" s="8">
        <f>Table13[[#This Row],[Discount_%]]/100</f>
        <v>7.4200000000000002E-2</v>
      </c>
      <c r="T421" s="6" t="s">
        <v>776</v>
      </c>
      <c r="U421" t="s">
        <v>985</v>
      </c>
      <c r="V421">
        <v>2024</v>
      </c>
      <c r="W421" t="s">
        <v>995</v>
      </c>
      <c r="X421" t="s">
        <v>997</v>
      </c>
      <c r="Y421" t="s">
        <v>1002</v>
      </c>
      <c r="Z421">
        <v>5</v>
      </c>
      <c r="AA421">
        <v>4</v>
      </c>
      <c r="AB421" s="4">
        <f>Table13[[#This Row],[Total_Price]]*(1-Table13[[#This Row],[Discount 2]])</f>
        <v>5349927.8663999997</v>
      </c>
      <c r="AC421" s="4" t="str" cm="1">
        <f t="array" ref="AC421">_xlfn.IFS(Table13[[#This Row],[Revenue]]&gt;=30000000,"High Value",Table13[[#This Row],[Revenue]]&gt;=10000000,"Moderate Value",TRUE,"Low Value")</f>
        <v>Low Value</v>
      </c>
      <c r="AD421" t="str">
        <f>IF(Table13[[#This Row],[Discount 2]]&gt;=5%, "YES", "NO")</f>
        <v>YES</v>
      </c>
      <c r="AE421" t="str" cm="1">
        <f t="array" ref="AE421">_xlfn.IFS(Table13[[#This Row],[Revenue]]&gt;=30000000,"High Spender",Table13[[#This Row],[Revenue]]&gt;=10000000,"Moderate Spender",TRUE,"Low Spender")</f>
        <v>Low Spender</v>
      </c>
      <c r="AF421" s="4" t="str" cm="1">
        <f t="array" ref="AF421">_xlfn.IFS(Table13[[#This Row],[Land_Size_SQM]]&gt;=730,"LARGE",Table13[[#This Row],[Land_Size_SQM]]&gt;=465,"MEDIUM",TRUE,"SMALL")</f>
        <v>MEDIUM</v>
      </c>
    </row>
    <row r="422" spans="1:32" x14ac:dyDescent="0.3">
      <c r="A422" t="s">
        <v>366</v>
      </c>
      <c r="B422" t="s">
        <v>619</v>
      </c>
      <c r="C422" t="s">
        <v>626</v>
      </c>
      <c r="D422">
        <v>42</v>
      </c>
      <c r="E422" t="s">
        <v>630</v>
      </c>
      <c r="F422">
        <v>354</v>
      </c>
      <c r="G422" s="4">
        <v>15386</v>
      </c>
      <c r="H422" s="4">
        <v>5446644</v>
      </c>
      <c r="I422" t="s">
        <v>653</v>
      </c>
      <c r="J422" t="s">
        <v>668</v>
      </c>
      <c r="K422" t="s">
        <v>678</v>
      </c>
      <c r="L422" t="s">
        <v>681</v>
      </c>
      <c r="M422" t="s">
        <v>685</v>
      </c>
      <c r="N422" t="s">
        <v>690</v>
      </c>
      <c r="O422" t="s">
        <v>693</v>
      </c>
      <c r="P422" s="4">
        <v>5446644</v>
      </c>
      <c r="Q422">
        <v>0</v>
      </c>
      <c r="R422" s="7">
        <v>2.93</v>
      </c>
      <c r="S422" s="8">
        <f>Table13[[#This Row],[Discount_%]]/100</f>
        <v>2.9300000000000003E-2</v>
      </c>
      <c r="T422" s="6" t="s">
        <v>698</v>
      </c>
      <c r="U422" t="s">
        <v>984</v>
      </c>
      <c r="V422">
        <v>2024</v>
      </c>
      <c r="W422" t="s">
        <v>996</v>
      </c>
      <c r="X422" t="s">
        <v>999</v>
      </c>
      <c r="Y422" t="s">
        <v>1000</v>
      </c>
      <c r="Z422">
        <v>2</v>
      </c>
      <c r="AA422">
        <v>34</v>
      </c>
      <c r="AB422" s="4">
        <f>Table13[[#This Row],[Total_Price]]*(1-Table13[[#This Row],[Discount 2]])</f>
        <v>5287057.3307999996</v>
      </c>
      <c r="AC422" s="4" t="str" cm="1">
        <f t="array" ref="AC422">_xlfn.IFS(Table13[[#This Row],[Revenue]]&gt;=30000000,"High Value",Table13[[#This Row],[Revenue]]&gt;=10000000,"Moderate Value",TRUE,"Low Value")</f>
        <v>Low Value</v>
      </c>
      <c r="AD422" t="str">
        <f>IF(Table13[[#This Row],[Discount 2]]&gt;=5%, "YES", "NO")</f>
        <v>NO</v>
      </c>
      <c r="AE422" t="str" cm="1">
        <f t="array" ref="AE422">_xlfn.IFS(Table13[[#This Row],[Revenue]]&gt;=30000000,"High Spender",Table13[[#This Row],[Revenue]]&gt;=10000000,"Moderate Spender",TRUE,"Low Spender")</f>
        <v>Low Spender</v>
      </c>
      <c r="AF422" s="4" t="str" cm="1">
        <f t="array" ref="AF422">_xlfn.IFS(Table13[[#This Row],[Land_Size_SQM]]&gt;=730,"LARGE",Table13[[#This Row],[Land_Size_SQM]]&gt;=465,"MEDIUM",TRUE,"SMALL")</f>
        <v>SMALL</v>
      </c>
    </row>
    <row r="423" spans="1:32" x14ac:dyDescent="0.3">
      <c r="A423" t="s">
        <v>358</v>
      </c>
      <c r="B423" t="s">
        <v>527</v>
      </c>
      <c r="C423" t="s">
        <v>627</v>
      </c>
      <c r="D423">
        <v>49</v>
      </c>
      <c r="E423" t="s">
        <v>630</v>
      </c>
      <c r="F423">
        <v>543</v>
      </c>
      <c r="G423" s="4">
        <v>10336</v>
      </c>
      <c r="H423" s="4">
        <v>5612448</v>
      </c>
      <c r="I423" t="s">
        <v>657</v>
      </c>
      <c r="J423" t="s">
        <v>671</v>
      </c>
      <c r="K423" t="s">
        <v>679</v>
      </c>
      <c r="L423" t="s">
        <v>681</v>
      </c>
      <c r="M423" t="s">
        <v>683</v>
      </c>
      <c r="N423" t="s">
        <v>690</v>
      </c>
      <c r="O423" t="s">
        <v>693</v>
      </c>
      <c r="P423" s="4">
        <v>5612448</v>
      </c>
      <c r="Q423">
        <v>0</v>
      </c>
      <c r="R423" s="7">
        <v>6.92</v>
      </c>
      <c r="S423" s="8">
        <f>Table13[[#This Row],[Discount_%]]/100</f>
        <v>6.9199999999999998E-2</v>
      </c>
      <c r="T423" s="6" t="s">
        <v>789</v>
      </c>
      <c r="U423" t="s">
        <v>988</v>
      </c>
      <c r="V423">
        <v>2024</v>
      </c>
      <c r="W423" t="s">
        <v>996</v>
      </c>
      <c r="X423" t="s">
        <v>998</v>
      </c>
      <c r="Y423" t="s">
        <v>1001</v>
      </c>
      <c r="Z423">
        <v>2</v>
      </c>
      <c r="AA423">
        <v>41</v>
      </c>
      <c r="AB423" s="4">
        <f>Table13[[#This Row],[Total_Price]]*(1-Table13[[#This Row],[Discount 2]])</f>
        <v>5224066.5983999996</v>
      </c>
      <c r="AC423" s="4" t="str" cm="1">
        <f t="array" ref="AC423">_xlfn.IFS(Table13[[#This Row],[Revenue]]&gt;=30000000,"High Value",Table13[[#This Row],[Revenue]]&gt;=10000000,"Moderate Value",TRUE,"Low Value")</f>
        <v>Low Value</v>
      </c>
      <c r="AD423" t="str">
        <f>IF(Table13[[#This Row],[Discount 2]]&gt;=5%, "YES", "NO")</f>
        <v>YES</v>
      </c>
      <c r="AE423" t="str" cm="1">
        <f t="array" ref="AE423">_xlfn.IFS(Table13[[#This Row],[Revenue]]&gt;=30000000,"High Spender",Table13[[#This Row],[Revenue]]&gt;=10000000,"Moderate Spender",TRUE,"Low Spender")</f>
        <v>Low Spender</v>
      </c>
      <c r="AF423" s="4" t="str" cm="1">
        <f t="array" ref="AF423">_xlfn.IFS(Table13[[#This Row],[Land_Size_SQM]]&gt;=730,"LARGE",Table13[[#This Row],[Land_Size_SQM]]&gt;=465,"MEDIUM",TRUE,"SMALL")</f>
        <v>MEDIUM</v>
      </c>
    </row>
    <row r="424" spans="1:32" x14ac:dyDescent="0.3">
      <c r="A424" t="s">
        <v>386</v>
      </c>
      <c r="B424" t="s">
        <v>622</v>
      </c>
      <c r="C424" t="s">
        <v>626</v>
      </c>
      <c r="D424">
        <v>42</v>
      </c>
      <c r="E424" t="s">
        <v>630</v>
      </c>
      <c r="F424">
        <v>325</v>
      </c>
      <c r="G424" s="4">
        <v>17261</v>
      </c>
      <c r="H424" s="4">
        <v>5609825</v>
      </c>
      <c r="I424" t="s">
        <v>656</v>
      </c>
      <c r="J424" t="s">
        <v>669</v>
      </c>
      <c r="K424" t="s">
        <v>640</v>
      </c>
      <c r="L424" t="s">
        <v>682</v>
      </c>
      <c r="M424" t="s">
        <v>686</v>
      </c>
      <c r="N424" t="s">
        <v>691</v>
      </c>
      <c r="O424" t="s">
        <v>694</v>
      </c>
      <c r="P424" s="4">
        <v>1590697</v>
      </c>
      <c r="Q424">
        <v>24</v>
      </c>
      <c r="R424" s="7">
        <v>7.13</v>
      </c>
      <c r="S424" s="8">
        <f>Table13[[#This Row],[Discount_%]]/100</f>
        <v>7.1300000000000002E-2</v>
      </c>
      <c r="T424" s="6" t="s">
        <v>775</v>
      </c>
      <c r="U424" t="s">
        <v>985</v>
      </c>
      <c r="V424">
        <v>2024</v>
      </c>
      <c r="W424" t="s">
        <v>995</v>
      </c>
      <c r="X424" t="s">
        <v>997</v>
      </c>
      <c r="Y424" t="s">
        <v>1002</v>
      </c>
      <c r="Z424">
        <v>2</v>
      </c>
      <c r="AA424">
        <v>50</v>
      </c>
      <c r="AB424" s="4">
        <f>Table13[[#This Row],[Total_Price]]*(1-Table13[[#This Row],[Discount 2]])</f>
        <v>5209844.4775</v>
      </c>
      <c r="AC424" s="4" t="str" cm="1">
        <f t="array" ref="AC424">_xlfn.IFS(Table13[[#This Row],[Revenue]]&gt;=30000000,"High Value",Table13[[#This Row],[Revenue]]&gt;=10000000,"Moderate Value",TRUE,"Low Value")</f>
        <v>Low Value</v>
      </c>
      <c r="AD424" t="str">
        <f>IF(Table13[[#This Row],[Discount 2]]&gt;=5%, "YES", "NO")</f>
        <v>YES</v>
      </c>
      <c r="AE424" t="str" cm="1">
        <f t="array" ref="AE424">_xlfn.IFS(Table13[[#This Row],[Revenue]]&gt;=30000000,"High Spender",Table13[[#This Row],[Revenue]]&gt;=10000000,"Moderate Spender",TRUE,"Low Spender")</f>
        <v>Low Spender</v>
      </c>
      <c r="AF424" s="4" t="str" cm="1">
        <f t="array" ref="AF424">_xlfn.IFS(Table13[[#This Row],[Land_Size_SQM]]&gt;=730,"LARGE",Table13[[#This Row],[Land_Size_SQM]]&gt;=465,"MEDIUM",TRUE,"SMALL")</f>
        <v>SMALL</v>
      </c>
    </row>
    <row r="425" spans="1:32" x14ac:dyDescent="0.3">
      <c r="A425" t="s">
        <v>170</v>
      </c>
      <c r="B425" t="s">
        <v>598</v>
      </c>
      <c r="C425" t="s">
        <v>626</v>
      </c>
      <c r="D425">
        <v>30</v>
      </c>
      <c r="E425" t="s">
        <v>629</v>
      </c>
      <c r="F425">
        <v>320</v>
      </c>
      <c r="G425" s="4">
        <v>17528</v>
      </c>
      <c r="H425" s="4">
        <v>5608960</v>
      </c>
      <c r="I425" t="s">
        <v>643</v>
      </c>
      <c r="J425" t="s">
        <v>671</v>
      </c>
      <c r="K425" t="s">
        <v>678</v>
      </c>
      <c r="L425" t="s">
        <v>680</v>
      </c>
      <c r="M425" t="s">
        <v>683</v>
      </c>
      <c r="N425" t="s">
        <v>688</v>
      </c>
      <c r="O425" t="s">
        <v>693</v>
      </c>
      <c r="P425" s="4">
        <v>5608960</v>
      </c>
      <c r="Q425">
        <v>0</v>
      </c>
      <c r="R425" s="7">
        <v>8.11</v>
      </c>
      <c r="S425" s="8">
        <f>Table13[[#This Row],[Discount_%]]/100</f>
        <v>8.1099999999999992E-2</v>
      </c>
      <c r="T425" s="6" t="s">
        <v>810</v>
      </c>
      <c r="U425" t="s">
        <v>985</v>
      </c>
      <c r="V425">
        <v>2024</v>
      </c>
      <c r="W425" t="s">
        <v>993</v>
      </c>
      <c r="X425" t="s">
        <v>997</v>
      </c>
      <c r="Y425" t="s">
        <v>1002</v>
      </c>
      <c r="Z425">
        <v>5</v>
      </c>
      <c r="AA425">
        <v>18</v>
      </c>
      <c r="AB425" s="4">
        <f>Table13[[#This Row],[Total_Price]]*(1-Table13[[#This Row],[Discount 2]])</f>
        <v>5154073.3440000005</v>
      </c>
      <c r="AC425" s="4" t="str" cm="1">
        <f t="array" ref="AC425">_xlfn.IFS(Table13[[#This Row],[Revenue]]&gt;=30000000,"High Value",Table13[[#This Row],[Revenue]]&gt;=10000000,"Moderate Value",TRUE,"Low Value")</f>
        <v>Low Value</v>
      </c>
      <c r="AD425" t="str">
        <f>IF(Table13[[#This Row],[Discount 2]]&gt;=5%, "YES", "NO")</f>
        <v>YES</v>
      </c>
      <c r="AE425" t="str" cm="1">
        <f t="array" ref="AE425">_xlfn.IFS(Table13[[#This Row],[Revenue]]&gt;=30000000,"High Spender",Table13[[#This Row],[Revenue]]&gt;=10000000,"Moderate Spender",TRUE,"Low Spender")</f>
        <v>Low Spender</v>
      </c>
      <c r="AF425" s="4" t="str" cm="1">
        <f t="array" ref="AF425">_xlfn.IFS(Table13[[#This Row],[Land_Size_SQM]]&gt;=730,"LARGE",Table13[[#This Row],[Land_Size_SQM]]&gt;=465,"MEDIUM",TRUE,"SMALL")</f>
        <v>SMALL</v>
      </c>
    </row>
    <row r="426" spans="1:32" x14ac:dyDescent="0.3">
      <c r="A426" t="s">
        <v>351</v>
      </c>
      <c r="B426" t="s">
        <v>582</v>
      </c>
      <c r="C426" t="s">
        <v>627</v>
      </c>
      <c r="D426">
        <v>41</v>
      </c>
      <c r="E426" t="s">
        <v>628</v>
      </c>
      <c r="F426">
        <v>532</v>
      </c>
      <c r="G426" s="4">
        <v>9916</v>
      </c>
      <c r="H426" s="4">
        <v>5275312</v>
      </c>
      <c r="I426" t="s">
        <v>659</v>
      </c>
      <c r="J426" t="s">
        <v>668</v>
      </c>
      <c r="K426" t="s">
        <v>640</v>
      </c>
      <c r="L426" t="s">
        <v>680</v>
      </c>
      <c r="M426" t="s">
        <v>687</v>
      </c>
      <c r="N426" t="s">
        <v>688</v>
      </c>
      <c r="O426" t="s">
        <v>693</v>
      </c>
      <c r="P426" s="4">
        <v>5275312</v>
      </c>
      <c r="Q426">
        <v>0</v>
      </c>
      <c r="R426" s="7">
        <v>3.22</v>
      </c>
      <c r="S426" s="8">
        <f>Table13[[#This Row],[Discount_%]]/100</f>
        <v>3.2199999999999999E-2</v>
      </c>
      <c r="T426" s="6" t="s">
        <v>710</v>
      </c>
      <c r="U426" t="s">
        <v>990</v>
      </c>
      <c r="V426">
        <v>2024</v>
      </c>
      <c r="W426" t="s">
        <v>995</v>
      </c>
      <c r="X426" t="s">
        <v>999</v>
      </c>
      <c r="Y426" t="s">
        <v>1001</v>
      </c>
      <c r="Z426">
        <v>3</v>
      </c>
      <c r="AA426">
        <v>36</v>
      </c>
      <c r="AB426" s="4">
        <f>Table13[[#This Row],[Total_Price]]*(1-Table13[[#This Row],[Discount 2]])</f>
        <v>5105446.9535999997</v>
      </c>
      <c r="AC426" s="4" t="str" cm="1">
        <f t="array" ref="AC426">_xlfn.IFS(Table13[[#This Row],[Revenue]]&gt;=30000000,"High Value",Table13[[#This Row],[Revenue]]&gt;=10000000,"Moderate Value",TRUE,"Low Value")</f>
        <v>Low Value</v>
      </c>
      <c r="AD426" t="str">
        <f>IF(Table13[[#This Row],[Discount 2]]&gt;=5%, "YES", "NO")</f>
        <v>NO</v>
      </c>
      <c r="AE426" t="str" cm="1">
        <f t="array" ref="AE426">_xlfn.IFS(Table13[[#This Row],[Revenue]]&gt;=30000000,"High Spender",Table13[[#This Row],[Revenue]]&gt;=10000000,"Moderate Spender",TRUE,"Low Spender")</f>
        <v>Low Spender</v>
      </c>
      <c r="AF426" s="4" t="str" cm="1">
        <f t="array" ref="AF426">_xlfn.IFS(Table13[[#This Row],[Land_Size_SQM]]&gt;=730,"LARGE",Table13[[#This Row],[Land_Size_SQM]]&gt;=465,"MEDIUM",TRUE,"SMALL")</f>
        <v>MEDIUM</v>
      </c>
    </row>
    <row r="427" spans="1:32" x14ac:dyDescent="0.3">
      <c r="A427" t="s">
        <v>88</v>
      </c>
      <c r="B427" t="s">
        <v>570</v>
      </c>
      <c r="C427" t="s">
        <v>626</v>
      </c>
      <c r="D427">
        <v>48</v>
      </c>
      <c r="E427" t="s">
        <v>628</v>
      </c>
      <c r="F427">
        <v>640</v>
      </c>
      <c r="G427" s="4">
        <v>8499</v>
      </c>
      <c r="H427" s="4">
        <v>5439360</v>
      </c>
      <c r="I427" t="s">
        <v>647</v>
      </c>
      <c r="J427" t="s">
        <v>670</v>
      </c>
      <c r="K427" t="s">
        <v>674</v>
      </c>
      <c r="L427" t="s">
        <v>681</v>
      </c>
      <c r="M427" t="s">
        <v>687</v>
      </c>
      <c r="N427" t="s">
        <v>691</v>
      </c>
      <c r="O427" t="s">
        <v>693</v>
      </c>
      <c r="P427" s="4">
        <v>5439360</v>
      </c>
      <c r="Q427">
        <v>0</v>
      </c>
      <c r="R427" s="7">
        <v>8.5299999999999994</v>
      </c>
      <c r="S427" s="8">
        <f>Table13[[#This Row],[Discount_%]]/100</f>
        <v>8.5299999999999987E-2</v>
      </c>
      <c r="T427" s="6" t="s">
        <v>751</v>
      </c>
      <c r="U427" t="s">
        <v>983</v>
      </c>
      <c r="V427">
        <v>2024</v>
      </c>
      <c r="W427" t="s">
        <v>995</v>
      </c>
      <c r="X427" t="s">
        <v>998</v>
      </c>
      <c r="Y427" t="s">
        <v>1001</v>
      </c>
      <c r="Z427">
        <v>1</v>
      </c>
      <c r="AA427">
        <v>21</v>
      </c>
      <c r="AB427" s="4">
        <f>Table13[[#This Row],[Total_Price]]*(1-Table13[[#This Row],[Discount 2]])</f>
        <v>4975382.5920000002</v>
      </c>
      <c r="AC427" s="4" t="str" cm="1">
        <f t="array" ref="AC427">_xlfn.IFS(Table13[[#This Row],[Revenue]]&gt;=30000000,"High Value",Table13[[#This Row],[Revenue]]&gt;=10000000,"Moderate Value",TRUE,"Low Value")</f>
        <v>Low Value</v>
      </c>
      <c r="AD427" t="str">
        <f>IF(Table13[[#This Row],[Discount 2]]&gt;=5%, "YES", "NO")</f>
        <v>YES</v>
      </c>
      <c r="AE427" t="str" cm="1">
        <f t="array" ref="AE427">_xlfn.IFS(Table13[[#This Row],[Revenue]]&gt;=30000000,"High Spender",Table13[[#This Row],[Revenue]]&gt;=10000000,"Moderate Spender",TRUE,"Low Spender")</f>
        <v>Low Spender</v>
      </c>
      <c r="AF427" s="4" t="str" cm="1">
        <f t="array" ref="AF427">_xlfn.IFS(Table13[[#This Row],[Land_Size_SQM]]&gt;=730,"LARGE",Table13[[#This Row],[Land_Size_SQM]]&gt;=465,"MEDIUM",TRUE,"SMALL")</f>
        <v>MEDIUM</v>
      </c>
    </row>
    <row r="428" spans="1:32" x14ac:dyDescent="0.3">
      <c r="A428" t="s">
        <v>440</v>
      </c>
      <c r="B428" t="s">
        <v>620</v>
      </c>
      <c r="C428" t="s">
        <v>627</v>
      </c>
      <c r="D428">
        <v>21</v>
      </c>
      <c r="E428" t="s">
        <v>630</v>
      </c>
      <c r="F428">
        <v>975</v>
      </c>
      <c r="G428" s="4">
        <v>5465</v>
      </c>
      <c r="H428" s="4">
        <v>5328375</v>
      </c>
      <c r="I428" t="s">
        <v>665</v>
      </c>
      <c r="J428" t="s">
        <v>672</v>
      </c>
      <c r="K428" t="s">
        <v>674</v>
      </c>
      <c r="L428" t="s">
        <v>680</v>
      </c>
      <c r="M428" t="s">
        <v>683</v>
      </c>
      <c r="N428" t="s">
        <v>692</v>
      </c>
      <c r="O428" t="s">
        <v>693</v>
      </c>
      <c r="P428" s="4">
        <v>5328375</v>
      </c>
      <c r="Q428">
        <v>0</v>
      </c>
      <c r="R428" s="7">
        <v>7.51</v>
      </c>
      <c r="S428" s="8">
        <f>Table13[[#This Row],[Discount_%]]/100</f>
        <v>7.51E-2</v>
      </c>
      <c r="T428" s="6" t="s">
        <v>872</v>
      </c>
      <c r="U428" t="s">
        <v>986</v>
      </c>
      <c r="V428">
        <v>2024</v>
      </c>
      <c r="W428" t="s">
        <v>995</v>
      </c>
      <c r="X428" t="s">
        <v>999</v>
      </c>
      <c r="Y428" t="s">
        <v>1001</v>
      </c>
      <c r="Z428">
        <v>5</v>
      </c>
      <c r="AA428">
        <v>21</v>
      </c>
      <c r="AB428" s="4">
        <f>Table13[[#This Row],[Total_Price]]*(1-Table13[[#This Row],[Discount 2]])</f>
        <v>4928214.0375000006</v>
      </c>
      <c r="AC428" s="4" t="str" cm="1">
        <f t="array" ref="AC428">_xlfn.IFS(Table13[[#This Row],[Revenue]]&gt;=30000000,"High Value",Table13[[#This Row],[Revenue]]&gt;=10000000,"Moderate Value",TRUE,"Low Value")</f>
        <v>Low Value</v>
      </c>
      <c r="AD428" t="str">
        <f>IF(Table13[[#This Row],[Discount 2]]&gt;=5%, "YES", "NO")</f>
        <v>YES</v>
      </c>
      <c r="AE428" t="str" cm="1">
        <f t="array" ref="AE428">_xlfn.IFS(Table13[[#This Row],[Revenue]]&gt;=30000000,"High Spender",Table13[[#This Row],[Revenue]]&gt;=10000000,"Moderate Spender",TRUE,"Low Spender")</f>
        <v>Low Spender</v>
      </c>
      <c r="AF428" s="4" t="str" cm="1">
        <f t="array" ref="AF428">_xlfn.IFS(Table13[[#This Row],[Land_Size_SQM]]&gt;=730,"LARGE",Table13[[#This Row],[Land_Size_SQM]]&gt;=465,"MEDIUM",TRUE,"SMALL")</f>
        <v>LARGE</v>
      </c>
    </row>
    <row r="429" spans="1:32" x14ac:dyDescent="0.3">
      <c r="A429" t="s">
        <v>98</v>
      </c>
      <c r="B429" t="s">
        <v>569</v>
      </c>
      <c r="C429" t="s">
        <v>626</v>
      </c>
      <c r="D429">
        <v>49</v>
      </c>
      <c r="E429" t="s">
        <v>629</v>
      </c>
      <c r="F429">
        <v>719</v>
      </c>
      <c r="G429" s="4">
        <v>6862</v>
      </c>
      <c r="H429" s="4">
        <v>4933778</v>
      </c>
      <c r="I429" t="s">
        <v>638</v>
      </c>
      <c r="J429" t="s">
        <v>672</v>
      </c>
      <c r="K429" t="s">
        <v>651</v>
      </c>
      <c r="L429" t="s">
        <v>682</v>
      </c>
      <c r="M429" t="s">
        <v>685</v>
      </c>
      <c r="N429" t="s">
        <v>691</v>
      </c>
      <c r="O429" t="s">
        <v>694</v>
      </c>
      <c r="P429" s="4">
        <v>1655648</v>
      </c>
      <c r="Q429">
        <v>24</v>
      </c>
      <c r="R429" s="7">
        <v>0.56999999999999995</v>
      </c>
      <c r="S429" s="8">
        <f>Table13[[#This Row],[Discount_%]]/100</f>
        <v>5.6999999999999993E-3</v>
      </c>
      <c r="T429" s="6" t="s">
        <v>720</v>
      </c>
      <c r="U429" t="s">
        <v>992</v>
      </c>
      <c r="V429">
        <v>2024</v>
      </c>
      <c r="W429" t="s">
        <v>996</v>
      </c>
      <c r="X429" t="s">
        <v>998</v>
      </c>
      <c r="Y429" t="s">
        <v>1001</v>
      </c>
      <c r="Z429">
        <v>4</v>
      </c>
      <c r="AA429">
        <v>33</v>
      </c>
      <c r="AB429" s="4">
        <f>Table13[[#This Row],[Total_Price]]*(1-Table13[[#This Row],[Discount 2]])</f>
        <v>4905655.4654000001</v>
      </c>
      <c r="AC429" s="4" t="str" cm="1">
        <f t="array" ref="AC429">_xlfn.IFS(Table13[[#This Row],[Revenue]]&gt;=30000000,"High Value",Table13[[#This Row],[Revenue]]&gt;=10000000,"Moderate Value",TRUE,"Low Value")</f>
        <v>Low Value</v>
      </c>
      <c r="AD429" t="str">
        <f>IF(Table13[[#This Row],[Discount 2]]&gt;=5%, "YES", "NO")</f>
        <v>NO</v>
      </c>
      <c r="AE429" t="str" cm="1">
        <f t="array" ref="AE429">_xlfn.IFS(Table13[[#This Row],[Revenue]]&gt;=30000000,"High Spender",Table13[[#This Row],[Revenue]]&gt;=10000000,"Moderate Spender",TRUE,"Low Spender")</f>
        <v>Low Spender</v>
      </c>
      <c r="AF429" s="4" t="str" cm="1">
        <f t="array" ref="AF429">_xlfn.IFS(Table13[[#This Row],[Land_Size_SQM]]&gt;=730,"LARGE",Table13[[#This Row],[Land_Size_SQM]]&gt;=465,"MEDIUM",TRUE,"SMALL")</f>
        <v>MEDIUM</v>
      </c>
    </row>
    <row r="430" spans="1:32" x14ac:dyDescent="0.3">
      <c r="A430" t="s">
        <v>262</v>
      </c>
      <c r="B430" t="s">
        <v>529</v>
      </c>
      <c r="C430" t="s">
        <v>627</v>
      </c>
      <c r="D430">
        <v>44</v>
      </c>
      <c r="E430" t="s">
        <v>630</v>
      </c>
      <c r="F430">
        <v>645</v>
      </c>
      <c r="G430" s="4">
        <v>7776</v>
      </c>
      <c r="H430" s="4">
        <v>5015520</v>
      </c>
      <c r="I430" t="s">
        <v>632</v>
      </c>
      <c r="J430" t="s">
        <v>669</v>
      </c>
      <c r="K430" t="s">
        <v>674</v>
      </c>
      <c r="L430" t="s">
        <v>682</v>
      </c>
      <c r="M430" t="s">
        <v>686</v>
      </c>
      <c r="N430" t="s">
        <v>690</v>
      </c>
      <c r="O430" t="s">
        <v>693</v>
      </c>
      <c r="P430" s="4">
        <v>5015520</v>
      </c>
      <c r="Q430">
        <v>0</v>
      </c>
      <c r="R430" s="7">
        <v>2.63</v>
      </c>
      <c r="S430" s="8">
        <f>Table13[[#This Row],[Discount_%]]/100</f>
        <v>2.63E-2</v>
      </c>
      <c r="T430" s="6" t="s">
        <v>870</v>
      </c>
      <c r="U430" t="s">
        <v>991</v>
      </c>
      <c r="V430">
        <v>2024</v>
      </c>
      <c r="W430" t="s">
        <v>993</v>
      </c>
      <c r="X430" t="s">
        <v>999</v>
      </c>
      <c r="Y430" t="s">
        <v>1001</v>
      </c>
      <c r="Z430">
        <v>4</v>
      </c>
      <c r="AA430">
        <v>29</v>
      </c>
      <c r="AB430" s="4">
        <f>Table13[[#This Row],[Total_Price]]*(1-Table13[[#This Row],[Discount 2]])</f>
        <v>4883611.824</v>
      </c>
      <c r="AC430" s="4" t="str" cm="1">
        <f t="array" ref="AC430">_xlfn.IFS(Table13[[#This Row],[Revenue]]&gt;=30000000,"High Value",Table13[[#This Row],[Revenue]]&gt;=10000000,"Moderate Value",TRUE,"Low Value")</f>
        <v>Low Value</v>
      </c>
      <c r="AD430" t="str">
        <f>IF(Table13[[#This Row],[Discount 2]]&gt;=5%, "YES", "NO")</f>
        <v>NO</v>
      </c>
      <c r="AE430" t="str" cm="1">
        <f t="array" ref="AE430">_xlfn.IFS(Table13[[#This Row],[Revenue]]&gt;=30000000,"High Spender",Table13[[#This Row],[Revenue]]&gt;=10000000,"Moderate Spender",TRUE,"Low Spender")</f>
        <v>Low Spender</v>
      </c>
      <c r="AF430" s="4" t="str" cm="1">
        <f t="array" ref="AF430">_xlfn.IFS(Table13[[#This Row],[Land_Size_SQM]]&gt;=730,"LARGE",Table13[[#This Row],[Land_Size_SQM]]&gt;=465,"MEDIUM",TRUE,"SMALL")</f>
        <v>MEDIUM</v>
      </c>
    </row>
    <row r="431" spans="1:32" x14ac:dyDescent="0.3">
      <c r="A431" t="s">
        <v>415</v>
      </c>
      <c r="B431" t="s">
        <v>615</v>
      </c>
      <c r="C431" t="s">
        <v>626</v>
      </c>
      <c r="D431">
        <v>51</v>
      </c>
      <c r="E431" t="s">
        <v>630</v>
      </c>
      <c r="F431">
        <v>413</v>
      </c>
      <c r="G431" s="4">
        <v>12678</v>
      </c>
      <c r="H431" s="4">
        <v>5236014</v>
      </c>
      <c r="I431" t="s">
        <v>663</v>
      </c>
      <c r="J431" t="s">
        <v>670</v>
      </c>
      <c r="K431" t="s">
        <v>664</v>
      </c>
      <c r="L431" t="s">
        <v>682</v>
      </c>
      <c r="M431" t="s">
        <v>687</v>
      </c>
      <c r="N431" t="s">
        <v>692</v>
      </c>
      <c r="O431" t="s">
        <v>694</v>
      </c>
      <c r="P431" s="4">
        <v>1494781</v>
      </c>
      <c r="Q431">
        <v>24</v>
      </c>
      <c r="R431" s="7">
        <v>7.53</v>
      </c>
      <c r="S431" s="8">
        <f>Table13[[#This Row],[Discount_%]]/100</f>
        <v>7.5300000000000006E-2</v>
      </c>
      <c r="T431" s="6" t="s">
        <v>952</v>
      </c>
      <c r="U431" t="s">
        <v>983</v>
      </c>
      <c r="V431">
        <v>2024</v>
      </c>
      <c r="W431" t="s">
        <v>996</v>
      </c>
      <c r="X431" t="s">
        <v>998</v>
      </c>
      <c r="Y431" t="s">
        <v>1001</v>
      </c>
      <c r="Z431">
        <v>1</v>
      </c>
      <c r="AA431">
        <v>24</v>
      </c>
      <c r="AB431" s="4">
        <f>Table13[[#This Row],[Total_Price]]*(1-Table13[[#This Row],[Discount 2]])</f>
        <v>4841742.1458000001</v>
      </c>
      <c r="AC431" s="4" t="str" cm="1">
        <f t="array" ref="AC431">_xlfn.IFS(Table13[[#This Row],[Revenue]]&gt;=30000000,"High Value",Table13[[#This Row],[Revenue]]&gt;=10000000,"Moderate Value",TRUE,"Low Value")</f>
        <v>Low Value</v>
      </c>
      <c r="AD431" t="str">
        <f>IF(Table13[[#This Row],[Discount 2]]&gt;=5%, "YES", "NO")</f>
        <v>YES</v>
      </c>
      <c r="AE431" t="str" cm="1">
        <f t="array" ref="AE431">_xlfn.IFS(Table13[[#This Row],[Revenue]]&gt;=30000000,"High Spender",Table13[[#This Row],[Revenue]]&gt;=10000000,"Moderate Spender",TRUE,"Low Spender")</f>
        <v>Low Spender</v>
      </c>
      <c r="AF431" s="4" t="str" cm="1">
        <f t="array" ref="AF431">_xlfn.IFS(Table13[[#This Row],[Land_Size_SQM]]&gt;=730,"LARGE",Table13[[#This Row],[Land_Size_SQM]]&gt;=465,"MEDIUM",TRUE,"SMALL")</f>
        <v>SMALL</v>
      </c>
    </row>
    <row r="432" spans="1:32" x14ac:dyDescent="0.3">
      <c r="A432" t="s">
        <v>168</v>
      </c>
      <c r="B432" t="s">
        <v>555</v>
      </c>
      <c r="C432" t="s">
        <v>627</v>
      </c>
      <c r="D432">
        <v>25</v>
      </c>
      <c r="E432" t="s">
        <v>629</v>
      </c>
      <c r="F432">
        <v>339</v>
      </c>
      <c r="G432" s="4">
        <v>14787</v>
      </c>
      <c r="H432" s="4">
        <v>5012793</v>
      </c>
      <c r="I432" t="s">
        <v>643</v>
      </c>
      <c r="J432" t="s">
        <v>671</v>
      </c>
      <c r="K432" t="s">
        <v>678</v>
      </c>
      <c r="L432" t="s">
        <v>680</v>
      </c>
      <c r="M432" t="s">
        <v>683</v>
      </c>
      <c r="N432" t="s">
        <v>690</v>
      </c>
      <c r="O432" t="s">
        <v>694</v>
      </c>
      <c r="P432" s="4">
        <v>1617830</v>
      </c>
      <c r="Q432">
        <v>24</v>
      </c>
      <c r="R432" s="7">
        <v>4.92</v>
      </c>
      <c r="S432" s="8">
        <f>Table13[[#This Row],[Discount_%]]/100</f>
        <v>4.9200000000000001E-2</v>
      </c>
      <c r="T432" s="6" t="s">
        <v>808</v>
      </c>
      <c r="U432" t="s">
        <v>984</v>
      </c>
      <c r="V432">
        <v>2024</v>
      </c>
      <c r="W432" t="s">
        <v>993</v>
      </c>
      <c r="X432" t="s">
        <v>998</v>
      </c>
      <c r="Y432" t="s">
        <v>1000</v>
      </c>
      <c r="Z432">
        <v>5</v>
      </c>
      <c r="AA432">
        <v>19</v>
      </c>
      <c r="AB432" s="4">
        <f>Table13[[#This Row],[Total_Price]]*(1-Table13[[#This Row],[Discount 2]])</f>
        <v>4766163.5844000001</v>
      </c>
      <c r="AC432" s="4" t="str" cm="1">
        <f t="array" ref="AC432">_xlfn.IFS(Table13[[#This Row],[Revenue]]&gt;=30000000,"High Value",Table13[[#This Row],[Revenue]]&gt;=10000000,"Moderate Value",TRUE,"Low Value")</f>
        <v>Low Value</v>
      </c>
      <c r="AD432" t="str">
        <f>IF(Table13[[#This Row],[Discount 2]]&gt;=5%, "YES", "NO")</f>
        <v>NO</v>
      </c>
      <c r="AE432" t="str" cm="1">
        <f t="array" ref="AE432">_xlfn.IFS(Table13[[#This Row],[Revenue]]&gt;=30000000,"High Spender",Table13[[#This Row],[Revenue]]&gt;=10000000,"Moderate Spender",TRUE,"Low Spender")</f>
        <v>Low Spender</v>
      </c>
      <c r="AF432" s="4" t="str" cm="1">
        <f t="array" ref="AF432">_xlfn.IFS(Table13[[#This Row],[Land_Size_SQM]]&gt;=730,"LARGE",Table13[[#This Row],[Land_Size_SQM]]&gt;=465,"MEDIUM",TRUE,"SMALL")</f>
        <v>SMALL</v>
      </c>
    </row>
    <row r="433" spans="1:32" x14ac:dyDescent="0.3">
      <c r="A433" t="s">
        <v>400</v>
      </c>
      <c r="B433" t="s">
        <v>545</v>
      </c>
      <c r="C433" t="s">
        <v>626</v>
      </c>
      <c r="D433">
        <v>57</v>
      </c>
      <c r="E433" t="s">
        <v>628</v>
      </c>
      <c r="F433">
        <v>423</v>
      </c>
      <c r="G433" s="4">
        <v>11455</v>
      </c>
      <c r="H433" s="4">
        <v>4845465</v>
      </c>
      <c r="I433" t="s">
        <v>653</v>
      </c>
      <c r="J433" t="s">
        <v>668</v>
      </c>
      <c r="K433" t="s">
        <v>640</v>
      </c>
      <c r="L433" t="s">
        <v>681</v>
      </c>
      <c r="M433" t="s">
        <v>686</v>
      </c>
      <c r="N433" t="s">
        <v>690</v>
      </c>
      <c r="O433" t="s">
        <v>693</v>
      </c>
      <c r="P433" s="4">
        <v>4845465</v>
      </c>
      <c r="Q433">
        <v>0</v>
      </c>
      <c r="R433" s="7">
        <v>1.75</v>
      </c>
      <c r="S433" s="8">
        <f>Table13[[#This Row],[Discount_%]]/100</f>
        <v>1.7500000000000002E-2</v>
      </c>
      <c r="T433" s="6" t="s">
        <v>825</v>
      </c>
      <c r="U433" t="s">
        <v>992</v>
      </c>
      <c r="V433">
        <v>2024</v>
      </c>
      <c r="W433" t="s">
        <v>993</v>
      </c>
      <c r="X433" t="s">
        <v>998</v>
      </c>
      <c r="Y433" t="s">
        <v>1001</v>
      </c>
      <c r="Z433">
        <v>4</v>
      </c>
      <c r="AA433">
        <v>31</v>
      </c>
      <c r="AB433" s="4">
        <f>Table13[[#This Row],[Total_Price]]*(1-Table13[[#This Row],[Discount 2]])</f>
        <v>4760669.3624999998</v>
      </c>
      <c r="AC433" s="4" t="str" cm="1">
        <f t="array" ref="AC433">_xlfn.IFS(Table13[[#This Row],[Revenue]]&gt;=30000000,"High Value",Table13[[#This Row],[Revenue]]&gt;=10000000,"Moderate Value",TRUE,"Low Value")</f>
        <v>Low Value</v>
      </c>
      <c r="AD433" t="str">
        <f>IF(Table13[[#This Row],[Discount 2]]&gt;=5%, "YES", "NO")</f>
        <v>NO</v>
      </c>
      <c r="AE433" t="str" cm="1">
        <f t="array" ref="AE433">_xlfn.IFS(Table13[[#This Row],[Revenue]]&gt;=30000000,"High Spender",Table13[[#This Row],[Revenue]]&gt;=10000000,"Moderate Spender",TRUE,"Low Spender")</f>
        <v>Low Spender</v>
      </c>
      <c r="AF433" s="4" t="str" cm="1">
        <f t="array" ref="AF433">_xlfn.IFS(Table13[[#This Row],[Land_Size_SQM]]&gt;=730,"LARGE",Table13[[#This Row],[Land_Size_SQM]]&gt;=465,"MEDIUM",TRUE,"SMALL")</f>
        <v>SMALL</v>
      </c>
    </row>
    <row r="434" spans="1:32" x14ac:dyDescent="0.3">
      <c r="A434" t="s">
        <v>105</v>
      </c>
      <c r="B434" t="s">
        <v>576</v>
      </c>
      <c r="C434" t="s">
        <v>627</v>
      </c>
      <c r="D434">
        <v>45</v>
      </c>
      <c r="E434" t="s">
        <v>629</v>
      </c>
      <c r="F434">
        <v>647</v>
      </c>
      <c r="G434" s="4">
        <v>8010</v>
      </c>
      <c r="H434" s="4">
        <v>5182470</v>
      </c>
      <c r="I434" t="s">
        <v>647</v>
      </c>
      <c r="J434" t="s">
        <v>670</v>
      </c>
      <c r="K434" t="s">
        <v>638</v>
      </c>
      <c r="L434" t="s">
        <v>681</v>
      </c>
      <c r="M434" t="s">
        <v>683</v>
      </c>
      <c r="N434" t="s">
        <v>691</v>
      </c>
      <c r="O434" t="s">
        <v>693</v>
      </c>
      <c r="P434" s="4">
        <v>5182470</v>
      </c>
      <c r="Q434">
        <v>0</v>
      </c>
      <c r="R434" s="7">
        <v>8.17</v>
      </c>
      <c r="S434" s="8">
        <f>Table13[[#This Row],[Discount_%]]/100</f>
        <v>8.1699999999999995E-2</v>
      </c>
      <c r="T434" s="6" t="s">
        <v>765</v>
      </c>
      <c r="U434" t="s">
        <v>982</v>
      </c>
      <c r="V434">
        <v>2024</v>
      </c>
      <c r="W434" t="s">
        <v>993</v>
      </c>
      <c r="X434" t="s">
        <v>998</v>
      </c>
      <c r="Y434" t="s">
        <v>1000</v>
      </c>
      <c r="Z434">
        <v>1</v>
      </c>
      <c r="AA434">
        <v>21</v>
      </c>
      <c r="AB434" s="4">
        <f>Table13[[#This Row],[Total_Price]]*(1-Table13[[#This Row],[Discount 2]])</f>
        <v>4759062.2010000004</v>
      </c>
      <c r="AC434" s="4" t="str" cm="1">
        <f t="array" ref="AC434">_xlfn.IFS(Table13[[#This Row],[Revenue]]&gt;=30000000,"High Value",Table13[[#This Row],[Revenue]]&gt;=10000000,"Moderate Value",TRUE,"Low Value")</f>
        <v>Low Value</v>
      </c>
      <c r="AD434" t="str">
        <f>IF(Table13[[#This Row],[Discount 2]]&gt;=5%, "YES", "NO")</f>
        <v>YES</v>
      </c>
      <c r="AE434" t="str" cm="1">
        <f t="array" ref="AE434">_xlfn.IFS(Table13[[#This Row],[Revenue]]&gt;=30000000,"High Spender",Table13[[#This Row],[Revenue]]&gt;=10000000,"Moderate Spender",TRUE,"Low Spender")</f>
        <v>Low Spender</v>
      </c>
      <c r="AF434" s="4" t="str" cm="1">
        <f t="array" ref="AF434">_xlfn.IFS(Table13[[#This Row],[Land_Size_SQM]]&gt;=730,"LARGE",Table13[[#This Row],[Land_Size_SQM]]&gt;=465,"MEDIUM",TRUE,"SMALL")</f>
        <v>MEDIUM</v>
      </c>
    </row>
    <row r="435" spans="1:32" x14ac:dyDescent="0.3">
      <c r="A435" t="s">
        <v>355</v>
      </c>
      <c r="B435" t="s">
        <v>609</v>
      </c>
      <c r="C435" t="s">
        <v>626</v>
      </c>
      <c r="D435">
        <v>36</v>
      </c>
      <c r="E435" t="s">
        <v>630</v>
      </c>
      <c r="F435">
        <v>380</v>
      </c>
      <c r="G435" s="4">
        <v>12470</v>
      </c>
      <c r="H435" s="4">
        <v>4738600</v>
      </c>
      <c r="I435" t="s">
        <v>633</v>
      </c>
      <c r="J435" t="s">
        <v>668</v>
      </c>
      <c r="K435" t="s">
        <v>678</v>
      </c>
      <c r="L435" t="s">
        <v>682</v>
      </c>
      <c r="M435" t="s">
        <v>684</v>
      </c>
      <c r="N435" t="s">
        <v>689</v>
      </c>
      <c r="O435" t="s">
        <v>693</v>
      </c>
      <c r="P435" s="4">
        <v>4738600</v>
      </c>
      <c r="Q435">
        <v>0</v>
      </c>
      <c r="R435" s="7">
        <v>0.54</v>
      </c>
      <c r="S435" s="8">
        <f>Table13[[#This Row],[Discount_%]]/100</f>
        <v>5.4000000000000003E-3</v>
      </c>
      <c r="T435" s="6" t="s">
        <v>802</v>
      </c>
      <c r="U435" t="s">
        <v>991</v>
      </c>
      <c r="V435">
        <v>2024</v>
      </c>
      <c r="W435" t="s">
        <v>993</v>
      </c>
      <c r="X435" t="s">
        <v>997</v>
      </c>
      <c r="Y435" t="s">
        <v>1000</v>
      </c>
      <c r="Z435">
        <v>5</v>
      </c>
      <c r="AA435">
        <v>12</v>
      </c>
      <c r="AB435" s="4">
        <f>Table13[[#This Row],[Total_Price]]*(1-Table13[[#This Row],[Discount 2]])</f>
        <v>4713011.5600000005</v>
      </c>
      <c r="AC435" s="4" t="str" cm="1">
        <f t="array" ref="AC435">_xlfn.IFS(Table13[[#This Row],[Revenue]]&gt;=30000000,"High Value",Table13[[#This Row],[Revenue]]&gt;=10000000,"Moderate Value",TRUE,"Low Value")</f>
        <v>Low Value</v>
      </c>
      <c r="AD435" t="str">
        <f>IF(Table13[[#This Row],[Discount 2]]&gt;=5%, "YES", "NO")</f>
        <v>NO</v>
      </c>
      <c r="AE435" t="str" cm="1">
        <f t="array" ref="AE435">_xlfn.IFS(Table13[[#This Row],[Revenue]]&gt;=30000000,"High Spender",Table13[[#This Row],[Revenue]]&gt;=10000000,"Moderate Spender",TRUE,"Low Spender")</f>
        <v>Low Spender</v>
      </c>
      <c r="AF435" s="4" t="str" cm="1">
        <f t="array" ref="AF435">_xlfn.IFS(Table13[[#This Row],[Land_Size_SQM]]&gt;=730,"LARGE",Table13[[#This Row],[Land_Size_SQM]]&gt;=465,"MEDIUM",TRUE,"SMALL")</f>
        <v>SMALL</v>
      </c>
    </row>
    <row r="436" spans="1:32" x14ac:dyDescent="0.3">
      <c r="A436" t="s">
        <v>71</v>
      </c>
      <c r="B436" t="s">
        <v>548</v>
      </c>
      <c r="C436" t="s">
        <v>626</v>
      </c>
      <c r="D436">
        <v>52</v>
      </c>
      <c r="E436" t="s">
        <v>629</v>
      </c>
      <c r="F436">
        <v>295</v>
      </c>
      <c r="G436" s="4">
        <v>16725</v>
      </c>
      <c r="H436" s="4">
        <v>4933875</v>
      </c>
      <c r="I436" t="s">
        <v>642</v>
      </c>
      <c r="J436" t="s">
        <v>673</v>
      </c>
      <c r="K436" t="s">
        <v>640</v>
      </c>
      <c r="L436" t="s">
        <v>681</v>
      </c>
      <c r="M436" t="s">
        <v>684</v>
      </c>
      <c r="N436" t="s">
        <v>691</v>
      </c>
      <c r="O436" t="s">
        <v>693</v>
      </c>
      <c r="P436" s="4">
        <v>4933875</v>
      </c>
      <c r="Q436">
        <v>0</v>
      </c>
      <c r="R436" s="7">
        <v>4.6100000000000003</v>
      </c>
      <c r="S436" s="8">
        <f>Table13[[#This Row],[Discount_%]]/100</f>
        <v>4.6100000000000002E-2</v>
      </c>
      <c r="T436" s="6" t="s">
        <v>735</v>
      </c>
      <c r="U436" t="s">
        <v>987</v>
      </c>
      <c r="V436">
        <v>2024</v>
      </c>
      <c r="W436" t="s">
        <v>995</v>
      </c>
      <c r="X436" t="s">
        <v>999</v>
      </c>
      <c r="Y436" t="s">
        <v>1002</v>
      </c>
      <c r="Z436">
        <v>5</v>
      </c>
      <c r="AA436">
        <v>10</v>
      </c>
      <c r="AB436" s="4">
        <f>Table13[[#This Row],[Total_Price]]*(1-Table13[[#This Row],[Discount 2]])</f>
        <v>4706423.3624999998</v>
      </c>
      <c r="AC436" s="4" t="str" cm="1">
        <f t="array" ref="AC436">_xlfn.IFS(Table13[[#This Row],[Revenue]]&gt;=30000000,"High Value",Table13[[#This Row],[Revenue]]&gt;=10000000,"Moderate Value",TRUE,"Low Value")</f>
        <v>Low Value</v>
      </c>
      <c r="AD436" t="str">
        <f>IF(Table13[[#This Row],[Discount 2]]&gt;=5%, "YES", "NO")</f>
        <v>NO</v>
      </c>
      <c r="AE436" t="str" cm="1">
        <f t="array" ref="AE436">_xlfn.IFS(Table13[[#This Row],[Revenue]]&gt;=30000000,"High Spender",Table13[[#This Row],[Revenue]]&gt;=10000000,"Moderate Spender",TRUE,"Low Spender")</f>
        <v>Low Spender</v>
      </c>
      <c r="AF436" s="4" t="str" cm="1">
        <f t="array" ref="AF436">_xlfn.IFS(Table13[[#This Row],[Land_Size_SQM]]&gt;=730,"LARGE",Table13[[#This Row],[Land_Size_SQM]]&gt;=465,"MEDIUM",TRUE,"SMALL")</f>
        <v>SMALL</v>
      </c>
    </row>
    <row r="437" spans="1:32" x14ac:dyDescent="0.3">
      <c r="A437" t="s">
        <v>455</v>
      </c>
      <c r="B437" t="s">
        <v>559</v>
      </c>
      <c r="C437" t="s">
        <v>626</v>
      </c>
      <c r="D437">
        <v>49</v>
      </c>
      <c r="E437" t="s">
        <v>630</v>
      </c>
      <c r="F437">
        <v>611</v>
      </c>
      <c r="G437" s="4">
        <v>8280</v>
      </c>
      <c r="H437" s="4">
        <v>5059080</v>
      </c>
      <c r="I437" t="s">
        <v>646</v>
      </c>
      <c r="J437" t="s">
        <v>673</v>
      </c>
      <c r="K437" t="s">
        <v>640</v>
      </c>
      <c r="L437" t="s">
        <v>682</v>
      </c>
      <c r="M437" t="s">
        <v>686</v>
      </c>
      <c r="N437" t="s">
        <v>689</v>
      </c>
      <c r="O437" t="s">
        <v>694</v>
      </c>
      <c r="P437" s="4">
        <v>2324014</v>
      </c>
      <c r="Q437">
        <v>6</v>
      </c>
      <c r="R437" s="7">
        <v>7.87</v>
      </c>
      <c r="S437" s="8">
        <f>Table13[[#This Row],[Discount_%]]/100</f>
        <v>7.8700000000000006E-2</v>
      </c>
      <c r="T437" s="6" t="s">
        <v>965</v>
      </c>
      <c r="U437" t="s">
        <v>983</v>
      </c>
      <c r="V437">
        <v>2024</v>
      </c>
      <c r="W437" t="s">
        <v>994</v>
      </c>
      <c r="X437" t="s">
        <v>997</v>
      </c>
      <c r="Y437" t="s">
        <v>1001</v>
      </c>
      <c r="Z437">
        <v>1</v>
      </c>
      <c r="AA437">
        <v>30</v>
      </c>
      <c r="AB437" s="4">
        <f>Table13[[#This Row],[Total_Price]]*(1-Table13[[#This Row],[Discount 2]])</f>
        <v>4660930.4040000001</v>
      </c>
      <c r="AC437" s="4" t="str" cm="1">
        <f t="array" ref="AC437">_xlfn.IFS(Table13[[#This Row],[Revenue]]&gt;=30000000,"High Value",Table13[[#This Row],[Revenue]]&gt;=10000000,"Moderate Value",TRUE,"Low Value")</f>
        <v>Low Value</v>
      </c>
      <c r="AD437" t="str">
        <f>IF(Table13[[#This Row],[Discount 2]]&gt;=5%, "YES", "NO")</f>
        <v>YES</v>
      </c>
      <c r="AE437" t="str" cm="1">
        <f t="array" ref="AE437">_xlfn.IFS(Table13[[#This Row],[Revenue]]&gt;=30000000,"High Spender",Table13[[#This Row],[Revenue]]&gt;=10000000,"Moderate Spender",TRUE,"Low Spender")</f>
        <v>Low Spender</v>
      </c>
      <c r="AF437" s="4" t="str" cm="1">
        <f t="array" ref="AF437">_xlfn.IFS(Table13[[#This Row],[Land_Size_SQM]]&gt;=730,"LARGE",Table13[[#This Row],[Land_Size_SQM]]&gt;=465,"MEDIUM",TRUE,"SMALL")</f>
        <v>MEDIUM</v>
      </c>
    </row>
    <row r="438" spans="1:32" x14ac:dyDescent="0.3">
      <c r="A438" t="s">
        <v>254</v>
      </c>
      <c r="B438" t="s">
        <v>589</v>
      </c>
      <c r="C438" t="s">
        <v>626</v>
      </c>
      <c r="D438">
        <v>50</v>
      </c>
      <c r="E438" t="s">
        <v>628</v>
      </c>
      <c r="F438">
        <v>391</v>
      </c>
      <c r="G438" s="4">
        <v>12312</v>
      </c>
      <c r="H438" s="4">
        <v>4813992</v>
      </c>
      <c r="I438" t="s">
        <v>648</v>
      </c>
      <c r="J438" t="s">
        <v>671</v>
      </c>
      <c r="K438" t="s">
        <v>638</v>
      </c>
      <c r="L438" t="s">
        <v>682</v>
      </c>
      <c r="M438" t="s">
        <v>683</v>
      </c>
      <c r="N438" t="s">
        <v>691</v>
      </c>
      <c r="O438" t="s">
        <v>694</v>
      </c>
      <c r="P438" s="4">
        <v>1917571</v>
      </c>
      <c r="Q438">
        <v>3</v>
      </c>
      <c r="R438" s="7">
        <v>4.1500000000000004</v>
      </c>
      <c r="S438" s="8">
        <f>Table13[[#This Row],[Discount_%]]/100</f>
        <v>4.1500000000000002E-2</v>
      </c>
      <c r="T438" s="6" t="s">
        <v>865</v>
      </c>
      <c r="U438" t="s">
        <v>982</v>
      </c>
      <c r="V438">
        <v>2024</v>
      </c>
      <c r="W438" t="s">
        <v>993</v>
      </c>
      <c r="X438" t="s">
        <v>999</v>
      </c>
      <c r="Y438" t="s">
        <v>1000</v>
      </c>
      <c r="Z438">
        <v>2</v>
      </c>
      <c r="AA438">
        <v>37</v>
      </c>
      <c r="AB438" s="4">
        <f>Table13[[#This Row],[Total_Price]]*(1-Table13[[#This Row],[Discount 2]])</f>
        <v>4614211.3320000004</v>
      </c>
      <c r="AC438" s="4" t="str" cm="1">
        <f t="array" ref="AC438">_xlfn.IFS(Table13[[#This Row],[Revenue]]&gt;=30000000,"High Value",Table13[[#This Row],[Revenue]]&gt;=10000000,"Moderate Value",TRUE,"Low Value")</f>
        <v>Low Value</v>
      </c>
      <c r="AD438" t="str">
        <f>IF(Table13[[#This Row],[Discount 2]]&gt;=5%, "YES", "NO")</f>
        <v>NO</v>
      </c>
      <c r="AE438" t="str" cm="1">
        <f t="array" ref="AE438">_xlfn.IFS(Table13[[#This Row],[Revenue]]&gt;=30000000,"High Spender",Table13[[#This Row],[Revenue]]&gt;=10000000,"Moderate Spender",TRUE,"Low Spender")</f>
        <v>Low Spender</v>
      </c>
      <c r="AF438" s="4" t="str" cm="1">
        <f t="array" ref="AF438">_xlfn.IFS(Table13[[#This Row],[Land_Size_SQM]]&gt;=730,"LARGE",Table13[[#This Row],[Land_Size_SQM]]&gt;=465,"MEDIUM",TRUE,"SMALL")</f>
        <v>SMALL</v>
      </c>
    </row>
    <row r="439" spans="1:32" x14ac:dyDescent="0.3">
      <c r="A439" t="s">
        <v>486</v>
      </c>
      <c r="B439" t="s">
        <v>613</v>
      </c>
      <c r="C439" t="s">
        <v>627</v>
      </c>
      <c r="D439">
        <v>31</v>
      </c>
      <c r="E439" t="s">
        <v>629</v>
      </c>
      <c r="F439">
        <v>703</v>
      </c>
      <c r="G439" s="4">
        <v>6586</v>
      </c>
      <c r="H439" s="4">
        <v>4629958</v>
      </c>
      <c r="I439" t="s">
        <v>631</v>
      </c>
      <c r="J439" t="s">
        <v>668</v>
      </c>
      <c r="K439" t="s">
        <v>676</v>
      </c>
      <c r="L439" t="s">
        <v>682</v>
      </c>
      <c r="M439" t="s">
        <v>683</v>
      </c>
      <c r="N439" t="s">
        <v>688</v>
      </c>
      <c r="O439" t="s">
        <v>693</v>
      </c>
      <c r="P439" s="4">
        <v>4629958</v>
      </c>
      <c r="Q439">
        <v>0</v>
      </c>
      <c r="R439" s="7">
        <v>0.52</v>
      </c>
      <c r="S439" s="8">
        <f>Table13[[#This Row],[Discount_%]]/100</f>
        <v>5.1999999999999998E-3</v>
      </c>
      <c r="T439" s="6" t="s">
        <v>958</v>
      </c>
      <c r="U439" t="s">
        <v>987</v>
      </c>
      <c r="V439">
        <v>2024</v>
      </c>
      <c r="W439" t="s">
        <v>993</v>
      </c>
      <c r="X439" t="s">
        <v>998</v>
      </c>
      <c r="Y439" t="s">
        <v>1001</v>
      </c>
      <c r="Z439">
        <v>4</v>
      </c>
      <c r="AA439">
        <v>20</v>
      </c>
      <c r="AB439" s="4">
        <f>Table13[[#This Row],[Total_Price]]*(1-Table13[[#This Row],[Discount 2]])</f>
        <v>4605882.2183999997</v>
      </c>
      <c r="AC439" s="4" t="str" cm="1">
        <f t="array" ref="AC439">_xlfn.IFS(Table13[[#This Row],[Revenue]]&gt;=30000000,"High Value",Table13[[#This Row],[Revenue]]&gt;=10000000,"Moderate Value",TRUE,"Low Value")</f>
        <v>Low Value</v>
      </c>
      <c r="AD439" t="str">
        <f>IF(Table13[[#This Row],[Discount 2]]&gt;=5%, "YES", "NO")</f>
        <v>NO</v>
      </c>
      <c r="AE439" t="str" cm="1">
        <f t="array" ref="AE439">_xlfn.IFS(Table13[[#This Row],[Revenue]]&gt;=30000000,"High Spender",Table13[[#This Row],[Revenue]]&gt;=10000000,"Moderate Spender",TRUE,"Low Spender")</f>
        <v>Low Spender</v>
      </c>
      <c r="AF439" s="4" t="str" cm="1">
        <f t="array" ref="AF439">_xlfn.IFS(Table13[[#This Row],[Land_Size_SQM]]&gt;=730,"LARGE",Table13[[#This Row],[Land_Size_SQM]]&gt;=465,"MEDIUM",TRUE,"SMALL")</f>
        <v>MEDIUM</v>
      </c>
    </row>
    <row r="440" spans="1:32" x14ac:dyDescent="0.3">
      <c r="A440" t="s">
        <v>81</v>
      </c>
      <c r="B440" t="s">
        <v>566</v>
      </c>
      <c r="C440" t="s">
        <v>626</v>
      </c>
      <c r="D440">
        <v>60</v>
      </c>
      <c r="E440" t="s">
        <v>630</v>
      </c>
      <c r="F440">
        <v>574</v>
      </c>
      <c r="G440" s="4">
        <v>7918</v>
      </c>
      <c r="H440" s="4">
        <v>4544932</v>
      </c>
      <c r="I440" t="s">
        <v>632</v>
      </c>
      <c r="J440" t="s">
        <v>669</v>
      </c>
      <c r="K440" t="s">
        <v>675</v>
      </c>
      <c r="L440" t="s">
        <v>680</v>
      </c>
      <c r="M440" t="s">
        <v>683</v>
      </c>
      <c r="N440" t="s">
        <v>691</v>
      </c>
      <c r="O440" t="s">
        <v>694</v>
      </c>
      <c r="P440" s="4">
        <v>1269570</v>
      </c>
      <c r="Q440">
        <v>3</v>
      </c>
      <c r="R440" s="7">
        <v>1.24</v>
      </c>
      <c r="S440" s="8">
        <f>Table13[[#This Row],[Discount_%]]/100</f>
        <v>1.24E-2</v>
      </c>
      <c r="T440" s="6" t="s">
        <v>745</v>
      </c>
      <c r="U440" t="s">
        <v>991</v>
      </c>
      <c r="V440">
        <v>2024</v>
      </c>
      <c r="W440" t="s">
        <v>993</v>
      </c>
      <c r="X440" t="s">
        <v>997</v>
      </c>
      <c r="Y440" t="s">
        <v>1001</v>
      </c>
      <c r="Z440">
        <v>3</v>
      </c>
      <c r="AA440">
        <v>40</v>
      </c>
      <c r="AB440" s="4">
        <f>Table13[[#This Row],[Total_Price]]*(1-Table13[[#This Row],[Discount 2]])</f>
        <v>4488574.8432</v>
      </c>
      <c r="AC440" s="4" t="str" cm="1">
        <f t="array" ref="AC440">_xlfn.IFS(Table13[[#This Row],[Revenue]]&gt;=30000000,"High Value",Table13[[#This Row],[Revenue]]&gt;=10000000,"Moderate Value",TRUE,"Low Value")</f>
        <v>Low Value</v>
      </c>
      <c r="AD440" t="str">
        <f>IF(Table13[[#This Row],[Discount 2]]&gt;=5%, "YES", "NO")</f>
        <v>NO</v>
      </c>
      <c r="AE440" t="str" cm="1">
        <f t="array" ref="AE440">_xlfn.IFS(Table13[[#This Row],[Revenue]]&gt;=30000000,"High Spender",Table13[[#This Row],[Revenue]]&gt;=10000000,"Moderate Spender",TRUE,"Low Spender")</f>
        <v>Low Spender</v>
      </c>
      <c r="AF440" s="4" t="str" cm="1">
        <f t="array" ref="AF440">_xlfn.IFS(Table13[[#This Row],[Land_Size_SQM]]&gt;=730,"LARGE",Table13[[#This Row],[Land_Size_SQM]]&gt;=465,"MEDIUM",TRUE,"SMALL")</f>
        <v>MEDIUM</v>
      </c>
    </row>
    <row r="441" spans="1:32" x14ac:dyDescent="0.3">
      <c r="A441" t="s">
        <v>113</v>
      </c>
      <c r="B441" t="s">
        <v>548</v>
      </c>
      <c r="C441" t="s">
        <v>626</v>
      </c>
      <c r="D441">
        <v>43</v>
      </c>
      <c r="E441" t="s">
        <v>630</v>
      </c>
      <c r="F441">
        <v>268</v>
      </c>
      <c r="G441" s="4">
        <v>17466</v>
      </c>
      <c r="H441" s="4">
        <v>4680888</v>
      </c>
      <c r="I441" t="s">
        <v>663</v>
      </c>
      <c r="J441" t="s">
        <v>670</v>
      </c>
      <c r="K441" t="s">
        <v>638</v>
      </c>
      <c r="L441" t="s">
        <v>680</v>
      </c>
      <c r="M441" t="s">
        <v>686</v>
      </c>
      <c r="N441" t="s">
        <v>688</v>
      </c>
      <c r="O441" t="s">
        <v>694</v>
      </c>
      <c r="P441" s="4">
        <v>1473807</v>
      </c>
      <c r="Q441">
        <v>12</v>
      </c>
      <c r="R441" s="7">
        <v>5.67</v>
      </c>
      <c r="S441" s="8">
        <f>Table13[[#This Row],[Discount_%]]/100</f>
        <v>5.67E-2</v>
      </c>
      <c r="T441" s="6" t="s">
        <v>764</v>
      </c>
      <c r="U441" t="s">
        <v>983</v>
      </c>
      <c r="V441">
        <v>2024</v>
      </c>
      <c r="W441" t="s">
        <v>994</v>
      </c>
      <c r="X441" t="s">
        <v>998</v>
      </c>
      <c r="Y441" t="s">
        <v>1002</v>
      </c>
      <c r="Z441">
        <v>3</v>
      </c>
      <c r="AA441">
        <v>16</v>
      </c>
      <c r="AB441" s="4">
        <f>Table13[[#This Row],[Total_Price]]*(1-Table13[[#This Row],[Discount 2]])</f>
        <v>4415481.6503999997</v>
      </c>
      <c r="AC441" s="4" t="str" cm="1">
        <f t="array" ref="AC441">_xlfn.IFS(Table13[[#This Row],[Revenue]]&gt;=30000000,"High Value",Table13[[#This Row],[Revenue]]&gt;=10000000,"Moderate Value",TRUE,"Low Value")</f>
        <v>Low Value</v>
      </c>
      <c r="AD441" t="str">
        <f>IF(Table13[[#This Row],[Discount 2]]&gt;=5%, "YES", "NO")</f>
        <v>YES</v>
      </c>
      <c r="AE441" t="str" cm="1">
        <f t="array" ref="AE441">_xlfn.IFS(Table13[[#This Row],[Revenue]]&gt;=30000000,"High Spender",Table13[[#This Row],[Revenue]]&gt;=10000000,"Moderate Spender",TRUE,"Low Spender")</f>
        <v>Low Spender</v>
      </c>
      <c r="AF441" s="4" t="str" cm="1">
        <f t="array" ref="AF441">_xlfn.IFS(Table13[[#This Row],[Land_Size_SQM]]&gt;=730,"LARGE",Table13[[#This Row],[Land_Size_SQM]]&gt;=465,"MEDIUM",TRUE,"SMALL")</f>
        <v>SMALL</v>
      </c>
    </row>
    <row r="442" spans="1:32" x14ac:dyDescent="0.3">
      <c r="A442" t="s">
        <v>176</v>
      </c>
      <c r="B442" t="s">
        <v>571</v>
      </c>
      <c r="C442" t="s">
        <v>626</v>
      </c>
      <c r="D442">
        <v>39</v>
      </c>
      <c r="E442" t="s">
        <v>628</v>
      </c>
      <c r="F442">
        <v>689</v>
      </c>
      <c r="G442" s="4">
        <v>6641</v>
      </c>
      <c r="H442" s="4">
        <v>4575649</v>
      </c>
      <c r="I442" t="s">
        <v>634</v>
      </c>
      <c r="J442" t="s">
        <v>670</v>
      </c>
      <c r="K442" t="s">
        <v>638</v>
      </c>
      <c r="L442" t="s">
        <v>681</v>
      </c>
      <c r="M442" t="s">
        <v>683</v>
      </c>
      <c r="N442" t="s">
        <v>688</v>
      </c>
      <c r="O442" t="s">
        <v>693</v>
      </c>
      <c r="P442" s="4">
        <v>4575649</v>
      </c>
      <c r="Q442">
        <v>0</v>
      </c>
      <c r="R442" s="7">
        <v>3.83</v>
      </c>
      <c r="S442" s="8">
        <f>Table13[[#This Row],[Discount_%]]/100</f>
        <v>3.8300000000000001E-2</v>
      </c>
      <c r="T442" s="6" t="s">
        <v>695</v>
      </c>
      <c r="U442" t="s">
        <v>981</v>
      </c>
      <c r="V442">
        <v>2024</v>
      </c>
      <c r="W442" t="s">
        <v>993</v>
      </c>
      <c r="X442" t="s">
        <v>997</v>
      </c>
      <c r="Y442" t="s">
        <v>1001</v>
      </c>
      <c r="Z442">
        <v>1</v>
      </c>
      <c r="AA442">
        <v>40</v>
      </c>
      <c r="AB442" s="4">
        <f>Table13[[#This Row],[Total_Price]]*(1-Table13[[#This Row],[Discount 2]])</f>
        <v>4400401.6432999996</v>
      </c>
      <c r="AC442" s="4" t="str" cm="1">
        <f t="array" ref="AC442">_xlfn.IFS(Table13[[#This Row],[Revenue]]&gt;=30000000,"High Value",Table13[[#This Row],[Revenue]]&gt;=10000000,"Moderate Value",TRUE,"Low Value")</f>
        <v>Low Value</v>
      </c>
      <c r="AD442" t="str">
        <f>IF(Table13[[#This Row],[Discount 2]]&gt;=5%, "YES", "NO")</f>
        <v>NO</v>
      </c>
      <c r="AE442" t="str" cm="1">
        <f t="array" ref="AE442">_xlfn.IFS(Table13[[#This Row],[Revenue]]&gt;=30000000,"High Spender",Table13[[#This Row],[Revenue]]&gt;=10000000,"Moderate Spender",TRUE,"Low Spender")</f>
        <v>Low Spender</v>
      </c>
      <c r="AF442" s="4" t="str" cm="1">
        <f t="array" ref="AF442">_xlfn.IFS(Table13[[#This Row],[Land_Size_SQM]]&gt;=730,"LARGE",Table13[[#This Row],[Land_Size_SQM]]&gt;=465,"MEDIUM",TRUE,"SMALL")</f>
        <v>MEDIUM</v>
      </c>
    </row>
    <row r="443" spans="1:32" x14ac:dyDescent="0.3">
      <c r="A443" t="s">
        <v>397</v>
      </c>
      <c r="B443" t="s">
        <v>551</v>
      </c>
      <c r="C443" t="s">
        <v>626</v>
      </c>
      <c r="D443">
        <v>55</v>
      </c>
      <c r="E443" t="s">
        <v>630</v>
      </c>
      <c r="F443">
        <v>444</v>
      </c>
      <c r="G443" s="4">
        <v>9442</v>
      </c>
      <c r="H443" s="4">
        <v>4192248</v>
      </c>
      <c r="I443" t="s">
        <v>640</v>
      </c>
      <c r="J443" t="s">
        <v>672</v>
      </c>
      <c r="K443" t="s">
        <v>640</v>
      </c>
      <c r="L443" t="s">
        <v>681</v>
      </c>
      <c r="M443" t="s">
        <v>685</v>
      </c>
      <c r="N443" t="s">
        <v>688</v>
      </c>
      <c r="O443" t="s">
        <v>693</v>
      </c>
      <c r="P443" s="4">
        <v>4192248</v>
      </c>
      <c r="Q443">
        <v>0</v>
      </c>
      <c r="R443" s="7">
        <v>1.92</v>
      </c>
      <c r="S443" s="8">
        <f>Table13[[#This Row],[Discount_%]]/100</f>
        <v>1.9199999999999998E-2</v>
      </c>
      <c r="T443" s="6" t="s">
        <v>947</v>
      </c>
      <c r="U443" t="s">
        <v>992</v>
      </c>
      <c r="V443">
        <v>2024</v>
      </c>
      <c r="W443" t="s">
        <v>996</v>
      </c>
      <c r="X443" t="s">
        <v>998</v>
      </c>
      <c r="Y443" t="s">
        <v>1000</v>
      </c>
      <c r="Z443">
        <v>1</v>
      </c>
      <c r="AA443">
        <v>17</v>
      </c>
      <c r="AB443" s="4">
        <f>Table13[[#This Row],[Total_Price]]*(1-Table13[[#This Row],[Discount 2]])</f>
        <v>4111756.8384000002</v>
      </c>
      <c r="AC443" s="4" t="str" cm="1">
        <f t="array" ref="AC443">_xlfn.IFS(Table13[[#This Row],[Revenue]]&gt;=30000000,"High Value",Table13[[#This Row],[Revenue]]&gt;=10000000,"Moderate Value",TRUE,"Low Value")</f>
        <v>Low Value</v>
      </c>
      <c r="AD443" t="str">
        <f>IF(Table13[[#This Row],[Discount 2]]&gt;=5%, "YES", "NO")</f>
        <v>NO</v>
      </c>
      <c r="AE443" t="str" cm="1">
        <f t="array" ref="AE443">_xlfn.IFS(Table13[[#This Row],[Revenue]]&gt;=30000000,"High Spender",Table13[[#This Row],[Revenue]]&gt;=10000000,"Moderate Spender",TRUE,"Low Spender")</f>
        <v>Low Spender</v>
      </c>
      <c r="AF443" s="4" t="str" cm="1">
        <f t="array" ref="AF443">_xlfn.IFS(Table13[[#This Row],[Land_Size_SQM]]&gt;=730,"LARGE",Table13[[#This Row],[Land_Size_SQM]]&gt;=465,"MEDIUM",TRUE,"SMALL")</f>
        <v>SMALL</v>
      </c>
    </row>
    <row r="444" spans="1:32" x14ac:dyDescent="0.3">
      <c r="A444" t="s">
        <v>361</v>
      </c>
      <c r="B444" t="s">
        <v>558</v>
      </c>
      <c r="C444" t="s">
        <v>627</v>
      </c>
      <c r="D444">
        <v>65</v>
      </c>
      <c r="E444" t="s">
        <v>630</v>
      </c>
      <c r="F444">
        <v>423</v>
      </c>
      <c r="G444" s="4">
        <v>10697</v>
      </c>
      <c r="H444" s="4">
        <v>4524831</v>
      </c>
      <c r="I444" t="s">
        <v>662</v>
      </c>
      <c r="J444" t="s">
        <v>673</v>
      </c>
      <c r="K444" t="s">
        <v>640</v>
      </c>
      <c r="L444" t="s">
        <v>682</v>
      </c>
      <c r="M444" t="s">
        <v>686</v>
      </c>
      <c r="N444" t="s">
        <v>689</v>
      </c>
      <c r="O444" t="s">
        <v>694</v>
      </c>
      <c r="P444" s="4">
        <v>1229481</v>
      </c>
      <c r="Q444">
        <v>12</v>
      </c>
      <c r="R444" s="7">
        <v>9.99</v>
      </c>
      <c r="S444" s="8">
        <f>Table13[[#This Row],[Discount_%]]/100</f>
        <v>9.9900000000000003E-2</v>
      </c>
      <c r="T444" s="6" t="s">
        <v>933</v>
      </c>
      <c r="U444" t="s">
        <v>988</v>
      </c>
      <c r="V444">
        <v>2024</v>
      </c>
      <c r="W444" t="s">
        <v>995</v>
      </c>
      <c r="X444" t="s">
        <v>998</v>
      </c>
      <c r="Y444" t="s">
        <v>1000</v>
      </c>
      <c r="Z444">
        <v>4</v>
      </c>
      <c r="AA444">
        <v>12</v>
      </c>
      <c r="AB444" s="4">
        <f>Table13[[#This Row],[Total_Price]]*(1-Table13[[#This Row],[Discount 2]])</f>
        <v>4072800.3831000002</v>
      </c>
      <c r="AC444" s="4" t="str" cm="1">
        <f t="array" ref="AC444">_xlfn.IFS(Table13[[#This Row],[Revenue]]&gt;=30000000,"High Value",Table13[[#This Row],[Revenue]]&gt;=10000000,"Moderate Value",TRUE,"Low Value")</f>
        <v>Low Value</v>
      </c>
      <c r="AD444" t="str">
        <f>IF(Table13[[#This Row],[Discount 2]]&gt;=5%, "YES", "NO")</f>
        <v>YES</v>
      </c>
      <c r="AE444" t="str" cm="1">
        <f t="array" ref="AE444">_xlfn.IFS(Table13[[#This Row],[Revenue]]&gt;=30000000,"High Spender",Table13[[#This Row],[Revenue]]&gt;=10000000,"Moderate Spender",TRUE,"Low Spender")</f>
        <v>Low Spender</v>
      </c>
      <c r="AF444" s="4" t="str" cm="1">
        <f t="array" ref="AF444">_xlfn.IFS(Table13[[#This Row],[Land_Size_SQM]]&gt;=730,"LARGE",Table13[[#This Row],[Land_Size_SQM]]&gt;=465,"MEDIUM",TRUE,"SMALL")</f>
        <v>SMALL</v>
      </c>
    </row>
    <row r="445" spans="1:32" x14ac:dyDescent="0.3">
      <c r="A445" t="s">
        <v>280</v>
      </c>
      <c r="B445" t="s">
        <v>536</v>
      </c>
      <c r="C445" t="s">
        <v>627</v>
      </c>
      <c r="D445">
        <v>40</v>
      </c>
      <c r="E445" t="s">
        <v>628</v>
      </c>
      <c r="F445">
        <v>386</v>
      </c>
      <c r="G445" s="4">
        <v>10953</v>
      </c>
      <c r="H445" s="4">
        <v>4227858</v>
      </c>
      <c r="I445" t="s">
        <v>650</v>
      </c>
      <c r="J445" t="s">
        <v>670</v>
      </c>
      <c r="K445" t="s">
        <v>676</v>
      </c>
      <c r="L445" t="s">
        <v>680</v>
      </c>
      <c r="M445" t="s">
        <v>685</v>
      </c>
      <c r="N445" t="s">
        <v>692</v>
      </c>
      <c r="O445" t="s">
        <v>694</v>
      </c>
      <c r="P445" s="4">
        <v>1653379</v>
      </c>
      <c r="Q445">
        <v>3</v>
      </c>
      <c r="R445" s="7">
        <v>6.18</v>
      </c>
      <c r="S445" s="8">
        <f>Table13[[#This Row],[Discount_%]]/100</f>
        <v>6.1799999999999994E-2</v>
      </c>
      <c r="T445" s="6" t="s">
        <v>881</v>
      </c>
      <c r="U445" t="s">
        <v>992</v>
      </c>
      <c r="V445">
        <v>2024</v>
      </c>
      <c r="W445" t="s">
        <v>993</v>
      </c>
      <c r="X445" t="s">
        <v>999</v>
      </c>
      <c r="Y445" t="s">
        <v>1000</v>
      </c>
      <c r="Z445">
        <v>3</v>
      </c>
      <c r="AA445">
        <v>18</v>
      </c>
      <c r="AB445" s="4">
        <f>Table13[[#This Row],[Total_Price]]*(1-Table13[[#This Row],[Discount 2]])</f>
        <v>3966576.3755999999</v>
      </c>
      <c r="AC445" s="4" t="str" cm="1">
        <f t="array" ref="AC445">_xlfn.IFS(Table13[[#This Row],[Revenue]]&gt;=30000000,"High Value",Table13[[#This Row],[Revenue]]&gt;=10000000,"Moderate Value",TRUE,"Low Value")</f>
        <v>Low Value</v>
      </c>
      <c r="AD445" t="str">
        <f>IF(Table13[[#This Row],[Discount 2]]&gt;=5%, "YES", "NO")</f>
        <v>YES</v>
      </c>
      <c r="AE445" t="str" cm="1">
        <f t="array" ref="AE445">_xlfn.IFS(Table13[[#This Row],[Revenue]]&gt;=30000000,"High Spender",Table13[[#This Row],[Revenue]]&gt;=10000000,"Moderate Spender",TRUE,"Low Spender")</f>
        <v>Low Spender</v>
      </c>
      <c r="AF445" s="4" t="str" cm="1">
        <f t="array" ref="AF445">_xlfn.IFS(Table13[[#This Row],[Land_Size_SQM]]&gt;=730,"LARGE",Table13[[#This Row],[Land_Size_SQM]]&gt;=465,"MEDIUM",TRUE,"SMALL")</f>
        <v>SMALL</v>
      </c>
    </row>
    <row r="446" spans="1:32" x14ac:dyDescent="0.3">
      <c r="A446" t="s">
        <v>525</v>
      </c>
      <c r="B446" t="s">
        <v>618</v>
      </c>
      <c r="C446" t="s">
        <v>627</v>
      </c>
      <c r="D446">
        <v>47</v>
      </c>
      <c r="E446" t="s">
        <v>630</v>
      </c>
      <c r="F446">
        <v>329</v>
      </c>
      <c r="G446" s="4">
        <v>12193</v>
      </c>
      <c r="H446" s="4">
        <v>4011497</v>
      </c>
      <c r="I446" t="s">
        <v>664</v>
      </c>
      <c r="J446" t="s">
        <v>673</v>
      </c>
      <c r="K446" t="s">
        <v>664</v>
      </c>
      <c r="L446" t="s">
        <v>681</v>
      </c>
      <c r="M446" t="s">
        <v>687</v>
      </c>
      <c r="N446" t="s">
        <v>691</v>
      </c>
      <c r="O446" t="s">
        <v>694</v>
      </c>
      <c r="P446" s="4">
        <v>1725808</v>
      </c>
      <c r="Q446">
        <v>3</v>
      </c>
      <c r="R446" s="7">
        <v>2.37</v>
      </c>
      <c r="S446" s="8">
        <f>Table13[[#This Row],[Discount_%]]/100</f>
        <v>2.3700000000000002E-2</v>
      </c>
      <c r="T446" s="6" t="s">
        <v>876</v>
      </c>
      <c r="U446" t="s">
        <v>984</v>
      </c>
      <c r="V446">
        <v>2024</v>
      </c>
      <c r="W446" t="s">
        <v>993</v>
      </c>
      <c r="X446" t="s">
        <v>998</v>
      </c>
      <c r="Y446" t="s">
        <v>1000</v>
      </c>
      <c r="Z446">
        <v>5</v>
      </c>
      <c r="AA446">
        <v>10</v>
      </c>
      <c r="AB446" s="4">
        <f>Table13[[#This Row],[Total_Price]]*(1-Table13[[#This Row],[Discount 2]])</f>
        <v>3916424.5211</v>
      </c>
      <c r="AC446" s="4" t="str" cm="1">
        <f t="array" ref="AC446">_xlfn.IFS(Table13[[#This Row],[Revenue]]&gt;=30000000,"High Value",Table13[[#This Row],[Revenue]]&gt;=10000000,"Moderate Value",TRUE,"Low Value")</f>
        <v>Low Value</v>
      </c>
      <c r="AD446" t="str">
        <f>IF(Table13[[#This Row],[Discount 2]]&gt;=5%, "YES", "NO")</f>
        <v>NO</v>
      </c>
      <c r="AE446" t="str" cm="1">
        <f t="array" ref="AE446">_xlfn.IFS(Table13[[#This Row],[Revenue]]&gt;=30000000,"High Spender",Table13[[#This Row],[Revenue]]&gt;=10000000,"Moderate Spender",TRUE,"Low Spender")</f>
        <v>Low Spender</v>
      </c>
      <c r="AF446" s="4" t="str" cm="1">
        <f t="array" ref="AF446">_xlfn.IFS(Table13[[#This Row],[Land_Size_SQM]]&gt;=730,"LARGE",Table13[[#This Row],[Land_Size_SQM]]&gt;=465,"MEDIUM",TRUE,"SMALL")</f>
        <v>SMALL</v>
      </c>
    </row>
    <row r="447" spans="1:32" x14ac:dyDescent="0.3">
      <c r="A447" t="s">
        <v>402</v>
      </c>
      <c r="B447" t="s">
        <v>594</v>
      </c>
      <c r="C447" t="s">
        <v>626</v>
      </c>
      <c r="D447">
        <v>22</v>
      </c>
      <c r="E447" t="s">
        <v>630</v>
      </c>
      <c r="F447">
        <v>508</v>
      </c>
      <c r="G447" s="4">
        <v>7914</v>
      </c>
      <c r="H447" s="4">
        <v>4020312</v>
      </c>
      <c r="I447" t="s">
        <v>661</v>
      </c>
      <c r="J447" t="s">
        <v>673</v>
      </c>
      <c r="K447" t="s">
        <v>677</v>
      </c>
      <c r="L447" t="s">
        <v>680</v>
      </c>
      <c r="M447" t="s">
        <v>684</v>
      </c>
      <c r="N447" t="s">
        <v>691</v>
      </c>
      <c r="O447" t="s">
        <v>693</v>
      </c>
      <c r="P447" s="4">
        <v>4020312</v>
      </c>
      <c r="Q447">
        <v>0</v>
      </c>
      <c r="R447" s="7">
        <v>2.97</v>
      </c>
      <c r="S447" s="8">
        <f>Table13[[#This Row],[Discount_%]]/100</f>
        <v>2.9700000000000001E-2</v>
      </c>
      <c r="T447" s="6" t="s">
        <v>702</v>
      </c>
      <c r="U447" t="s">
        <v>987</v>
      </c>
      <c r="V447">
        <v>2024</v>
      </c>
      <c r="W447" t="s">
        <v>995</v>
      </c>
      <c r="X447" t="s">
        <v>998</v>
      </c>
      <c r="Y447" t="s">
        <v>1001</v>
      </c>
      <c r="Z447">
        <v>4</v>
      </c>
      <c r="AA447">
        <v>7</v>
      </c>
      <c r="AB447" s="4">
        <f>Table13[[#This Row],[Total_Price]]*(1-Table13[[#This Row],[Discount 2]])</f>
        <v>3900908.7336000004</v>
      </c>
      <c r="AC447" s="4" t="str" cm="1">
        <f t="array" ref="AC447">_xlfn.IFS(Table13[[#This Row],[Revenue]]&gt;=30000000,"High Value",Table13[[#This Row],[Revenue]]&gt;=10000000,"Moderate Value",TRUE,"Low Value")</f>
        <v>Low Value</v>
      </c>
      <c r="AD447" t="str">
        <f>IF(Table13[[#This Row],[Discount 2]]&gt;=5%, "YES", "NO")</f>
        <v>NO</v>
      </c>
      <c r="AE447" t="str" cm="1">
        <f t="array" ref="AE447">_xlfn.IFS(Table13[[#This Row],[Revenue]]&gt;=30000000,"High Spender",Table13[[#This Row],[Revenue]]&gt;=10000000,"Moderate Spender",TRUE,"Low Spender")</f>
        <v>Low Spender</v>
      </c>
      <c r="AF447" s="4" t="str" cm="1">
        <f t="array" ref="AF447">_xlfn.IFS(Table13[[#This Row],[Land_Size_SQM]]&gt;=730,"LARGE",Table13[[#This Row],[Land_Size_SQM]]&gt;=465,"MEDIUM",TRUE,"SMALL")</f>
        <v>MEDIUM</v>
      </c>
    </row>
    <row r="448" spans="1:32" x14ac:dyDescent="0.3">
      <c r="A448" t="s">
        <v>117</v>
      </c>
      <c r="B448" t="s">
        <v>534</v>
      </c>
      <c r="C448" t="s">
        <v>626</v>
      </c>
      <c r="D448">
        <v>65</v>
      </c>
      <c r="E448" t="s">
        <v>628</v>
      </c>
      <c r="F448">
        <v>386</v>
      </c>
      <c r="G448" s="4">
        <v>10456</v>
      </c>
      <c r="H448" s="4">
        <v>4036016</v>
      </c>
      <c r="I448" t="s">
        <v>656</v>
      </c>
      <c r="J448" t="s">
        <v>669</v>
      </c>
      <c r="K448" t="s">
        <v>674</v>
      </c>
      <c r="L448" t="s">
        <v>681</v>
      </c>
      <c r="M448" t="s">
        <v>686</v>
      </c>
      <c r="N448" t="s">
        <v>690</v>
      </c>
      <c r="O448" t="s">
        <v>694</v>
      </c>
      <c r="P448" s="4">
        <v>1813855</v>
      </c>
      <c r="Q448">
        <v>3</v>
      </c>
      <c r="R448" s="7">
        <v>5.18</v>
      </c>
      <c r="S448" s="8">
        <f>Table13[[#This Row],[Discount_%]]/100</f>
        <v>5.1799999999999999E-2</v>
      </c>
      <c r="T448" s="6" t="s">
        <v>733</v>
      </c>
      <c r="U448" t="s">
        <v>982</v>
      </c>
      <c r="V448">
        <v>2024</v>
      </c>
      <c r="W448" t="s">
        <v>993</v>
      </c>
      <c r="X448" t="s">
        <v>998</v>
      </c>
      <c r="Y448" t="s">
        <v>1000</v>
      </c>
      <c r="Z448">
        <v>5</v>
      </c>
      <c r="AA448">
        <v>18</v>
      </c>
      <c r="AB448" s="4">
        <f>Table13[[#This Row],[Total_Price]]*(1-Table13[[#This Row],[Discount 2]])</f>
        <v>3826950.3712000004</v>
      </c>
      <c r="AC448" s="4" t="str" cm="1">
        <f t="array" ref="AC448">_xlfn.IFS(Table13[[#This Row],[Revenue]]&gt;=30000000,"High Value",Table13[[#This Row],[Revenue]]&gt;=10000000,"Moderate Value",TRUE,"Low Value")</f>
        <v>Low Value</v>
      </c>
      <c r="AD448" t="str">
        <f>IF(Table13[[#This Row],[Discount 2]]&gt;=5%, "YES", "NO")</f>
        <v>YES</v>
      </c>
      <c r="AE448" t="str" cm="1">
        <f t="array" ref="AE448">_xlfn.IFS(Table13[[#This Row],[Revenue]]&gt;=30000000,"High Spender",Table13[[#This Row],[Revenue]]&gt;=10000000,"Moderate Spender",TRUE,"Low Spender")</f>
        <v>Low Spender</v>
      </c>
      <c r="AF448" s="4" t="str" cm="1">
        <f t="array" ref="AF448">_xlfn.IFS(Table13[[#This Row],[Land_Size_SQM]]&gt;=730,"LARGE",Table13[[#This Row],[Land_Size_SQM]]&gt;=465,"MEDIUM",TRUE,"SMALL")</f>
        <v>SMALL</v>
      </c>
    </row>
    <row r="449" spans="1:32" x14ac:dyDescent="0.3">
      <c r="A449" t="s">
        <v>207</v>
      </c>
      <c r="B449" t="s">
        <v>544</v>
      </c>
      <c r="C449" t="s">
        <v>626</v>
      </c>
      <c r="D449">
        <v>46</v>
      </c>
      <c r="E449" t="s">
        <v>630</v>
      </c>
      <c r="F449">
        <v>353</v>
      </c>
      <c r="G449" s="4">
        <v>11712</v>
      </c>
      <c r="H449" s="4">
        <v>4134336</v>
      </c>
      <c r="I449" t="s">
        <v>663</v>
      </c>
      <c r="J449" t="s">
        <v>670</v>
      </c>
      <c r="K449" t="s">
        <v>640</v>
      </c>
      <c r="L449" t="s">
        <v>681</v>
      </c>
      <c r="M449" t="s">
        <v>684</v>
      </c>
      <c r="N449" t="s">
        <v>692</v>
      </c>
      <c r="O449" t="s">
        <v>693</v>
      </c>
      <c r="P449" s="4">
        <v>4134336</v>
      </c>
      <c r="Q449">
        <v>0</v>
      </c>
      <c r="R449" s="7">
        <v>9.25</v>
      </c>
      <c r="S449" s="8">
        <f>Table13[[#This Row],[Discount_%]]/100</f>
        <v>9.2499999999999999E-2</v>
      </c>
      <c r="T449" s="6" t="s">
        <v>833</v>
      </c>
      <c r="U449" t="s">
        <v>985</v>
      </c>
      <c r="V449">
        <v>2024</v>
      </c>
      <c r="W449" t="s">
        <v>995</v>
      </c>
      <c r="X449" t="s">
        <v>999</v>
      </c>
      <c r="Y449" t="s">
        <v>1000</v>
      </c>
      <c r="Z449">
        <v>3</v>
      </c>
      <c r="AA449">
        <v>26</v>
      </c>
      <c r="AB449" s="4">
        <f>Table13[[#This Row],[Total_Price]]*(1-Table13[[#This Row],[Discount 2]])</f>
        <v>3751909.92</v>
      </c>
      <c r="AC449" s="4" t="str" cm="1">
        <f t="array" ref="AC449">_xlfn.IFS(Table13[[#This Row],[Revenue]]&gt;=30000000,"High Value",Table13[[#This Row],[Revenue]]&gt;=10000000,"Moderate Value",TRUE,"Low Value")</f>
        <v>Low Value</v>
      </c>
      <c r="AD449" t="str">
        <f>IF(Table13[[#This Row],[Discount 2]]&gt;=5%, "YES", "NO")</f>
        <v>YES</v>
      </c>
      <c r="AE449" t="str" cm="1">
        <f t="array" ref="AE449">_xlfn.IFS(Table13[[#This Row],[Revenue]]&gt;=30000000,"High Spender",Table13[[#This Row],[Revenue]]&gt;=10000000,"Moderate Spender",TRUE,"Low Spender")</f>
        <v>Low Spender</v>
      </c>
      <c r="AF449" s="4" t="str" cm="1">
        <f t="array" ref="AF449">_xlfn.IFS(Table13[[#This Row],[Land_Size_SQM]]&gt;=730,"LARGE",Table13[[#This Row],[Land_Size_SQM]]&gt;=465,"MEDIUM",TRUE,"SMALL")</f>
        <v>SMALL</v>
      </c>
    </row>
    <row r="450" spans="1:32" x14ac:dyDescent="0.3">
      <c r="A450" t="s">
        <v>106</v>
      </c>
      <c r="B450" t="s">
        <v>548</v>
      </c>
      <c r="C450" t="s">
        <v>626</v>
      </c>
      <c r="D450">
        <v>59</v>
      </c>
      <c r="E450" t="s">
        <v>628</v>
      </c>
      <c r="F450">
        <v>349</v>
      </c>
      <c r="G450" s="4">
        <v>11017</v>
      </c>
      <c r="H450" s="4">
        <v>3844933</v>
      </c>
      <c r="I450" t="s">
        <v>662</v>
      </c>
      <c r="J450" t="s">
        <v>673</v>
      </c>
      <c r="K450" t="s">
        <v>651</v>
      </c>
      <c r="L450" t="s">
        <v>680</v>
      </c>
      <c r="M450" t="s">
        <v>685</v>
      </c>
      <c r="N450" t="s">
        <v>690</v>
      </c>
      <c r="O450" t="s">
        <v>693</v>
      </c>
      <c r="P450" s="4">
        <v>3844933</v>
      </c>
      <c r="Q450">
        <v>0</v>
      </c>
      <c r="R450" s="7">
        <v>2.87</v>
      </c>
      <c r="S450" s="8">
        <f>Table13[[#This Row],[Discount_%]]/100</f>
        <v>2.87E-2</v>
      </c>
      <c r="T450" s="6" t="s">
        <v>766</v>
      </c>
      <c r="U450" t="s">
        <v>989</v>
      </c>
      <c r="V450">
        <v>2024</v>
      </c>
      <c r="W450" t="s">
        <v>996</v>
      </c>
      <c r="X450" t="s">
        <v>999</v>
      </c>
      <c r="Y450" t="s">
        <v>1001</v>
      </c>
      <c r="Z450">
        <v>5</v>
      </c>
      <c r="AA450">
        <v>34</v>
      </c>
      <c r="AB450" s="4">
        <f>Table13[[#This Row],[Total_Price]]*(1-Table13[[#This Row],[Discount 2]])</f>
        <v>3734583.4229000001</v>
      </c>
      <c r="AC450" s="4" t="str" cm="1">
        <f t="array" ref="AC450">_xlfn.IFS(Table13[[#This Row],[Revenue]]&gt;=30000000,"High Value",Table13[[#This Row],[Revenue]]&gt;=10000000,"Moderate Value",TRUE,"Low Value")</f>
        <v>Low Value</v>
      </c>
      <c r="AD450" t="str">
        <f>IF(Table13[[#This Row],[Discount 2]]&gt;=5%, "YES", "NO")</f>
        <v>NO</v>
      </c>
      <c r="AE450" t="str" cm="1">
        <f t="array" ref="AE450">_xlfn.IFS(Table13[[#This Row],[Revenue]]&gt;=30000000,"High Spender",Table13[[#This Row],[Revenue]]&gt;=10000000,"Moderate Spender",TRUE,"Low Spender")</f>
        <v>Low Spender</v>
      </c>
      <c r="AF450" s="4" t="str" cm="1">
        <f t="array" ref="AF450">_xlfn.IFS(Table13[[#This Row],[Land_Size_SQM]]&gt;=730,"LARGE",Table13[[#This Row],[Land_Size_SQM]]&gt;=465,"MEDIUM",TRUE,"SMALL")</f>
        <v>SMALL</v>
      </c>
    </row>
    <row r="451" spans="1:32" x14ac:dyDescent="0.3">
      <c r="A451" t="s">
        <v>226</v>
      </c>
      <c r="B451" t="s">
        <v>549</v>
      </c>
      <c r="C451" t="s">
        <v>626</v>
      </c>
      <c r="D451">
        <v>46</v>
      </c>
      <c r="E451" t="s">
        <v>629</v>
      </c>
      <c r="F451">
        <v>474</v>
      </c>
      <c r="G451" s="4">
        <v>8091</v>
      </c>
      <c r="H451" s="4">
        <v>3835134</v>
      </c>
      <c r="I451" t="s">
        <v>639</v>
      </c>
      <c r="J451" t="s">
        <v>671</v>
      </c>
      <c r="K451" t="s">
        <v>674</v>
      </c>
      <c r="L451" t="s">
        <v>680</v>
      </c>
      <c r="M451" t="s">
        <v>685</v>
      </c>
      <c r="N451" t="s">
        <v>688</v>
      </c>
      <c r="O451" t="s">
        <v>694</v>
      </c>
      <c r="P451" s="4">
        <v>977425</v>
      </c>
      <c r="Q451">
        <v>12</v>
      </c>
      <c r="R451" s="7">
        <v>4.01</v>
      </c>
      <c r="S451" s="8">
        <f>Table13[[#This Row],[Discount_%]]/100</f>
        <v>4.0099999999999997E-2</v>
      </c>
      <c r="T451" s="6" t="s">
        <v>847</v>
      </c>
      <c r="U451" t="s">
        <v>989</v>
      </c>
      <c r="V451">
        <v>2024</v>
      </c>
      <c r="W451" t="s">
        <v>993</v>
      </c>
      <c r="X451" t="s">
        <v>999</v>
      </c>
      <c r="Y451" t="s">
        <v>1000</v>
      </c>
      <c r="Z451">
        <v>4</v>
      </c>
      <c r="AA451">
        <v>38</v>
      </c>
      <c r="AB451" s="4">
        <f>Table13[[#This Row],[Total_Price]]*(1-Table13[[#This Row],[Discount 2]])</f>
        <v>3681345.1266000001</v>
      </c>
      <c r="AC451" s="4" t="str" cm="1">
        <f t="array" ref="AC451">_xlfn.IFS(Table13[[#This Row],[Revenue]]&gt;=30000000,"High Value",Table13[[#This Row],[Revenue]]&gt;=10000000,"Moderate Value",TRUE,"Low Value")</f>
        <v>Low Value</v>
      </c>
      <c r="AD451" t="str">
        <f>IF(Table13[[#This Row],[Discount 2]]&gt;=5%, "YES", "NO")</f>
        <v>NO</v>
      </c>
      <c r="AE451" t="str" cm="1">
        <f t="array" ref="AE451">_xlfn.IFS(Table13[[#This Row],[Revenue]]&gt;=30000000,"High Spender",Table13[[#This Row],[Revenue]]&gt;=10000000,"Moderate Spender",TRUE,"Low Spender")</f>
        <v>Low Spender</v>
      </c>
      <c r="AF451" s="4" t="str" cm="1">
        <f t="array" ref="AF451">_xlfn.IFS(Table13[[#This Row],[Land_Size_SQM]]&gt;=730,"LARGE",Table13[[#This Row],[Land_Size_SQM]]&gt;=465,"MEDIUM",TRUE,"SMALL")</f>
        <v>MEDIUM</v>
      </c>
    </row>
    <row r="452" spans="1:32" x14ac:dyDescent="0.3">
      <c r="A452" t="s">
        <v>495</v>
      </c>
      <c r="B452" t="s">
        <v>625</v>
      </c>
      <c r="C452" t="s">
        <v>626</v>
      </c>
      <c r="D452">
        <v>63</v>
      </c>
      <c r="E452" t="s">
        <v>628</v>
      </c>
      <c r="F452">
        <v>500</v>
      </c>
      <c r="G452" s="4">
        <v>7616</v>
      </c>
      <c r="H452" s="4">
        <v>3808000</v>
      </c>
      <c r="I452" t="s">
        <v>653</v>
      </c>
      <c r="J452" t="s">
        <v>668</v>
      </c>
      <c r="K452" t="s">
        <v>676</v>
      </c>
      <c r="L452" t="s">
        <v>680</v>
      </c>
      <c r="M452" t="s">
        <v>685</v>
      </c>
      <c r="N452" t="s">
        <v>690</v>
      </c>
      <c r="O452" t="s">
        <v>694</v>
      </c>
      <c r="P452" s="4">
        <v>1077773</v>
      </c>
      <c r="Q452">
        <v>3</v>
      </c>
      <c r="R452" s="7">
        <v>3.42</v>
      </c>
      <c r="S452" s="8">
        <f>Table13[[#This Row],[Discount_%]]/100</f>
        <v>3.4200000000000001E-2</v>
      </c>
      <c r="T452" s="6" t="s">
        <v>906</v>
      </c>
      <c r="U452" t="s">
        <v>985</v>
      </c>
      <c r="V452">
        <v>2024</v>
      </c>
      <c r="W452" t="s">
        <v>993</v>
      </c>
      <c r="X452" t="s">
        <v>997</v>
      </c>
      <c r="Y452" t="s">
        <v>1001</v>
      </c>
      <c r="Z452">
        <v>1</v>
      </c>
      <c r="AA452">
        <v>7</v>
      </c>
      <c r="AB452" s="4">
        <f>Table13[[#This Row],[Total_Price]]*(1-Table13[[#This Row],[Discount 2]])</f>
        <v>3677766.4</v>
      </c>
      <c r="AC452" s="4" t="str" cm="1">
        <f t="array" ref="AC452">_xlfn.IFS(Table13[[#This Row],[Revenue]]&gt;=30000000,"High Value",Table13[[#This Row],[Revenue]]&gt;=10000000,"Moderate Value",TRUE,"Low Value")</f>
        <v>Low Value</v>
      </c>
      <c r="AD452" t="str">
        <f>IF(Table13[[#This Row],[Discount 2]]&gt;=5%, "YES", "NO")</f>
        <v>NO</v>
      </c>
      <c r="AE452" t="str" cm="1">
        <f t="array" ref="AE452">_xlfn.IFS(Table13[[#This Row],[Revenue]]&gt;=30000000,"High Spender",Table13[[#This Row],[Revenue]]&gt;=10000000,"Moderate Spender",TRUE,"Low Spender")</f>
        <v>Low Spender</v>
      </c>
      <c r="AF452" s="4" t="str" cm="1">
        <f t="array" ref="AF452">_xlfn.IFS(Table13[[#This Row],[Land_Size_SQM]]&gt;=730,"LARGE",Table13[[#This Row],[Land_Size_SQM]]&gt;=465,"MEDIUM",TRUE,"SMALL")</f>
        <v>MEDIUM</v>
      </c>
    </row>
    <row r="453" spans="1:32" x14ac:dyDescent="0.3">
      <c r="A453" t="s">
        <v>352</v>
      </c>
      <c r="B453" t="s">
        <v>578</v>
      </c>
      <c r="C453" t="s">
        <v>627</v>
      </c>
      <c r="D453">
        <v>21</v>
      </c>
      <c r="E453" t="s">
        <v>630</v>
      </c>
      <c r="F453">
        <v>795</v>
      </c>
      <c r="G453" s="4">
        <v>4667</v>
      </c>
      <c r="H453" s="4">
        <v>3710265</v>
      </c>
      <c r="I453" t="s">
        <v>632</v>
      </c>
      <c r="J453" t="s">
        <v>669</v>
      </c>
      <c r="K453" t="s">
        <v>679</v>
      </c>
      <c r="L453" t="s">
        <v>680</v>
      </c>
      <c r="M453" t="s">
        <v>685</v>
      </c>
      <c r="N453" t="s">
        <v>689</v>
      </c>
      <c r="O453" t="s">
        <v>693</v>
      </c>
      <c r="P453" s="4">
        <v>3710265</v>
      </c>
      <c r="Q453">
        <v>0</v>
      </c>
      <c r="R453" s="7">
        <v>1</v>
      </c>
      <c r="S453" s="8">
        <f>Table13[[#This Row],[Discount_%]]/100</f>
        <v>0.01</v>
      </c>
      <c r="T453" s="6" t="s">
        <v>929</v>
      </c>
      <c r="U453" t="s">
        <v>983</v>
      </c>
      <c r="V453">
        <v>2024</v>
      </c>
      <c r="W453" t="s">
        <v>996</v>
      </c>
      <c r="X453" t="s">
        <v>999</v>
      </c>
      <c r="Y453" t="s">
        <v>1001</v>
      </c>
      <c r="Z453">
        <v>5</v>
      </c>
      <c r="AA453">
        <v>19</v>
      </c>
      <c r="AB453" s="4">
        <f>Table13[[#This Row],[Total_Price]]*(1-Table13[[#This Row],[Discount 2]])</f>
        <v>3673162.35</v>
      </c>
      <c r="AC453" s="4" t="str" cm="1">
        <f t="array" ref="AC453">_xlfn.IFS(Table13[[#This Row],[Revenue]]&gt;=30000000,"High Value",Table13[[#This Row],[Revenue]]&gt;=10000000,"Moderate Value",TRUE,"Low Value")</f>
        <v>Low Value</v>
      </c>
      <c r="AD453" t="str">
        <f>IF(Table13[[#This Row],[Discount 2]]&gt;=5%, "YES", "NO")</f>
        <v>NO</v>
      </c>
      <c r="AE453" t="str" cm="1">
        <f t="array" ref="AE453">_xlfn.IFS(Table13[[#This Row],[Revenue]]&gt;=30000000,"High Spender",Table13[[#This Row],[Revenue]]&gt;=10000000,"Moderate Spender",TRUE,"Low Spender")</f>
        <v>Low Spender</v>
      </c>
      <c r="AF453" s="4" t="str" cm="1">
        <f t="array" ref="AF453">_xlfn.IFS(Table13[[#This Row],[Land_Size_SQM]]&gt;=730,"LARGE",Table13[[#This Row],[Land_Size_SQM]]&gt;=465,"MEDIUM",TRUE,"SMALL")</f>
        <v>LARGE</v>
      </c>
    </row>
    <row r="454" spans="1:32" x14ac:dyDescent="0.3">
      <c r="A454" t="s">
        <v>456</v>
      </c>
      <c r="B454" t="s">
        <v>529</v>
      </c>
      <c r="C454" t="s">
        <v>627</v>
      </c>
      <c r="D454">
        <v>56</v>
      </c>
      <c r="E454" t="s">
        <v>628</v>
      </c>
      <c r="F454">
        <v>397</v>
      </c>
      <c r="G454" s="4">
        <v>9078</v>
      </c>
      <c r="H454" s="4">
        <v>3603966</v>
      </c>
      <c r="I454" t="s">
        <v>637</v>
      </c>
      <c r="J454" t="s">
        <v>672</v>
      </c>
      <c r="K454" t="s">
        <v>674</v>
      </c>
      <c r="L454" t="s">
        <v>682</v>
      </c>
      <c r="M454" t="s">
        <v>686</v>
      </c>
      <c r="N454" t="s">
        <v>690</v>
      </c>
      <c r="O454" t="s">
        <v>693</v>
      </c>
      <c r="P454" s="4">
        <v>3603966</v>
      </c>
      <c r="Q454">
        <v>0</v>
      </c>
      <c r="R454" s="7">
        <v>0.12</v>
      </c>
      <c r="S454" s="8">
        <f>Table13[[#This Row],[Discount_%]]/100</f>
        <v>1.1999999999999999E-3</v>
      </c>
      <c r="T454" s="6" t="s">
        <v>834</v>
      </c>
      <c r="U454" t="s">
        <v>984</v>
      </c>
      <c r="V454">
        <v>2024</v>
      </c>
      <c r="W454" t="s">
        <v>994</v>
      </c>
      <c r="X454" t="s">
        <v>998</v>
      </c>
      <c r="Y454" t="s">
        <v>1002</v>
      </c>
      <c r="Z454">
        <v>5</v>
      </c>
      <c r="AA454">
        <v>29</v>
      </c>
      <c r="AB454" s="4">
        <f>Table13[[#This Row],[Total_Price]]*(1-Table13[[#This Row],[Discount 2]])</f>
        <v>3599641.2408000003</v>
      </c>
      <c r="AC454" s="4" t="str" cm="1">
        <f t="array" ref="AC454">_xlfn.IFS(Table13[[#This Row],[Revenue]]&gt;=30000000,"High Value",Table13[[#This Row],[Revenue]]&gt;=10000000,"Moderate Value",TRUE,"Low Value")</f>
        <v>Low Value</v>
      </c>
      <c r="AD454" t="str">
        <f>IF(Table13[[#This Row],[Discount 2]]&gt;=5%, "YES", "NO")</f>
        <v>NO</v>
      </c>
      <c r="AE454" t="str" cm="1">
        <f t="array" ref="AE454">_xlfn.IFS(Table13[[#This Row],[Revenue]]&gt;=30000000,"High Spender",Table13[[#This Row],[Revenue]]&gt;=10000000,"Moderate Spender",TRUE,"Low Spender")</f>
        <v>Low Spender</v>
      </c>
      <c r="AF454" s="4" t="str" cm="1">
        <f t="array" ref="AF454">_xlfn.IFS(Table13[[#This Row],[Land_Size_SQM]]&gt;=730,"LARGE",Table13[[#This Row],[Land_Size_SQM]]&gt;=465,"MEDIUM",TRUE,"SMALL")</f>
        <v>SMALL</v>
      </c>
    </row>
    <row r="455" spans="1:32" x14ac:dyDescent="0.3">
      <c r="A455" t="s">
        <v>40</v>
      </c>
      <c r="B455" t="s">
        <v>535</v>
      </c>
      <c r="C455" t="s">
        <v>626</v>
      </c>
      <c r="D455">
        <v>36</v>
      </c>
      <c r="E455" t="s">
        <v>628</v>
      </c>
      <c r="F455">
        <v>808</v>
      </c>
      <c r="G455" s="4">
        <v>4604</v>
      </c>
      <c r="H455" s="4">
        <v>3720032</v>
      </c>
      <c r="I455" t="s">
        <v>640</v>
      </c>
      <c r="J455" t="s">
        <v>672</v>
      </c>
      <c r="K455" t="s">
        <v>674</v>
      </c>
      <c r="L455" t="s">
        <v>682</v>
      </c>
      <c r="M455" t="s">
        <v>687</v>
      </c>
      <c r="N455" t="s">
        <v>688</v>
      </c>
      <c r="O455" t="s">
        <v>693</v>
      </c>
      <c r="P455" s="4">
        <v>3720032</v>
      </c>
      <c r="Q455">
        <v>0</v>
      </c>
      <c r="R455" s="7">
        <v>4.1900000000000004</v>
      </c>
      <c r="S455" s="8">
        <f>Table13[[#This Row],[Discount_%]]/100</f>
        <v>4.1900000000000007E-2</v>
      </c>
      <c r="T455" s="6" t="s">
        <v>709</v>
      </c>
      <c r="U455" t="s">
        <v>985</v>
      </c>
      <c r="V455">
        <v>2024</v>
      </c>
      <c r="W455" t="s">
        <v>994</v>
      </c>
      <c r="X455" t="s">
        <v>998</v>
      </c>
      <c r="Y455" t="s">
        <v>1000</v>
      </c>
      <c r="Z455">
        <v>3</v>
      </c>
      <c r="AA455">
        <v>30</v>
      </c>
      <c r="AB455" s="4">
        <f>Table13[[#This Row],[Total_Price]]*(1-Table13[[#This Row],[Discount 2]])</f>
        <v>3564162.6591999996</v>
      </c>
      <c r="AC455" s="4" t="str" cm="1">
        <f t="array" ref="AC455">_xlfn.IFS(Table13[[#This Row],[Revenue]]&gt;=30000000,"High Value",Table13[[#This Row],[Revenue]]&gt;=10000000,"Moderate Value",TRUE,"Low Value")</f>
        <v>Low Value</v>
      </c>
      <c r="AD455" t="str">
        <f>IF(Table13[[#This Row],[Discount 2]]&gt;=5%, "YES", "NO")</f>
        <v>NO</v>
      </c>
      <c r="AE455" t="str" cm="1">
        <f t="array" ref="AE455">_xlfn.IFS(Table13[[#This Row],[Revenue]]&gt;=30000000,"High Spender",Table13[[#This Row],[Revenue]]&gt;=10000000,"Moderate Spender",TRUE,"Low Spender")</f>
        <v>Low Spender</v>
      </c>
      <c r="AF455" s="4" t="str" cm="1">
        <f t="array" ref="AF455">_xlfn.IFS(Table13[[#This Row],[Land_Size_SQM]]&gt;=730,"LARGE",Table13[[#This Row],[Land_Size_SQM]]&gt;=465,"MEDIUM",TRUE,"SMALL")</f>
        <v>LARGE</v>
      </c>
    </row>
    <row r="456" spans="1:32" x14ac:dyDescent="0.3">
      <c r="A456" t="s">
        <v>343</v>
      </c>
      <c r="B456" t="s">
        <v>589</v>
      </c>
      <c r="C456" t="s">
        <v>626</v>
      </c>
      <c r="D456">
        <v>47</v>
      </c>
      <c r="E456" t="s">
        <v>629</v>
      </c>
      <c r="F456">
        <v>389</v>
      </c>
      <c r="G456" s="4">
        <v>9264</v>
      </c>
      <c r="H456" s="4">
        <v>3603696</v>
      </c>
      <c r="I456" t="s">
        <v>632</v>
      </c>
      <c r="J456" t="s">
        <v>669</v>
      </c>
      <c r="K456" t="s">
        <v>674</v>
      </c>
      <c r="L456" t="s">
        <v>682</v>
      </c>
      <c r="M456" t="s">
        <v>687</v>
      </c>
      <c r="N456" t="s">
        <v>690</v>
      </c>
      <c r="O456" t="s">
        <v>693</v>
      </c>
      <c r="P456" s="4">
        <v>3603696</v>
      </c>
      <c r="Q456">
        <v>0</v>
      </c>
      <c r="R456" s="7">
        <v>2.5299999999999998</v>
      </c>
      <c r="S456" s="8">
        <f>Table13[[#This Row],[Discount_%]]/100</f>
        <v>2.53E-2</v>
      </c>
      <c r="T456" s="6" t="s">
        <v>924</v>
      </c>
      <c r="U456" t="s">
        <v>989</v>
      </c>
      <c r="V456">
        <v>2024</v>
      </c>
      <c r="W456" t="s">
        <v>996</v>
      </c>
      <c r="X456" t="s">
        <v>999</v>
      </c>
      <c r="Y456" t="s">
        <v>1002</v>
      </c>
      <c r="Z456">
        <v>1</v>
      </c>
      <c r="AA456">
        <v>25</v>
      </c>
      <c r="AB456" s="4">
        <f>Table13[[#This Row],[Total_Price]]*(1-Table13[[#This Row],[Discount 2]])</f>
        <v>3512522.4912</v>
      </c>
      <c r="AC456" s="4" t="str" cm="1">
        <f t="array" ref="AC456">_xlfn.IFS(Table13[[#This Row],[Revenue]]&gt;=30000000,"High Value",Table13[[#This Row],[Revenue]]&gt;=10000000,"Moderate Value",TRUE,"Low Value")</f>
        <v>Low Value</v>
      </c>
      <c r="AD456" t="str">
        <f>IF(Table13[[#This Row],[Discount 2]]&gt;=5%, "YES", "NO")</f>
        <v>NO</v>
      </c>
      <c r="AE456" t="str" cm="1">
        <f t="array" ref="AE456">_xlfn.IFS(Table13[[#This Row],[Revenue]]&gt;=30000000,"High Spender",Table13[[#This Row],[Revenue]]&gt;=10000000,"Moderate Spender",TRUE,"Low Spender")</f>
        <v>Low Spender</v>
      </c>
      <c r="AF456" s="4" t="str" cm="1">
        <f t="array" ref="AF456">_xlfn.IFS(Table13[[#This Row],[Land_Size_SQM]]&gt;=730,"LARGE",Table13[[#This Row],[Land_Size_SQM]]&gt;=465,"MEDIUM",TRUE,"SMALL")</f>
        <v>SMALL</v>
      </c>
    </row>
    <row r="457" spans="1:32" x14ac:dyDescent="0.3">
      <c r="A457" t="s">
        <v>314</v>
      </c>
      <c r="B457" t="s">
        <v>606</v>
      </c>
      <c r="C457" t="s">
        <v>627</v>
      </c>
      <c r="D457">
        <v>62</v>
      </c>
      <c r="E457" t="s">
        <v>629</v>
      </c>
      <c r="F457">
        <v>250</v>
      </c>
      <c r="G457" s="4">
        <v>14113</v>
      </c>
      <c r="H457" s="4">
        <v>3528250</v>
      </c>
      <c r="I457" t="s">
        <v>644</v>
      </c>
      <c r="J457" t="s">
        <v>668</v>
      </c>
      <c r="K457" t="s">
        <v>679</v>
      </c>
      <c r="L457" t="s">
        <v>682</v>
      </c>
      <c r="M457" t="s">
        <v>687</v>
      </c>
      <c r="N457" t="s">
        <v>690</v>
      </c>
      <c r="O457" t="s">
        <v>693</v>
      </c>
      <c r="P457" s="4">
        <v>3528250</v>
      </c>
      <c r="Q457">
        <v>0</v>
      </c>
      <c r="R457" s="7">
        <v>0.55000000000000004</v>
      </c>
      <c r="S457" s="8">
        <f>Table13[[#This Row],[Discount_%]]/100</f>
        <v>5.5000000000000005E-3</v>
      </c>
      <c r="T457" s="6" t="s">
        <v>765</v>
      </c>
      <c r="U457" t="s">
        <v>982</v>
      </c>
      <c r="V457">
        <v>2024</v>
      </c>
      <c r="W457" t="s">
        <v>993</v>
      </c>
      <c r="X457" t="s">
        <v>999</v>
      </c>
      <c r="Y457" t="s">
        <v>1000</v>
      </c>
      <c r="Z457">
        <v>4</v>
      </c>
      <c r="AA457">
        <v>12</v>
      </c>
      <c r="AB457" s="4">
        <f>Table13[[#This Row],[Total_Price]]*(1-Table13[[#This Row],[Discount 2]])</f>
        <v>3508844.625</v>
      </c>
      <c r="AC457" s="4" t="str" cm="1">
        <f t="array" ref="AC457">_xlfn.IFS(Table13[[#This Row],[Revenue]]&gt;=30000000,"High Value",Table13[[#This Row],[Revenue]]&gt;=10000000,"Moderate Value",TRUE,"Low Value")</f>
        <v>Low Value</v>
      </c>
      <c r="AD457" t="str">
        <f>IF(Table13[[#This Row],[Discount 2]]&gt;=5%, "YES", "NO")</f>
        <v>NO</v>
      </c>
      <c r="AE457" t="str" cm="1">
        <f t="array" ref="AE457">_xlfn.IFS(Table13[[#This Row],[Revenue]]&gt;=30000000,"High Spender",Table13[[#This Row],[Revenue]]&gt;=10000000,"Moderate Spender",TRUE,"Low Spender")</f>
        <v>Low Spender</v>
      </c>
      <c r="AF457" s="4" t="str" cm="1">
        <f t="array" ref="AF457">_xlfn.IFS(Table13[[#This Row],[Land_Size_SQM]]&gt;=730,"LARGE",Table13[[#This Row],[Land_Size_SQM]]&gt;=465,"MEDIUM",TRUE,"SMALL")</f>
        <v>SMALL</v>
      </c>
    </row>
    <row r="458" spans="1:32" x14ac:dyDescent="0.3">
      <c r="A458" t="s">
        <v>281</v>
      </c>
      <c r="B458" t="s">
        <v>618</v>
      </c>
      <c r="C458" t="s">
        <v>626</v>
      </c>
      <c r="D458">
        <v>51</v>
      </c>
      <c r="E458" t="s">
        <v>630</v>
      </c>
      <c r="F458">
        <v>438</v>
      </c>
      <c r="G458" s="4">
        <v>7911</v>
      </c>
      <c r="H458" s="4">
        <v>3465018</v>
      </c>
      <c r="I458" t="s">
        <v>632</v>
      </c>
      <c r="J458" t="s">
        <v>669</v>
      </c>
      <c r="K458" t="s">
        <v>664</v>
      </c>
      <c r="L458" t="s">
        <v>681</v>
      </c>
      <c r="M458" t="s">
        <v>685</v>
      </c>
      <c r="N458" t="s">
        <v>690</v>
      </c>
      <c r="O458" t="s">
        <v>693</v>
      </c>
      <c r="P458" s="4">
        <v>3465018</v>
      </c>
      <c r="Q458">
        <v>0</v>
      </c>
      <c r="R458" s="7">
        <v>0.15</v>
      </c>
      <c r="S458" s="8">
        <f>Table13[[#This Row],[Discount_%]]/100</f>
        <v>1.5E-3</v>
      </c>
      <c r="T458" s="6" t="s">
        <v>882</v>
      </c>
      <c r="U458" t="s">
        <v>990</v>
      </c>
      <c r="V458">
        <v>2024</v>
      </c>
      <c r="W458" t="s">
        <v>993</v>
      </c>
      <c r="X458" t="s">
        <v>999</v>
      </c>
      <c r="Y458" t="s">
        <v>1000</v>
      </c>
      <c r="Z458">
        <v>3</v>
      </c>
      <c r="AA458">
        <v>50</v>
      </c>
      <c r="AB458" s="4">
        <f>Table13[[#This Row],[Total_Price]]*(1-Table13[[#This Row],[Discount 2]])</f>
        <v>3459820.4730000002</v>
      </c>
      <c r="AC458" s="4" t="str" cm="1">
        <f t="array" ref="AC458">_xlfn.IFS(Table13[[#This Row],[Revenue]]&gt;=30000000,"High Value",Table13[[#This Row],[Revenue]]&gt;=10000000,"Moderate Value",TRUE,"Low Value")</f>
        <v>Low Value</v>
      </c>
      <c r="AD458" t="str">
        <f>IF(Table13[[#This Row],[Discount 2]]&gt;=5%, "YES", "NO")</f>
        <v>NO</v>
      </c>
      <c r="AE458" t="str" cm="1">
        <f t="array" ref="AE458">_xlfn.IFS(Table13[[#This Row],[Revenue]]&gt;=30000000,"High Spender",Table13[[#This Row],[Revenue]]&gt;=10000000,"Moderate Spender",TRUE,"Low Spender")</f>
        <v>Low Spender</v>
      </c>
      <c r="AF458" s="4" t="str" cm="1">
        <f t="array" ref="AF458">_xlfn.IFS(Table13[[#This Row],[Land_Size_SQM]]&gt;=730,"LARGE",Table13[[#This Row],[Land_Size_SQM]]&gt;=465,"MEDIUM",TRUE,"SMALL")</f>
        <v>SMALL</v>
      </c>
    </row>
    <row r="459" spans="1:32" x14ac:dyDescent="0.3">
      <c r="A459" t="s">
        <v>221</v>
      </c>
      <c r="B459" t="s">
        <v>607</v>
      </c>
      <c r="C459" t="s">
        <v>627</v>
      </c>
      <c r="D459">
        <v>27</v>
      </c>
      <c r="E459" t="s">
        <v>630</v>
      </c>
      <c r="F459">
        <v>219</v>
      </c>
      <c r="G459" s="4">
        <v>16969</v>
      </c>
      <c r="H459" s="4">
        <v>3716211</v>
      </c>
      <c r="I459" t="s">
        <v>654</v>
      </c>
      <c r="J459" t="s">
        <v>669</v>
      </c>
      <c r="K459" t="s">
        <v>640</v>
      </c>
      <c r="L459" t="s">
        <v>682</v>
      </c>
      <c r="M459" t="s">
        <v>685</v>
      </c>
      <c r="N459" t="s">
        <v>691</v>
      </c>
      <c r="O459" t="s">
        <v>693</v>
      </c>
      <c r="P459" s="4">
        <v>3716211</v>
      </c>
      <c r="Q459">
        <v>0</v>
      </c>
      <c r="R459" s="7">
        <v>7.27</v>
      </c>
      <c r="S459" s="8">
        <f>Table13[[#This Row],[Discount_%]]/100</f>
        <v>7.2700000000000001E-2</v>
      </c>
      <c r="T459" s="6" t="s">
        <v>843</v>
      </c>
      <c r="U459" t="s">
        <v>987</v>
      </c>
      <c r="V459">
        <v>2024</v>
      </c>
      <c r="W459" t="s">
        <v>994</v>
      </c>
      <c r="X459" t="s">
        <v>997</v>
      </c>
      <c r="Y459" t="s">
        <v>1001</v>
      </c>
      <c r="Z459">
        <v>1</v>
      </c>
      <c r="AA459">
        <v>39</v>
      </c>
      <c r="AB459" s="4">
        <f>Table13[[#This Row],[Total_Price]]*(1-Table13[[#This Row],[Discount 2]])</f>
        <v>3446042.4602999999</v>
      </c>
      <c r="AC459" s="4" t="str" cm="1">
        <f t="array" ref="AC459">_xlfn.IFS(Table13[[#This Row],[Revenue]]&gt;=30000000,"High Value",Table13[[#This Row],[Revenue]]&gt;=10000000,"Moderate Value",TRUE,"Low Value")</f>
        <v>Low Value</v>
      </c>
      <c r="AD459" t="str">
        <f>IF(Table13[[#This Row],[Discount 2]]&gt;=5%, "YES", "NO")</f>
        <v>YES</v>
      </c>
      <c r="AE459" t="str" cm="1">
        <f t="array" ref="AE459">_xlfn.IFS(Table13[[#This Row],[Revenue]]&gt;=30000000,"High Spender",Table13[[#This Row],[Revenue]]&gt;=10000000,"Moderate Spender",TRUE,"Low Spender")</f>
        <v>Low Spender</v>
      </c>
      <c r="AF459" s="4" t="str" cm="1">
        <f t="array" ref="AF459">_xlfn.IFS(Table13[[#This Row],[Land_Size_SQM]]&gt;=730,"LARGE",Table13[[#This Row],[Land_Size_SQM]]&gt;=465,"MEDIUM",TRUE,"SMALL")</f>
        <v>SMALL</v>
      </c>
    </row>
    <row r="460" spans="1:32" x14ac:dyDescent="0.3">
      <c r="A460" t="s">
        <v>319</v>
      </c>
      <c r="B460" t="s">
        <v>555</v>
      </c>
      <c r="C460" t="s">
        <v>627</v>
      </c>
      <c r="D460">
        <v>61</v>
      </c>
      <c r="E460" t="s">
        <v>628</v>
      </c>
      <c r="F460">
        <v>830</v>
      </c>
      <c r="G460" s="4">
        <v>3908</v>
      </c>
      <c r="H460" s="4">
        <v>3243640</v>
      </c>
      <c r="I460" t="s">
        <v>634</v>
      </c>
      <c r="J460" t="s">
        <v>670</v>
      </c>
      <c r="K460" t="s">
        <v>674</v>
      </c>
      <c r="L460" t="s">
        <v>681</v>
      </c>
      <c r="M460" t="s">
        <v>683</v>
      </c>
      <c r="N460" t="s">
        <v>691</v>
      </c>
      <c r="O460" t="s">
        <v>693</v>
      </c>
      <c r="P460" s="4">
        <v>3243640</v>
      </c>
      <c r="Q460">
        <v>0</v>
      </c>
      <c r="R460" s="7">
        <v>1.94</v>
      </c>
      <c r="S460" s="8">
        <f>Table13[[#This Row],[Discount_%]]/100</f>
        <v>1.9400000000000001E-2</v>
      </c>
      <c r="T460" s="6" t="s">
        <v>911</v>
      </c>
      <c r="U460" t="s">
        <v>982</v>
      </c>
      <c r="V460">
        <v>2024</v>
      </c>
      <c r="W460" t="s">
        <v>994</v>
      </c>
      <c r="X460" t="s">
        <v>998</v>
      </c>
      <c r="Y460" t="s">
        <v>1002</v>
      </c>
      <c r="Z460">
        <v>1</v>
      </c>
      <c r="AA460">
        <v>34</v>
      </c>
      <c r="AB460" s="4">
        <f>Table13[[#This Row],[Total_Price]]*(1-Table13[[#This Row],[Discount 2]])</f>
        <v>3180713.3840000001</v>
      </c>
      <c r="AC460" s="4" t="str" cm="1">
        <f t="array" ref="AC460">_xlfn.IFS(Table13[[#This Row],[Revenue]]&gt;=30000000,"High Value",Table13[[#This Row],[Revenue]]&gt;=10000000,"Moderate Value",TRUE,"Low Value")</f>
        <v>Low Value</v>
      </c>
      <c r="AD460" t="str">
        <f>IF(Table13[[#This Row],[Discount 2]]&gt;=5%, "YES", "NO")</f>
        <v>NO</v>
      </c>
      <c r="AE460" t="str" cm="1">
        <f t="array" ref="AE460">_xlfn.IFS(Table13[[#This Row],[Revenue]]&gt;=30000000,"High Spender",Table13[[#This Row],[Revenue]]&gt;=10000000,"Moderate Spender",TRUE,"Low Spender")</f>
        <v>Low Spender</v>
      </c>
      <c r="AF460" s="4" t="str" cm="1">
        <f t="array" ref="AF460">_xlfn.IFS(Table13[[#This Row],[Land_Size_SQM]]&gt;=730,"LARGE",Table13[[#This Row],[Land_Size_SQM]]&gt;=465,"MEDIUM",TRUE,"SMALL")</f>
        <v>LARGE</v>
      </c>
    </row>
    <row r="461" spans="1:32" x14ac:dyDescent="0.3">
      <c r="A461" t="s">
        <v>389</v>
      </c>
      <c r="B461" t="s">
        <v>531</v>
      </c>
      <c r="C461" t="s">
        <v>626</v>
      </c>
      <c r="D461">
        <v>62</v>
      </c>
      <c r="E461" t="s">
        <v>629</v>
      </c>
      <c r="F461">
        <v>233</v>
      </c>
      <c r="G461" s="4">
        <v>13591</v>
      </c>
      <c r="H461" s="4">
        <v>3166703</v>
      </c>
      <c r="I461" t="s">
        <v>666</v>
      </c>
      <c r="J461" t="s">
        <v>670</v>
      </c>
      <c r="K461" t="s">
        <v>664</v>
      </c>
      <c r="L461" t="s">
        <v>682</v>
      </c>
      <c r="M461" t="s">
        <v>686</v>
      </c>
      <c r="N461" t="s">
        <v>692</v>
      </c>
      <c r="O461" t="s">
        <v>694</v>
      </c>
      <c r="P461" s="4">
        <v>1100252</v>
      </c>
      <c r="Q461">
        <v>6</v>
      </c>
      <c r="R461" s="7">
        <v>1.34</v>
      </c>
      <c r="S461" s="8">
        <f>Table13[[#This Row],[Discount_%]]/100</f>
        <v>1.34E-2</v>
      </c>
      <c r="T461" s="6" t="s">
        <v>721</v>
      </c>
      <c r="U461" t="s">
        <v>991</v>
      </c>
      <c r="V461">
        <v>2024</v>
      </c>
      <c r="W461" t="s">
        <v>995</v>
      </c>
      <c r="X461" t="s">
        <v>998</v>
      </c>
      <c r="Y461" t="s">
        <v>1001</v>
      </c>
      <c r="Z461">
        <v>2</v>
      </c>
      <c r="AA461">
        <v>33</v>
      </c>
      <c r="AB461" s="4">
        <f>Table13[[#This Row],[Total_Price]]*(1-Table13[[#This Row],[Discount 2]])</f>
        <v>3124269.1798</v>
      </c>
      <c r="AC461" s="4" t="str" cm="1">
        <f t="array" ref="AC461">_xlfn.IFS(Table13[[#This Row],[Revenue]]&gt;=30000000,"High Value",Table13[[#This Row],[Revenue]]&gt;=10000000,"Moderate Value",TRUE,"Low Value")</f>
        <v>Low Value</v>
      </c>
      <c r="AD461" t="str">
        <f>IF(Table13[[#This Row],[Discount 2]]&gt;=5%, "YES", "NO")</f>
        <v>NO</v>
      </c>
      <c r="AE461" t="str" cm="1">
        <f t="array" ref="AE461">_xlfn.IFS(Table13[[#This Row],[Revenue]]&gt;=30000000,"High Spender",Table13[[#This Row],[Revenue]]&gt;=10000000,"Moderate Spender",TRUE,"Low Spender")</f>
        <v>Low Spender</v>
      </c>
      <c r="AF461" s="4" t="str" cm="1">
        <f t="array" ref="AF461">_xlfn.IFS(Table13[[#This Row],[Land_Size_SQM]]&gt;=730,"LARGE",Table13[[#This Row],[Land_Size_SQM]]&gt;=465,"MEDIUM",TRUE,"SMALL")</f>
        <v>SMALL</v>
      </c>
    </row>
    <row r="462" spans="1:32" x14ac:dyDescent="0.3">
      <c r="A462" t="s">
        <v>46</v>
      </c>
      <c r="B462" t="s">
        <v>542</v>
      </c>
      <c r="C462" t="s">
        <v>627</v>
      </c>
      <c r="D462">
        <v>36</v>
      </c>
      <c r="E462" t="s">
        <v>628</v>
      </c>
      <c r="F462">
        <v>485</v>
      </c>
      <c r="G462" s="4">
        <v>6549</v>
      </c>
      <c r="H462" s="4">
        <v>3176265</v>
      </c>
      <c r="I462" t="s">
        <v>632</v>
      </c>
      <c r="J462" t="s">
        <v>669</v>
      </c>
      <c r="K462" t="s">
        <v>651</v>
      </c>
      <c r="L462" t="s">
        <v>682</v>
      </c>
      <c r="M462" t="s">
        <v>687</v>
      </c>
      <c r="N462" t="s">
        <v>689</v>
      </c>
      <c r="O462" t="s">
        <v>694</v>
      </c>
      <c r="P462" s="4">
        <v>1246508</v>
      </c>
      <c r="Q462">
        <v>12</v>
      </c>
      <c r="R462" s="7">
        <v>4</v>
      </c>
      <c r="S462" s="8">
        <f>Table13[[#This Row],[Discount_%]]/100</f>
        <v>0.04</v>
      </c>
      <c r="T462" s="6" t="s">
        <v>701</v>
      </c>
      <c r="U462" t="s">
        <v>985</v>
      </c>
      <c r="V462">
        <v>2024</v>
      </c>
      <c r="W462" t="s">
        <v>993</v>
      </c>
      <c r="X462" t="s">
        <v>997</v>
      </c>
      <c r="Y462" t="s">
        <v>1002</v>
      </c>
      <c r="Z462">
        <v>3</v>
      </c>
      <c r="AA462">
        <v>47</v>
      </c>
      <c r="AB462" s="4">
        <f>Table13[[#This Row],[Total_Price]]*(1-Table13[[#This Row],[Discount 2]])</f>
        <v>3049214.4</v>
      </c>
      <c r="AC462" s="4" t="str" cm="1">
        <f t="array" ref="AC462">_xlfn.IFS(Table13[[#This Row],[Revenue]]&gt;=30000000,"High Value",Table13[[#This Row],[Revenue]]&gt;=10000000,"Moderate Value",TRUE,"Low Value")</f>
        <v>Low Value</v>
      </c>
      <c r="AD462" t="str">
        <f>IF(Table13[[#This Row],[Discount 2]]&gt;=5%, "YES", "NO")</f>
        <v>NO</v>
      </c>
      <c r="AE462" t="str" cm="1">
        <f t="array" ref="AE462">_xlfn.IFS(Table13[[#This Row],[Revenue]]&gt;=30000000,"High Spender",Table13[[#This Row],[Revenue]]&gt;=10000000,"Moderate Spender",TRUE,"Low Spender")</f>
        <v>Low Spender</v>
      </c>
      <c r="AF462" s="4" t="str" cm="1">
        <f t="array" ref="AF462">_xlfn.IFS(Table13[[#This Row],[Land_Size_SQM]]&gt;=730,"LARGE",Table13[[#This Row],[Land_Size_SQM]]&gt;=465,"MEDIUM",TRUE,"SMALL")</f>
        <v>MEDIUM</v>
      </c>
    </row>
    <row r="463" spans="1:32" x14ac:dyDescent="0.3">
      <c r="A463" t="s">
        <v>130</v>
      </c>
      <c r="B463" t="s">
        <v>570</v>
      </c>
      <c r="C463" t="s">
        <v>627</v>
      </c>
      <c r="D463">
        <v>23</v>
      </c>
      <c r="E463" t="s">
        <v>628</v>
      </c>
      <c r="F463">
        <v>340</v>
      </c>
      <c r="G463" s="4">
        <v>9158</v>
      </c>
      <c r="H463" s="4">
        <v>3113720</v>
      </c>
      <c r="I463" t="s">
        <v>655</v>
      </c>
      <c r="J463" t="s">
        <v>672</v>
      </c>
      <c r="K463" t="s">
        <v>677</v>
      </c>
      <c r="L463" t="s">
        <v>681</v>
      </c>
      <c r="M463" t="s">
        <v>687</v>
      </c>
      <c r="N463" t="s">
        <v>691</v>
      </c>
      <c r="O463" t="s">
        <v>693</v>
      </c>
      <c r="P463" s="4">
        <v>3113720</v>
      </c>
      <c r="Q463">
        <v>0</v>
      </c>
      <c r="R463" s="7">
        <v>2.42</v>
      </c>
      <c r="S463" s="8">
        <f>Table13[[#This Row],[Discount_%]]/100</f>
        <v>2.4199999999999999E-2</v>
      </c>
      <c r="T463" s="6" t="s">
        <v>782</v>
      </c>
      <c r="U463" t="s">
        <v>984</v>
      </c>
      <c r="V463">
        <v>2024</v>
      </c>
      <c r="W463" t="s">
        <v>993</v>
      </c>
      <c r="X463" t="s">
        <v>997</v>
      </c>
      <c r="Y463" t="s">
        <v>1000</v>
      </c>
      <c r="Z463">
        <v>1</v>
      </c>
      <c r="AA463">
        <v>36</v>
      </c>
      <c r="AB463" s="4">
        <f>Table13[[#This Row],[Total_Price]]*(1-Table13[[#This Row],[Discount 2]])</f>
        <v>3038367.9759999998</v>
      </c>
      <c r="AC463" s="4" t="str" cm="1">
        <f t="array" ref="AC463">_xlfn.IFS(Table13[[#This Row],[Revenue]]&gt;=30000000,"High Value",Table13[[#This Row],[Revenue]]&gt;=10000000,"Moderate Value",TRUE,"Low Value")</f>
        <v>Low Value</v>
      </c>
      <c r="AD463" t="str">
        <f>IF(Table13[[#This Row],[Discount 2]]&gt;=5%, "YES", "NO")</f>
        <v>NO</v>
      </c>
      <c r="AE463" t="str" cm="1">
        <f t="array" ref="AE463">_xlfn.IFS(Table13[[#This Row],[Revenue]]&gt;=30000000,"High Spender",Table13[[#This Row],[Revenue]]&gt;=10000000,"Moderate Spender",TRUE,"Low Spender")</f>
        <v>Low Spender</v>
      </c>
      <c r="AF463" s="4" t="str" cm="1">
        <f t="array" ref="AF463">_xlfn.IFS(Table13[[#This Row],[Land_Size_SQM]]&gt;=730,"LARGE",Table13[[#This Row],[Land_Size_SQM]]&gt;=465,"MEDIUM",TRUE,"SMALL")</f>
        <v>SMALL</v>
      </c>
    </row>
    <row r="464" spans="1:32" x14ac:dyDescent="0.3">
      <c r="A464" t="s">
        <v>257</v>
      </c>
      <c r="B464" t="s">
        <v>564</v>
      </c>
      <c r="C464" t="s">
        <v>627</v>
      </c>
      <c r="D464">
        <v>31</v>
      </c>
      <c r="E464" t="s">
        <v>630</v>
      </c>
      <c r="F464">
        <v>335</v>
      </c>
      <c r="G464" s="4">
        <v>9115</v>
      </c>
      <c r="H464" s="4">
        <v>3053525</v>
      </c>
      <c r="I464" t="s">
        <v>632</v>
      </c>
      <c r="J464" t="s">
        <v>669</v>
      </c>
      <c r="K464" t="s">
        <v>640</v>
      </c>
      <c r="L464" t="s">
        <v>682</v>
      </c>
      <c r="M464" t="s">
        <v>686</v>
      </c>
      <c r="N464" t="s">
        <v>689</v>
      </c>
      <c r="O464" t="s">
        <v>693</v>
      </c>
      <c r="P464" s="4">
        <v>3053525</v>
      </c>
      <c r="Q464">
        <v>0</v>
      </c>
      <c r="R464" s="7">
        <v>2.02</v>
      </c>
      <c r="S464" s="8">
        <f>Table13[[#This Row],[Discount_%]]/100</f>
        <v>2.0199999999999999E-2</v>
      </c>
      <c r="T464" s="6" t="s">
        <v>857</v>
      </c>
      <c r="U464" t="s">
        <v>986</v>
      </c>
      <c r="V464">
        <v>2024</v>
      </c>
      <c r="W464" t="s">
        <v>993</v>
      </c>
      <c r="X464" t="s">
        <v>999</v>
      </c>
      <c r="Y464" t="s">
        <v>1002</v>
      </c>
      <c r="Z464">
        <v>2</v>
      </c>
      <c r="AA464">
        <v>39</v>
      </c>
      <c r="AB464" s="4">
        <f>Table13[[#This Row],[Total_Price]]*(1-Table13[[#This Row],[Discount 2]])</f>
        <v>2991843.7949999999</v>
      </c>
      <c r="AC464" s="4" t="str" cm="1">
        <f t="array" ref="AC464">_xlfn.IFS(Table13[[#This Row],[Revenue]]&gt;=30000000,"High Value",Table13[[#This Row],[Revenue]]&gt;=10000000,"Moderate Value",TRUE,"Low Value")</f>
        <v>Low Value</v>
      </c>
      <c r="AD464" t="str">
        <f>IF(Table13[[#This Row],[Discount 2]]&gt;=5%, "YES", "NO")</f>
        <v>NO</v>
      </c>
      <c r="AE464" t="str" cm="1">
        <f t="array" ref="AE464">_xlfn.IFS(Table13[[#This Row],[Revenue]]&gt;=30000000,"High Spender",Table13[[#This Row],[Revenue]]&gt;=10000000,"Moderate Spender",TRUE,"Low Spender")</f>
        <v>Low Spender</v>
      </c>
      <c r="AF464" s="4" t="str" cm="1">
        <f t="array" ref="AF464">_xlfn.IFS(Table13[[#This Row],[Land_Size_SQM]]&gt;=730,"LARGE",Table13[[#This Row],[Land_Size_SQM]]&gt;=465,"MEDIUM",TRUE,"SMALL")</f>
        <v>SMALL</v>
      </c>
    </row>
    <row r="465" spans="1:32" x14ac:dyDescent="0.3">
      <c r="A465" t="s">
        <v>449</v>
      </c>
      <c r="B465" t="s">
        <v>591</v>
      </c>
      <c r="C465" t="s">
        <v>626</v>
      </c>
      <c r="D465">
        <v>65</v>
      </c>
      <c r="E465" t="s">
        <v>629</v>
      </c>
      <c r="F465">
        <v>396</v>
      </c>
      <c r="G465" s="4">
        <v>7896</v>
      </c>
      <c r="H465" s="4">
        <v>3126816</v>
      </c>
      <c r="I465" t="s">
        <v>646</v>
      </c>
      <c r="J465" t="s">
        <v>673</v>
      </c>
      <c r="K465" t="s">
        <v>651</v>
      </c>
      <c r="L465" t="s">
        <v>682</v>
      </c>
      <c r="M465" t="s">
        <v>683</v>
      </c>
      <c r="N465" t="s">
        <v>689</v>
      </c>
      <c r="O465" t="s">
        <v>694</v>
      </c>
      <c r="P465" s="4">
        <v>845108</v>
      </c>
      <c r="Q465">
        <v>6</v>
      </c>
      <c r="R465" s="7">
        <v>4.9400000000000004</v>
      </c>
      <c r="S465" s="8">
        <f>Table13[[#This Row],[Discount_%]]/100</f>
        <v>4.9400000000000006E-2</v>
      </c>
      <c r="T465" s="6" t="s">
        <v>749</v>
      </c>
      <c r="U465" t="s">
        <v>991</v>
      </c>
      <c r="V465">
        <v>2024</v>
      </c>
      <c r="W465" t="s">
        <v>996</v>
      </c>
      <c r="X465" t="s">
        <v>997</v>
      </c>
      <c r="Y465" t="s">
        <v>1002</v>
      </c>
      <c r="Z465">
        <v>1</v>
      </c>
      <c r="AA465">
        <v>18</v>
      </c>
      <c r="AB465" s="4">
        <f>Table13[[#This Row],[Total_Price]]*(1-Table13[[#This Row],[Discount 2]])</f>
        <v>2972351.2895999998</v>
      </c>
      <c r="AC465" s="4" t="str" cm="1">
        <f t="array" ref="AC465">_xlfn.IFS(Table13[[#This Row],[Revenue]]&gt;=30000000,"High Value",Table13[[#This Row],[Revenue]]&gt;=10000000,"Moderate Value",TRUE,"Low Value")</f>
        <v>Low Value</v>
      </c>
      <c r="AD465" t="str">
        <f>IF(Table13[[#This Row],[Discount 2]]&gt;=5%, "YES", "NO")</f>
        <v>NO</v>
      </c>
      <c r="AE465" t="str" cm="1">
        <f t="array" ref="AE465">_xlfn.IFS(Table13[[#This Row],[Revenue]]&gt;=30000000,"High Spender",Table13[[#This Row],[Revenue]]&gt;=10000000,"Moderate Spender",TRUE,"Low Spender")</f>
        <v>Low Spender</v>
      </c>
      <c r="AF465" s="4" t="str" cm="1">
        <f t="array" ref="AF465">_xlfn.IFS(Table13[[#This Row],[Land_Size_SQM]]&gt;=730,"LARGE",Table13[[#This Row],[Land_Size_SQM]]&gt;=465,"MEDIUM",TRUE,"SMALL")</f>
        <v>SMALL</v>
      </c>
    </row>
    <row r="466" spans="1:32" x14ac:dyDescent="0.3">
      <c r="A466" t="s">
        <v>422</v>
      </c>
      <c r="B466" t="s">
        <v>552</v>
      </c>
      <c r="C466" t="s">
        <v>626</v>
      </c>
      <c r="D466">
        <v>22</v>
      </c>
      <c r="E466" t="s">
        <v>630</v>
      </c>
      <c r="F466">
        <v>601</v>
      </c>
      <c r="G466" s="4">
        <v>5337</v>
      </c>
      <c r="H466" s="4">
        <v>3207537</v>
      </c>
      <c r="I466" t="s">
        <v>651</v>
      </c>
      <c r="J466" t="s">
        <v>669</v>
      </c>
      <c r="K466" t="s">
        <v>674</v>
      </c>
      <c r="L466" t="s">
        <v>681</v>
      </c>
      <c r="M466" t="s">
        <v>684</v>
      </c>
      <c r="N466" t="s">
        <v>692</v>
      </c>
      <c r="O466" t="s">
        <v>694</v>
      </c>
      <c r="P466" s="4">
        <v>740297</v>
      </c>
      <c r="Q466">
        <v>3</v>
      </c>
      <c r="R466" s="7">
        <v>8.48</v>
      </c>
      <c r="S466" s="8">
        <f>Table13[[#This Row],[Discount_%]]/100</f>
        <v>8.48E-2</v>
      </c>
      <c r="T466" s="6" t="s">
        <v>752</v>
      </c>
      <c r="U466" t="s">
        <v>989</v>
      </c>
      <c r="V466">
        <v>2024</v>
      </c>
      <c r="W466" t="s">
        <v>995</v>
      </c>
      <c r="X466" t="s">
        <v>999</v>
      </c>
      <c r="Y466" t="s">
        <v>1001</v>
      </c>
      <c r="Z466">
        <v>1</v>
      </c>
      <c r="AA466">
        <v>34</v>
      </c>
      <c r="AB466" s="4">
        <f>Table13[[#This Row],[Total_Price]]*(1-Table13[[#This Row],[Discount 2]])</f>
        <v>2935537.8624</v>
      </c>
      <c r="AC466" s="4" t="str" cm="1">
        <f t="array" ref="AC466">_xlfn.IFS(Table13[[#This Row],[Revenue]]&gt;=30000000,"High Value",Table13[[#This Row],[Revenue]]&gt;=10000000,"Moderate Value",TRUE,"Low Value")</f>
        <v>Low Value</v>
      </c>
      <c r="AD466" t="str">
        <f>IF(Table13[[#This Row],[Discount 2]]&gt;=5%, "YES", "NO")</f>
        <v>YES</v>
      </c>
      <c r="AE466" t="str" cm="1">
        <f t="array" ref="AE466">_xlfn.IFS(Table13[[#This Row],[Revenue]]&gt;=30000000,"High Spender",Table13[[#This Row],[Revenue]]&gt;=10000000,"Moderate Spender",TRUE,"Low Spender")</f>
        <v>Low Spender</v>
      </c>
      <c r="AF466" s="4" t="str" cm="1">
        <f t="array" ref="AF466">_xlfn.IFS(Table13[[#This Row],[Land_Size_SQM]]&gt;=730,"LARGE",Table13[[#This Row],[Land_Size_SQM]]&gt;=465,"MEDIUM",TRUE,"SMALL")</f>
        <v>MEDIUM</v>
      </c>
    </row>
    <row r="467" spans="1:32" x14ac:dyDescent="0.3">
      <c r="A467" t="s">
        <v>445</v>
      </c>
      <c r="B467" t="s">
        <v>527</v>
      </c>
      <c r="C467" t="s">
        <v>627</v>
      </c>
      <c r="D467">
        <v>23</v>
      </c>
      <c r="E467" t="s">
        <v>630</v>
      </c>
      <c r="F467">
        <v>662</v>
      </c>
      <c r="G467" s="4">
        <v>4738</v>
      </c>
      <c r="H467" s="4">
        <v>3136556</v>
      </c>
      <c r="I467" t="s">
        <v>660</v>
      </c>
      <c r="J467" t="s">
        <v>672</v>
      </c>
      <c r="K467" t="s">
        <v>675</v>
      </c>
      <c r="L467" t="s">
        <v>681</v>
      </c>
      <c r="M467" t="s">
        <v>686</v>
      </c>
      <c r="N467" t="s">
        <v>690</v>
      </c>
      <c r="O467" t="s">
        <v>693</v>
      </c>
      <c r="P467" s="4">
        <v>3136556</v>
      </c>
      <c r="Q467">
        <v>0</v>
      </c>
      <c r="R467" s="7">
        <v>8.1300000000000008</v>
      </c>
      <c r="S467" s="8">
        <f>Table13[[#This Row],[Discount_%]]/100</f>
        <v>8.1300000000000011E-2</v>
      </c>
      <c r="T467" s="6" t="s">
        <v>916</v>
      </c>
      <c r="U467" t="s">
        <v>983</v>
      </c>
      <c r="V467">
        <v>2024</v>
      </c>
      <c r="W467" t="s">
        <v>995</v>
      </c>
      <c r="X467" t="s">
        <v>998</v>
      </c>
      <c r="Y467" t="s">
        <v>1001</v>
      </c>
      <c r="Z467">
        <v>2</v>
      </c>
      <c r="AA467">
        <v>38</v>
      </c>
      <c r="AB467" s="4">
        <f>Table13[[#This Row],[Total_Price]]*(1-Table13[[#This Row],[Discount 2]])</f>
        <v>2881553.9972000001</v>
      </c>
      <c r="AC467" s="4" t="str" cm="1">
        <f t="array" ref="AC467">_xlfn.IFS(Table13[[#This Row],[Revenue]]&gt;=30000000,"High Value",Table13[[#This Row],[Revenue]]&gt;=10000000,"Moderate Value",TRUE,"Low Value")</f>
        <v>Low Value</v>
      </c>
      <c r="AD467" t="str">
        <f>IF(Table13[[#This Row],[Discount 2]]&gt;=5%, "YES", "NO")</f>
        <v>YES</v>
      </c>
      <c r="AE467" t="str" cm="1">
        <f t="array" ref="AE467">_xlfn.IFS(Table13[[#This Row],[Revenue]]&gt;=30000000,"High Spender",Table13[[#This Row],[Revenue]]&gt;=10000000,"Moderate Spender",TRUE,"Low Spender")</f>
        <v>Low Spender</v>
      </c>
      <c r="AF467" s="4" t="str" cm="1">
        <f t="array" ref="AF467">_xlfn.IFS(Table13[[#This Row],[Land_Size_SQM]]&gt;=730,"LARGE",Table13[[#This Row],[Land_Size_SQM]]&gt;=465,"MEDIUM",TRUE,"SMALL")</f>
        <v>MEDIUM</v>
      </c>
    </row>
    <row r="468" spans="1:32" x14ac:dyDescent="0.3">
      <c r="A468" t="s">
        <v>426</v>
      </c>
      <c r="B468" t="s">
        <v>550</v>
      </c>
      <c r="C468" t="s">
        <v>627</v>
      </c>
      <c r="D468">
        <v>55</v>
      </c>
      <c r="E468" t="s">
        <v>628</v>
      </c>
      <c r="F468">
        <v>715</v>
      </c>
      <c r="G468" s="4">
        <v>4095</v>
      </c>
      <c r="H468" s="4">
        <v>2927925</v>
      </c>
      <c r="I468" t="s">
        <v>653</v>
      </c>
      <c r="J468" t="s">
        <v>668</v>
      </c>
      <c r="K468" t="s">
        <v>638</v>
      </c>
      <c r="L468" t="s">
        <v>681</v>
      </c>
      <c r="M468" t="s">
        <v>687</v>
      </c>
      <c r="N468" t="s">
        <v>690</v>
      </c>
      <c r="O468" t="s">
        <v>693</v>
      </c>
      <c r="P468" s="4">
        <v>2927925</v>
      </c>
      <c r="Q468">
        <v>0</v>
      </c>
      <c r="R468" s="7">
        <v>3.38</v>
      </c>
      <c r="S468" s="8">
        <f>Table13[[#This Row],[Discount_%]]/100</f>
        <v>3.3799999999999997E-2</v>
      </c>
      <c r="T468" s="6" t="s">
        <v>758</v>
      </c>
      <c r="U468" t="s">
        <v>981</v>
      </c>
      <c r="V468">
        <v>2024</v>
      </c>
      <c r="W468" t="s">
        <v>994</v>
      </c>
      <c r="X468" t="s">
        <v>999</v>
      </c>
      <c r="Y468" t="s">
        <v>1001</v>
      </c>
      <c r="Z468">
        <v>3</v>
      </c>
      <c r="AA468">
        <v>10</v>
      </c>
      <c r="AB468" s="4">
        <f>Table13[[#This Row],[Total_Price]]*(1-Table13[[#This Row],[Discount 2]])</f>
        <v>2828961.1349999998</v>
      </c>
      <c r="AC468" s="4" t="str" cm="1">
        <f t="array" ref="AC468">_xlfn.IFS(Table13[[#This Row],[Revenue]]&gt;=30000000,"High Value",Table13[[#This Row],[Revenue]]&gt;=10000000,"Moderate Value",TRUE,"Low Value")</f>
        <v>Low Value</v>
      </c>
      <c r="AD468" t="str">
        <f>IF(Table13[[#This Row],[Discount 2]]&gt;=5%, "YES", "NO")</f>
        <v>NO</v>
      </c>
      <c r="AE468" t="str" cm="1">
        <f t="array" ref="AE468">_xlfn.IFS(Table13[[#This Row],[Revenue]]&gt;=30000000,"High Spender",Table13[[#This Row],[Revenue]]&gt;=10000000,"Moderate Spender",TRUE,"Low Spender")</f>
        <v>Low Spender</v>
      </c>
      <c r="AF468" s="4" t="str" cm="1">
        <f t="array" ref="AF468">_xlfn.IFS(Table13[[#This Row],[Land_Size_SQM]]&gt;=730,"LARGE",Table13[[#This Row],[Land_Size_SQM]]&gt;=465,"MEDIUM",TRUE,"SMALL")</f>
        <v>MEDIUM</v>
      </c>
    </row>
    <row r="469" spans="1:32" x14ac:dyDescent="0.3">
      <c r="A469" t="s">
        <v>210</v>
      </c>
      <c r="B469" t="s">
        <v>574</v>
      </c>
      <c r="C469" t="s">
        <v>627</v>
      </c>
      <c r="D469">
        <v>49</v>
      </c>
      <c r="E469" t="s">
        <v>628</v>
      </c>
      <c r="F469">
        <v>229</v>
      </c>
      <c r="G469" s="4">
        <v>13386</v>
      </c>
      <c r="H469" s="4">
        <v>3065394</v>
      </c>
      <c r="I469" t="s">
        <v>656</v>
      </c>
      <c r="J469" t="s">
        <v>669</v>
      </c>
      <c r="K469" t="s">
        <v>674</v>
      </c>
      <c r="L469" t="s">
        <v>681</v>
      </c>
      <c r="M469" t="s">
        <v>683</v>
      </c>
      <c r="N469" t="s">
        <v>690</v>
      </c>
      <c r="O469" t="s">
        <v>693</v>
      </c>
      <c r="P469" s="4">
        <v>3065394</v>
      </c>
      <c r="Q469">
        <v>0</v>
      </c>
      <c r="R469" s="7">
        <v>8.75</v>
      </c>
      <c r="S469" s="8">
        <f>Table13[[#This Row],[Discount_%]]/100</f>
        <v>8.7499999999999994E-2</v>
      </c>
      <c r="T469" s="6" t="s">
        <v>819</v>
      </c>
      <c r="U469" t="s">
        <v>990</v>
      </c>
      <c r="V469">
        <v>2024</v>
      </c>
      <c r="W469" t="s">
        <v>994</v>
      </c>
      <c r="X469" t="s">
        <v>998</v>
      </c>
      <c r="Y469" t="s">
        <v>1001</v>
      </c>
      <c r="Z469">
        <v>4</v>
      </c>
      <c r="AA469">
        <v>41</v>
      </c>
      <c r="AB469" s="4">
        <f>Table13[[#This Row],[Total_Price]]*(1-Table13[[#This Row],[Discount 2]])</f>
        <v>2797172.0249999999</v>
      </c>
      <c r="AC469" s="4" t="str" cm="1">
        <f t="array" ref="AC469">_xlfn.IFS(Table13[[#This Row],[Revenue]]&gt;=30000000,"High Value",Table13[[#This Row],[Revenue]]&gt;=10000000,"Moderate Value",TRUE,"Low Value")</f>
        <v>Low Value</v>
      </c>
      <c r="AD469" t="str">
        <f>IF(Table13[[#This Row],[Discount 2]]&gt;=5%, "YES", "NO")</f>
        <v>YES</v>
      </c>
      <c r="AE469" t="str" cm="1">
        <f t="array" ref="AE469">_xlfn.IFS(Table13[[#This Row],[Revenue]]&gt;=30000000,"High Spender",Table13[[#This Row],[Revenue]]&gt;=10000000,"Moderate Spender",TRUE,"Low Spender")</f>
        <v>Low Spender</v>
      </c>
      <c r="AF469" s="4" t="str" cm="1">
        <f t="array" ref="AF469">_xlfn.IFS(Table13[[#This Row],[Land_Size_SQM]]&gt;=730,"LARGE",Table13[[#This Row],[Land_Size_SQM]]&gt;=465,"MEDIUM",TRUE,"SMALL")</f>
        <v>SMALL</v>
      </c>
    </row>
    <row r="470" spans="1:32" x14ac:dyDescent="0.3">
      <c r="A470" t="s">
        <v>284</v>
      </c>
      <c r="B470" t="s">
        <v>536</v>
      </c>
      <c r="C470" t="s">
        <v>627</v>
      </c>
      <c r="D470">
        <v>43</v>
      </c>
      <c r="E470" t="s">
        <v>628</v>
      </c>
      <c r="F470">
        <v>215</v>
      </c>
      <c r="G470" s="4">
        <v>12968</v>
      </c>
      <c r="H470" s="4">
        <v>2788120</v>
      </c>
      <c r="I470" t="s">
        <v>633</v>
      </c>
      <c r="J470" t="s">
        <v>668</v>
      </c>
      <c r="K470" t="s">
        <v>651</v>
      </c>
      <c r="L470" t="s">
        <v>680</v>
      </c>
      <c r="M470" t="s">
        <v>683</v>
      </c>
      <c r="N470" t="s">
        <v>691</v>
      </c>
      <c r="O470" t="s">
        <v>694</v>
      </c>
      <c r="P470" s="4">
        <v>888692</v>
      </c>
      <c r="Q470">
        <v>3</v>
      </c>
      <c r="R470" s="7">
        <v>2.4300000000000002</v>
      </c>
      <c r="S470" s="8">
        <f>Table13[[#This Row],[Discount_%]]/100</f>
        <v>2.4300000000000002E-2</v>
      </c>
      <c r="T470" s="6" t="s">
        <v>884</v>
      </c>
      <c r="U470" t="s">
        <v>988</v>
      </c>
      <c r="V470">
        <v>2024</v>
      </c>
      <c r="W470" t="s">
        <v>993</v>
      </c>
      <c r="X470" t="s">
        <v>997</v>
      </c>
      <c r="Y470" t="s">
        <v>1001</v>
      </c>
      <c r="Z470">
        <v>3</v>
      </c>
      <c r="AA470">
        <v>49</v>
      </c>
      <c r="AB470" s="4">
        <f>Table13[[#This Row],[Total_Price]]*(1-Table13[[#This Row],[Discount 2]])</f>
        <v>2720368.6839999999</v>
      </c>
      <c r="AC470" s="4" t="str" cm="1">
        <f t="array" ref="AC470">_xlfn.IFS(Table13[[#This Row],[Revenue]]&gt;=30000000,"High Value",Table13[[#This Row],[Revenue]]&gt;=10000000,"Moderate Value",TRUE,"Low Value")</f>
        <v>Low Value</v>
      </c>
      <c r="AD470" t="str">
        <f>IF(Table13[[#This Row],[Discount 2]]&gt;=5%, "YES", "NO")</f>
        <v>NO</v>
      </c>
      <c r="AE470" t="str" cm="1">
        <f t="array" ref="AE470">_xlfn.IFS(Table13[[#This Row],[Revenue]]&gt;=30000000,"High Spender",Table13[[#This Row],[Revenue]]&gt;=10000000,"Moderate Spender",TRUE,"Low Spender")</f>
        <v>Low Spender</v>
      </c>
      <c r="AF470" s="4" t="str" cm="1">
        <f t="array" ref="AF470">_xlfn.IFS(Table13[[#This Row],[Land_Size_SQM]]&gt;=730,"LARGE",Table13[[#This Row],[Land_Size_SQM]]&gt;=465,"MEDIUM",TRUE,"SMALL")</f>
        <v>SMALL</v>
      </c>
    </row>
    <row r="471" spans="1:32" x14ac:dyDescent="0.3">
      <c r="A471" t="s">
        <v>57</v>
      </c>
      <c r="B471" t="s">
        <v>550</v>
      </c>
      <c r="C471" t="s">
        <v>627</v>
      </c>
      <c r="D471">
        <v>64</v>
      </c>
      <c r="E471" t="s">
        <v>630</v>
      </c>
      <c r="F471">
        <v>792</v>
      </c>
      <c r="G471" s="4">
        <v>3682</v>
      </c>
      <c r="H471" s="4">
        <v>2916144</v>
      </c>
      <c r="I471" t="s">
        <v>651</v>
      </c>
      <c r="J471" t="s">
        <v>669</v>
      </c>
      <c r="K471" t="s">
        <v>676</v>
      </c>
      <c r="L471" t="s">
        <v>682</v>
      </c>
      <c r="M471" t="s">
        <v>686</v>
      </c>
      <c r="N471" t="s">
        <v>689</v>
      </c>
      <c r="O471" t="s">
        <v>694</v>
      </c>
      <c r="P471" s="4">
        <v>930239</v>
      </c>
      <c r="Q471">
        <v>24</v>
      </c>
      <c r="R471" s="7">
        <v>7.15</v>
      </c>
      <c r="S471" s="8">
        <f>Table13[[#This Row],[Discount_%]]/100</f>
        <v>7.1500000000000008E-2</v>
      </c>
      <c r="T471" s="6" t="s">
        <v>724</v>
      </c>
      <c r="U471" t="s">
        <v>981</v>
      </c>
      <c r="V471">
        <v>2024</v>
      </c>
      <c r="W471" t="s">
        <v>993</v>
      </c>
      <c r="X471" t="s">
        <v>998</v>
      </c>
      <c r="Y471" t="s">
        <v>1001</v>
      </c>
      <c r="Z471">
        <v>4</v>
      </c>
      <c r="AA471">
        <v>43</v>
      </c>
      <c r="AB471" s="4">
        <f>Table13[[#This Row],[Total_Price]]*(1-Table13[[#This Row],[Discount 2]])</f>
        <v>2707639.7039999999</v>
      </c>
      <c r="AC471" s="4" t="str" cm="1">
        <f t="array" ref="AC471">_xlfn.IFS(Table13[[#This Row],[Revenue]]&gt;=30000000,"High Value",Table13[[#This Row],[Revenue]]&gt;=10000000,"Moderate Value",TRUE,"Low Value")</f>
        <v>Low Value</v>
      </c>
      <c r="AD471" t="str">
        <f>IF(Table13[[#This Row],[Discount 2]]&gt;=5%, "YES", "NO")</f>
        <v>YES</v>
      </c>
      <c r="AE471" t="str" cm="1">
        <f t="array" ref="AE471">_xlfn.IFS(Table13[[#This Row],[Revenue]]&gt;=30000000,"High Spender",Table13[[#This Row],[Revenue]]&gt;=10000000,"Moderate Spender",TRUE,"Low Spender")</f>
        <v>Low Spender</v>
      </c>
      <c r="AF471" s="4" t="str" cm="1">
        <f t="array" ref="AF471">_xlfn.IFS(Table13[[#This Row],[Land_Size_SQM]]&gt;=730,"LARGE",Table13[[#This Row],[Land_Size_SQM]]&gt;=465,"MEDIUM",TRUE,"SMALL")</f>
        <v>LARGE</v>
      </c>
    </row>
    <row r="472" spans="1:32" x14ac:dyDescent="0.3">
      <c r="A472" t="s">
        <v>222</v>
      </c>
      <c r="B472" t="s">
        <v>545</v>
      </c>
      <c r="C472" t="s">
        <v>627</v>
      </c>
      <c r="D472">
        <v>55</v>
      </c>
      <c r="E472" t="s">
        <v>630</v>
      </c>
      <c r="F472">
        <v>869</v>
      </c>
      <c r="G472" s="4">
        <v>3293</v>
      </c>
      <c r="H472" s="4">
        <v>2861617</v>
      </c>
      <c r="I472" t="s">
        <v>662</v>
      </c>
      <c r="J472" t="s">
        <v>673</v>
      </c>
      <c r="K472" t="s">
        <v>676</v>
      </c>
      <c r="L472" t="s">
        <v>681</v>
      </c>
      <c r="M472" t="s">
        <v>683</v>
      </c>
      <c r="N472" t="s">
        <v>688</v>
      </c>
      <c r="O472" t="s">
        <v>693</v>
      </c>
      <c r="P472" s="4">
        <v>2861617</v>
      </c>
      <c r="Q472">
        <v>0</v>
      </c>
      <c r="R472" s="7">
        <v>6.9</v>
      </c>
      <c r="S472" s="8">
        <f>Table13[[#This Row],[Discount_%]]/100</f>
        <v>6.9000000000000006E-2</v>
      </c>
      <c r="T472" s="6" t="s">
        <v>844</v>
      </c>
      <c r="U472" t="s">
        <v>989</v>
      </c>
      <c r="V472">
        <v>2024</v>
      </c>
      <c r="W472" t="s">
        <v>993</v>
      </c>
      <c r="X472" t="s">
        <v>998</v>
      </c>
      <c r="Y472" t="s">
        <v>1002</v>
      </c>
      <c r="Z472">
        <v>1</v>
      </c>
      <c r="AA472">
        <v>43</v>
      </c>
      <c r="AB472" s="4">
        <f>Table13[[#This Row],[Total_Price]]*(1-Table13[[#This Row],[Discount 2]])</f>
        <v>2664165.4270000001</v>
      </c>
      <c r="AC472" s="4" t="str" cm="1">
        <f t="array" ref="AC472">_xlfn.IFS(Table13[[#This Row],[Revenue]]&gt;=30000000,"High Value",Table13[[#This Row],[Revenue]]&gt;=10000000,"Moderate Value",TRUE,"Low Value")</f>
        <v>Low Value</v>
      </c>
      <c r="AD472" t="str">
        <f>IF(Table13[[#This Row],[Discount 2]]&gt;=5%, "YES", "NO")</f>
        <v>YES</v>
      </c>
      <c r="AE472" t="str" cm="1">
        <f t="array" ref="AE472">_xlfn.IFS(Table13[[#This Row],[Revenue]]&gt;=30000000,"High Spender",Table13[[#This Row],[Revenue]]&gt;=10000000,"Moderate Spender",TRUE,"Low Spender")</f>
        <v>Low Spender</v>
      </c>
      <c r="AF472" s="4" t="str" cm="1">
        <f t="array" ref="AF472">_xlfn.IFS(Table13[[#This Row],[Land_Size_SQM]]&gt;=730,"LARGE",Table13[[#This Row],[Land_Size_SQM]]&gt;=465,"MEDIUM",TRUE,"SMALL")</f>
        <v>LARGE</v>
      </c>
    </row>
    <row r="473" spans="1:32" x14ac:dyDescent="0.3">
      <c r="A473" t="s">
        <v>524</v>
      </c>
      <c r="B473" t="s">
        <v>602</v>
      </c>
      <c r="C473" t="s">
        <v>626</v>
      </c>
      <c r="D473">
        <v>51</v>
      </c>
      <c r="E473" t="s">
        <v>629</v>
      </c>
      <c r="F473">
        <v>232</v>
      </c>
      <c r="G473" s="4">
        <v>12506</v>
      </c>
      <c r="H473" s="4">
        <v>2901392</v>
      </c>
      <c r="I473" t="s">
        <v>634</v>
      </c>
      <c r="J473" t="s">
        <v>670</v>
      </c>
      <c r="K473" t="s">
        <v>651</v>
      </c>
      <c r="L473" t="s">
        <v>681</v>
      </c>
      <c r="M473" t="s">
        <v>683</v>
      </c>
      <c r="N473" t="s">
        <v>690</v>
      </c>
      <c r="O473" t="s">
        <v>693</v>
      </c>
      <c r="P473" s="4">
        <v>2901392</v>
      </c>
      <c r="Q473">
        <v>0</v>
      </c>
      <c r="R473" s="7">
        <v>9.48</v>
      </c>
      <c r="S473" s="8">
        <f>Table13[[#This Row],[Discount_%]]/100</f>
        <v>9.4800000000000009E-2</v>
      </c>
      <c r="T473" s="6" t="s">
        <v>972</v>
      </c>
      <c r="U473" t="s">
        <v>984</v>
      </c>
      <c r="V473">
        <v>2024</v>
      </c>
      <c r="W473" t="s">
        <v>995</v>
      </c>
      <c r="X473" t="s">
        <v>997</v>
      </c>
      <c r="Y473" t="s">
        <v>1001</v>
      </c>
      <c r="Z473">
        <v>4</v>
      </c>
      <c r="AA473">
        <v>9</v>
      </c>
      <c r="AB473" s="4">
        <f>Table13[[#This Row],[Total_Price]]*(1-Table13[[#This Row],[Discount 2]])</f>
        <v>2626340.0384</v>
      </c>
      <c r="AC473" s="4" t="str" cm="1">
        <f t="array" ref="AC473">_xlfn.IFS(Table13[[#This Row],[Revenue]]&gt;=30000000,"High Value",Table13[[#This Row],[Revenue]]&gt;=10000000,"Moderate Value",TRUE,"Low Value")</f>
        <v>Low Value</v>
      </c>
      <c r="AD473" t="str">
        <f>IF(Table13[[#This Row],[Discount 2]]&gt;=5%, "YES", "NO")</f>
        <v>YES</v>
      </c>
      <c r="AE473" t="str" cm="1">
        <f t="array" ref="AE473">_xlfn.IFS(Table13[[#This Row],[Revenue]]&gt;=30000000,"High Spender",Table13[[#This Row],[Revenue]]&gt;=10000000,"Moderate Spender",TRUE,"Low Spender")</f>
        <v>Low Spender</v>
      </c>
      <c r="AF473" s="4" t="str" cm="1">
        <f t="array" ref="AF473">_xlfn.IFS(Table13[[#This Row],[Land_Size_SQM]]&gt;=730,"LARGE",Table13[[#This Row],[Land_Size_SQM]]&gt;=465,"MEDIUM",TRUE,"SMALL")</f>
        <v>SMALL</v>
      </c>
    </row>
    <row r="474" spans="1:32" x14ac:dyDescent="0.3">
      <c r="A474" t="s">
        <v>350</v>
      </c>
      <c r="B474" t="s">
        <v>596</v>
      </c>
      <c r="C474" t="s">
        <v>627</v>
      </c>
      <c r="D474">
        <v>57</v>
      </c>
      <c r="E474" t="s">
        <v>628</v>
      </c>
      <c r="F474">
        <v>214</v>
      </c>
      <c r="G474" s="4">
        <v>13288</v>
      </c>
      <c r="H474" s="4">
        <v>2843632</v>
      </c>
      <c r="I474" t="s">
        <v>641</v>
      </c>
      <c r="J474" t="s">
        <v>673</v>
      </c>
      <c r="K474" t="s">
        <v>638</v>
      </c>
      <c r="L474" t="s">
        <v>680</v>
      </c>
      <c r="M474" t="s">
        <v>685</v>
      </c>
      <c r="N474" t="s">
        <v>691</v>
      </c>
      <c r="O474" t="s">
        <v>693</v>
      </c>
      <c r="P474" s="4">
        <v>2843632</v>
      </c>
      <c r="Q474">
        <v>0</v>
      </c>
      <c r="R474" s="7">
        <v>9.0500000000000007</v>
      </c>
      <c r="S474" s="8">
        <f>Table13[[#This Row],[Discount_%]]/100</f>
        <v>9.0500000000000011E-2</v>
      </c>
      <c r="T474" s="6" t="s">
        <v>928</v>
      </c>
      <c r="U474" t="s">
        <v>981</v>
      </c>
      <c r="V474">
        <v>2024</v>
      </c>
      <c r="W474" t="s">
        <v>996</v>
      </c>
      <c r="X474" t="s">
        <v>999</v>
      </c>
      <c r="Y474" t="s">
        <v>1000</v>
      </c>
      <c r="Z474">
        <v>4</v>
      </c>
      <c r="AA474">
        <v>22</v>
      </c>
      <c r="AB474" s="4">
        <f>Table13[[#This Row],[Total_Price]]*(1-Table13[[#This Row],[Discount 2]])</f>
        <v>2586283.304</v>
      </c>
      <c r="AC474" s="4" t="str" cm="1">
        <f t="array" ref="AC474">_xlfn.IFS(Table13[[#This Row],[Revenue]]&gt;=30000000,"High Value",Table13[[#This Row],[Revenue]]&gt;=10000000,"Moderate Value",TRUE,"Low Value")</f>
        <v>Low Value</v>
      </c>
      <c r="AD474" t="str">
        <f>IF(Table13[[#This Row],[Discount 2]]&gt;=5%, "YES", "NO")</f>
        <v>YES</v>
      </c>
      <c r="AE474" t="str" cm="1">
        <f t="array" ref="AE474">_xlfn.IFS(Table13[[#This Row],[Revenue]]&gt;=30000000,"High Spender",Table13[[#This Row],[Revenue]]&gt;=10000000,"Moderate Spender",TRUE,"Low Spender")</f>
        <v>Low Spender</v>
      </c>
      <c r="AF474" s="4" t="str" cm="1">
        <f t="array" ref="AF474">_xlfn.IFS(Table13[[#This Row],[Land_Size_SQM]]&gt;=730,"LARGE",Table13[[#This Row],[Land_Size_SQM]]&gt;=465,"MEDIUM",TRUE,"SMALL")</f>
        <v>SMALL</v>
      </c>
    </row>
    <row r="475" spans="1:32" x14ac:dyDescent="0.3">
      <c r="A475" t="s">
        <v>482</v>
      </c>
      <c r="B475" t="s">
        <v>566</v>
      </c>
      <c r="C475" t="s">
        <v>626</v>
      </c>
      <c r="D475">
        <v>26</v>
      </c>
      <c r="E475" t="s">
        <v>629</v>
      </c>
      <c r="F475">
        <v>577</v>
      </c>
      <c r="G475" s="4">
        <v>4879</v>
      </c>
      <c r="H475" s="4">
        <v>2815183</v>
      </c>
      <c r="I475" t="s">
        <v>636</v>
      </c>
      <c r="J475" t="s">
        <v>671</v>
      </c>
      <c r="K475" t="s">
        <v>674</v>
      </c>
      <c r="L475" t="s">
        <v>682</v>
      </c>
      <c r="M475" t="s">
        <v>686</v>
      </c>
      <c r="N475" t="s">
        <v>688</v>
      </c>
      <c r="O475" t="s">
        <v>693</v>
      </c>
      <c r="P475" s="4">
        <v>2815183</v>
      </c>
      <c r="Q475">
        <v>0</v>
      </c>
      <c r="R475" s="7">
        <v>8.85</v>
      </c>
      <c r="S475" s="8">
        <f>Table13[[#This Row],[Discount_%]]/100</f>
        <v>8.8499999999999995E-2</v>
      </c>
      <c r="T475" s="6" t="s">
        <v>867</v>
      </c>
      <c r="U475" t="s">
        <v>991</v>
      </c>
      <c r="V475">
        <v>2024</v>
      </c>
      <c r="W475" t="s">
        <v>994</v>
      </c>
      <c r="X475" t="s">
        <v>999</v>
      </c>
      <c r="Y475" t="s">
        <v>1001</v>
      </c>
      <c r="Z475">
        <v>3</v>
      </c>
      <c r="AA475">
        <v>41</v>
      </c>
      <c r="AB475" s="4">
        <f>Table13[[#This Row],[Total_Price]]*(1-Table13[[#This Row],[Discount 2]])</f>
        <v>2566039.3045000001</v>
      </c>
      <c r="AC475" s="4" t="str" cm="1">
        <f t="array" ref="AC475">_xlfn.IFS(Table13[[#This Row],[Revenue]]&gt;=30000000,"High Value",Table13[[#This Row],[Revenue]]&gt;=10000000,"Moderate Value",TRUE,"Low Value")</f>
        <v>Low Value</v>
      </c>
      <c r="AD475" t="str">
        <f>IF(Table13[[#This Row],[Discount 2]]&gt;=5%, "YES", "NO")</f>
        <v>YES</v>
      </c>
      <c r="AE475" t="str" cm="1">
        <f t="array" ref="AE475">_xlfn.IFS(Table13[[#This Row],[Revenue]]&gt;=30000000,"High Spender",Table13[[#This Row],[Revenue]]&gt;=10000000,"Moderate Spender",TRUE,"Low Spender")</f>
        <v>Low Spender</v>
      </c>
      <c r="AF475" s="4" t="str" cm="1">
        <f t="array" ref="AF475">_xlfn.IFS(Table13[[#This Row],[Land_Size_SQM]]&gt;=730,"LARGE",Table13[[#This Row],[Land_Size_SQM]]&gt;=465,"MEDIUM",TRUE,"SMALL")</f>
        <v>MEDIUM</v>
      </c>
    </row>
    <row r="476" spans="1:32" x14ac:dyDescent="0.3">
      <c r="A476" t="s">
        <v>86</v>
      </c>
      <c r="B476" t="s">
        <v>568</v>
      </c>
      <c r="C476" t="s">
        <v>627</v>
      </c>
      <c r="D476">
        <v>48</v>
      </c>
      <c r="E476" t="s">
        <v>629</v>
      </c>
      <c r="F476">
        <v>253</v>
      </c>
      <c r="G476" s="4">
        <v>10307</v>
      </c>
      <c r="H476" s="4">
        <v>2607671</v>
      </c>
      <c r="I476" t="s">
        <v>641</v>
      </c>
      <c r="J476" t="s">
        <v>673</v>
      </c>
      <c r="K476" t="s">
        <v>677</v>
      </c>
      <c r="L476" t="s">
        <v>680</v>
      </c>
      <c r="M476" t="s">
        <v>686</v>
      </c>
      <c r="N476" t="s">
        <v>689</v>
      </c>
      <c r="O476" t="s">
        <v>694</v>
      </c>
      <c r="P476" s="4">
        <v>1104869</v>
      </c>
      <c r="Q476">
        <v>3</v>
      </c>
      <c r="R476" s="7">
        <v>4.76</v>
      </c>
      <c r="S476" s="8">
        <f>Table13[[#This Row],[Discount_%]]/100</f>
        <v>4.7599999999999996E-2</v>
      </c>
      <c r="T476" s="6" t="s">
        <v>749</v>
      </c>
      <c r="U476" t="s">
        <v>991</v>
      </c>
      <c r="V476">
        <v>2024</v>
      </c>
      <c r="W476" t="s">
        <v>994</v>
      </c>
      <c r="X476" t="s">
        <v>998</v>
      </c>
      <c r="Y476" t="s">
        <v>1001</v>
      </c>
      <c r="Z476">
        <v>1</v>
      </c>
      <c r="AA476">
        <v>4</v>
      </c>
      <c r="AB476" s="4">
        <f>Table13[[#This Row],[Total_Price]]*(1-Table13[[#This Row],[Discount 2]])</f>
        <v>2483545.8604000001</v>
      </c>
      <c r="AC476" s="4" t="str" cm="1">
        <f t="array" ref="AC476">_xlfn.IFS(Table13[[#This Row],[Revenue]]&gt;=30000000,"High Value",Table13[[#This Row],[Revenue]]&gt;=10000000,"Moderate Value",TRUE,"Low Value")</f>
        <v>Low Value</v>
      </c>
      <c r="AD476" t="str">
        <f>IF(Table13[[#This Row],[Discount 2]]&gt;=5%, "YES", "NO")</f>
        <v>NO</v>
      </c>
      <c r="AE476" t="str" cm="1">
        <f t="array" ref="AE476">_xlfn.IFS(Table13[[#This Row],[Revenue]]&gt;=30000000,"High Spender",Table13[[#This Row],[Revenue]]&gt;=10000000,"Moderate Spender",TRUE,"Low Spender")</f>
        <v>Low Spender</v>
      </c>
      <c r="AF476" s="4" t="str" cm="1">
        <f t="array" ref="AF476">_xlfn.IFS(Table13[[#This Row],[Land_Size_SQM]]&gt;=730,"LARGE",Table13[[#This Row],[Land_Size_SQM]]&gt;=465,"MEDIUM",TRUE,"SMALL")</f>
        <v>SMALL</v>
      </c>
    </row>
    <row r="477" spans="1:32" x14ac:dyDescent="0.3">
      <c r="A477" t="s">
        <v>441</v>
      </c>
      <c r="B477" t="s">
        <v>618</v>
      </c>
      <c r="C477" t="s">
        <v>626</v>
      </c>
      <c r="D477">
        <v>25</v>
      </c>
      <c r="E477" t="s">
        <v>628</v>
      </c>
      <c r="F477">
        <v>703</v>
      </c>
      <c r="G477" s="4">
        <v>3524</v>
      </c>
      <c r="H477" s="4">
        <v>2477372</v>
      </c>
      <c r="I477" t="s">
        <v>647</v>
      </c>
      <c r="J477" t="s">
        <v>670</v>
      </c>
      <c r="K477" t="s">
        <v>664</v>
      </c>
      <c r="L477" t="s">
        <v>680</v>
      </c>
      <c r="M477" t="s">
        <v>686</v>
      </c>
      <c r="N477" t="s">
        <v>688</v>
      </c>
      <c r="O477" t="s">
        <v>694</v>
      </c>
      <c r="P477" s="4">
        <v>629630</v>
      </c>
      <c r="Q477">
        <v>24</v>
      </c>
      <c r="R477" s="7">
        <v>0.24</v>
      </c>
      <c r="S477" s="8">
        <f>Table13[[#This Row],[Discount_%]]/100</f>
        <v>2.3999999999999998E-3</v>
      </c>
      <c r="T477" s="6" t="s">
        <v>790</v>
      </c>
      <c r="U477" t="s">
        <v>986</v>
      </c>
      <c r="V477">
        <v>2024</v>
      </c>
      <c r="W477" t="s">
        <v>994</v>
      </c>
      <c r="X477" t="s">
        <v>999</v>
      </c>
      <c r="Y477" t="s">
        <v>1000</v>
      </c>
      <c r="Z477">
        <v>3</v>
      </c>
      <c r="AA477">
        <v>50</v>
      </c>
      <c r="AB477" s="4">
        <f>Table13[[#This Row],[Total_Price]]*(1-Table13[[#This Row],[Discount 2]])</f>
        <v>2471426.3072000002</v>
      </c>
      <c r="AC477" s="4" t="str" cm="1">
        <f t="array" ref="AC477">_xlfn.IFS(Table13[[#This Row],[Revenue]]&gt;=30000000,"High Value",Table13[[#This Row],[Revenue]]&gt;=10000000,"Moderate Value",TRUE,"Low Value")</f>
        <v>Low Value</v>
      </c>
      <c r="AD477" t="str">
        <f>IF(Table13[[#This Row],[Discount 2]]&gt;=5%, "YES", "NO")</f>
        <v>NO</v>
      </c>
      <c r="AE477" t="str" cm="1">
        <f t="array" ref="AE477">_xlfn.IFS(Table13[[#This Row],[Revenue]]&gt;=30000000,"High Spender",Table13[[#This Row],[Revenue]]&gt;=10000000,"Moderate Spender",TRUE,"Low Spender")</f>
        <v>Low Spender</v>
      </c>
      <c r="AF477" s="4" t="str" cm="1">
        <f t="array" ref="AF477">_xlfn.IFS(Table13[[#This Row],[Land_Size_SQM]]&gt;=730,"LARGE",Table13[[#This Row],[Land_Size_SQM]]&gt;=465,"MEDIUM",TRUE,"SMALL")</f>
        <v>MEDIUM</v>
      </c>
    </row>
    <row r="478" spans="1:32" x14ac:dyDescent="0.3">
      <c r="A478" t="s">
        <v>322</v>
      </c>
      <c r="B478" t="s">
        <v>532</v>
      </c>
      <c r="C478" t="s">
        <v>627</v>
      </c>
      <c r="D478">
        <v>26</v>
      </c>
      <c r="E478" t="s">
        <v>629</v>
      </c>
      <c r="F478">
        <v>718</v>
      </c>
      <c r="G478" s="4">
        <v>3634</v>
      </c>
      <c r="H478" s="4">
        <v>2609212</v>
      </c>
      <c r="I478" t="s">
        <v>649</v>
      </c>
      <c r="J478" t="s">
        <v>669</v>
      </c>
      <c r="K478" t="s">
        <v>678</v>
      </c>
      <c r="L478" t="s">
        <v>682</v>
      </c>
      <c r="M478" t="s">
        <v>683</v>
      </c>
      <c r="N478" t="s">
        <v>688</v>
      </c>
      <c r="O478" t="s">
        <v>694</v>
      </c>
      <c r="P478" s="4">
        <v>670733</v>
      </c>
      <c r="Q478">
        <v>6</v>
      </c>
      <c r="R478" s="7">
        <v>9.24</v>
      </c>
      <c r="S478" s="8">
        <f>Table13[[#This Row],[Discount_%]]/100</f>
        <v>9.2399999999999996E-2</v>
      </c>
      <c r="T478" s="6" t="s">
        <v>912</v>
      </c>
      <c r="U478" t="s">
        <v>986</v>
      </c>
      <c r="V478">
        <v>2024</v>
      </c>
      <c r="W478" t="s">
        <v>993</v>
      </c>
      <c r="X478" t="s">
        <v>998</v>
      </c>
      <c r="Y478" t="s">
        <v>1002</v>
      </c>
      <c r="Z478">
        <v>5</v>
      </c>
      <c r="AA478">
        <v>8</v>
      </c>
      <c r="AB478" s="4">
        <f>Table13[[#This Row],[Total_Price]]*(1-Table13[[#This Row],[Discount 2]])</f>
        <v>2368120.8111999999</v>
      </c>
      <c r="AC478" s="4" t="str" cm="1">
        <f t="array" ref="AC478">_xlfn.IFS(Table13[[#This Row],[Revenue]]&gt;=30000000,"High Value",Table13[[#This Row],[Revenue]]&gt;=10000000,"Moderate Value",TRUE,"Low Value")</f>
        <v>Low Value</v>
      </c>
      <c r="AD478" t="str">
        <f>IF(Table13[[#This Row],[Discount 2]]&gt;=5%, "YES", "NO")</f>
        <v>YES</v>
      </c>
      <c r="AE478" t="str" cm="1">
        <f t="array" ref="AE478">_xlfn.IFS(Table13[[#This Row],[Revenue]]&gt;=30000000,"High Spender",Table13[[#This Row],[Revenue]]&gt;=10000000,"Moderate Spender",TRUE,"Low Spender")</f>
        <v>Low Spender</v>
      </c>
      <c r="AF478" s="4" t="str" cm="1">
        <f t="array" ref="AF478">_xlfn.IFS(Table13[[#This Row],[Land_Size_SQM]]&gt;=730,"LARGE",Table13[[#This Row],[Land_Size_SQM]]&gt;=465,"MEDIUM",TRUE,"SMALL")</f>
        <v>MEDIUM</v>
      </c>
    </row>
    <row r="479" spans="1:32" x14ac:dyDescent="0.3">
      <c r="A479" t="s">
        <v>480</v>
      </c>
      <c r="B479" t="s">
        <v>565</v>
      </c>
      <c r="C479" t="s">
        <v>627</v>
      </c>
      <c r="D479">
        <v>62</v>
      </c>
      <c r="E479" t="s">
        <v>628</v>
      </c>
      <c r="F479">
        <v>631</v>
      </c>
      <c r="G479" s="4">
        <v>3831</v>
      </c>
      <c r="H479" s="4">
        <v>2417361</v>
      </c>
      <c r="I479" t="s">
        <v>649</v>
      </c>
      <c r="J479" t="s">
        <v>669</v>
      </c>
      <c r="K479" t="s">
        <v>664</v>
      </c>
      <c r="L479" t="s">
        <v>682</v>
      </c>
      <c r="M479" t="s">
        <v>683</v>
      </c>
      <c r="N479" t="s">
        <v>689</v>
      </c>
      <c r="O479" t="s">
        <v>693</v>
      </c>
      <c r="P479" s="4">
        <v>2417361</v>
      </c>
      <c r="Q479">
        <v>0</v>
      </c>
      <c r="R479" s="7">
        <v>3.37</v>
      </c>
      <c r="S479" s="8">
        <f>Table13[[#This Row],[Discount_%]]/100</f>
        <v>3.3700000000000001E-2</v>
      </c>
      <c r="T479" s="6" t="s">
        <v>859</v>
      </c>
      <c r="U479" t="s">
        <v>990</v>
      </c>
      <c r="V479">
        <v>2024</v>
      </c>
      <c r="W479" t="s">
        <v>995</v>
      </c>
      <c r="X479" t="s">
        <v>997</v>
      </c>
      <c r="Y479" t="s">
        <v>1000</v>
      </c>
      <c r="Z479">
        <v>3</v>
      </c>
      <c r="AA479">
        <v>21</v>
      </c>
      <c r="AB479" s="4">
        <f>Table13[[#This Row],[Total_Price]]*(1-Table13[[#This Row],[Discount 2]])</f>
        <v>2335895.9343000003</v>
      </c>
      <c r="AC479" s="4" t="str" cm="1">
        <f t="array" ref="AC479">_xlfn.IFS(Table13[[#This Row],[Revenue]]&gt;=30000000,"High Value",Table13[[#This Row],[Revenue]]&gt;=10000000,"Moderate Value",TRUE,"Low Value")</f>
        <v>Low Value</v>
      </c>
      <c r="AD479" t="str">
        <f>IF(Table13[[#This Row],[Discount 2]]&gt;=5%, "YES", "NO")</f>
        <v>NO</v>
      </c>
      <c r="AE479" t="str" cm="1">
        <f t="array" ref="AE479">_xlfn.IFS(Table13[[#This Row],[Revenue]]&gt;=30000000,"High Spender",Table13[[#This Row],[Revenue]]&gt;=10000000,"Moderate Spender",TRUE,"Low Spender")</f>
        <v>Low Spender</v>
      </c>
      <c r="AF479" s="4" t="str" cm="1">
        <f t="array" ref="AF479">_xlfn.IFS(Table13[[#This Row],[Land_Size_SQM]]&gt;=730,"LARGE",Table13[[#This Row],[Land_Size_SQM]]&gt;=465,"MEDIUM",TRUE,"SMALL")</f>
        <v>MEDIUM</v>
      </c>
    </row>
    <row r="480" spans="1:32" x14ac:dyDescent="0.3">
      <c r="A480" t="s">
        <v>300</v>
      </c>
      <c r="B480" t="s">
        <v>539</v>
      </c>
      <c r="C480" t="s">
        <v>626</v>
      </c>
      <c r="D480">
        <v>59</v>
      </c>
      <c r="E480" t="s">
        <v>629</v>
      </c>
      <c r="F480">
        <v>682</v>
      </c>
      <c r="G480" s="4">
        <v>3490</v>
      </c>
      <c r="H480" s="4">
        <v>2380180</v>
      </c>
      <c r="I480" t="s">
        <v>646</v>
      </c>
      <c r="J480" t="s">
        <v>673</v>
      </c>
      <c r="K480" t="s">
        <v>678</v>
      </c>
      <c r="L480" t="s">
        <v>680</v>
      </c>
      <c r="M480" t="s">
        <v>685</v>
      </c>
      <c r="N480" t="s">
        <v>691</v>
      </c>
      <c r="O480" t="s">
        <v>694</v>
      </c>
      <c r="P480" s="4">
        <v>1004445</v>
      </c>
      <c r="Q480">
        <v>6</v>
      </c>
      <c r="R480" s="7">
        <v>2.12</v>
      </c>
      <c r="S480" s="8">
        <f>Table13[[#This Row],[Discount_%]]/100</f>
        <v>2.12E-2</v>
      </c>
      <c r="T480" s="6" t="s">
        <v>897</v>
      </c>
      <c r="U480" t="s">
        <v>985</v>
      </c>
      <c r="V480">
        <v>2024</v>
      </c>
      <c r="W480" t="s">
        <v>993</v>
      </c>
      <c r="X480" t="s">
        <v>998</v>
      </c>
      <c r="Y480" t="s">
        <v>1000</v>
      </c>
      <c r="Z480">
        <v>1</v>
      </c>
      <c r="AA480">
        <v>19</v>
      </c>
      <c r="AB480" s="4">
        <f>Table13[[#This Row],[Total_Price]]*(1-Table13[[#This Row],[Discount 2]])</f>
        <v>2329720.1839999999</v>
      </c>
      <c r="AC480" s="4" t="str" cm="1">
        <f t="array" ref="AC480">_xlfn.IFS(Table13[[#This Row],[Revenue]]&gt;=30000000,"High Value",Table13[[#This Row],[Revenue]]&gt;=10000000,"Moderate Value",TRUE,"Low Value")</f>
        <v>Low Value</v>
      </c>
      <c r="AD480" t="str">
        <f>IF(Table13[[#This Row],[Discount 2]]&gt;=5%, "YES", "NO")</f>
        <v>NO</v>
      </c>
      <c r="AE480" t="str" cm="1">
        <f t="array" ref="AE480">_xlfn.IFS(Table13[[#This Row],[Revenue]]&gt;=30000000,"High Spender",Table13[[#This Row],[Revenue]]&gt;=10000000,"Moderate Spender",TRUE,"Low Spender")</f>
        <v>Low Spender</v>
      </c>
      <c r="AF480" s="4" t="str" cm="1">
        <f t="array" ref="AF480">_xlfn.IFS(Table13[[#This Row],[Land_Size_SQM]]&gt;=730,"LARGE",Table13[[#This Row],[Land_Size_SQM]]&gt;=465,"MEDIUM",TRUE,"SMALL")</f>
        <v>MEDIUM</v>
      </c>
    </row>
    <row r="481" spans="1:32" x14ac:dyDescent="0.3">
      <c r="A481" t="s">
        <v>499</v>
      </c>
      <c r="B481" t="s">
        <v>587</v>
      </c>
      <c r="C481" t="s">
        <v>626</v>
      </c>
      <c r="D481">
        <v>27</v>
      </c>
      <c r="E481" t="s">
        <v>630</v>
      </c>
      <c r="F481">
        <v>232</v>
      </c>
      <c r="G481" s="4">
        <v>10379</v>
      </c>
      <c r="H481" s="4">
        <v>2407928</v>
      </c>
      <c r="I481" t="s">
        <v>652</v>
      </c>
      <c r="J481" t="s">
        <v>672</v>
      </c>
      <c r="K481" t="s">
        <v>675</v>
      </c>
      <c r="L481" t="s">
        <v>682</v>
      </c>
      <c r="M481" t="s">
        <v>686</v>
      </c>
      <c r="N481" t="s">
        <v>688</v>
      </c>
      <c r="O481" t="s">
        <v>694</v>
      </c>
      <c r="P481" s="4">
        <v>699273</v>
      </c>
      <c r="Q481">
        <v>3</v>
      </c>
      <c r="R481" s="7">
        <v>6.73</v>
      </c>
      <c r="S481" s="8">
        <f>Table13[[#This Row],[Discount_%]]/100</f>
        <v>6.7299999999999999E-2</v>
      </c>
      <c r="T481" s="6" t="s">
        <v>937</v>
      </c>
      <c r="U481" t="s">
        <v>985</v>
      </c>
      <c r="V481">
        <v>2024</v>
      </c>
      <c r="W481" t="s">
        <v>996</v>
      </c>
      <c r="X481" t="s">
        <v>999</v>
      </c>
      <c r="Y481" t="s">
        <v>1000</v>
      </c>
      <c r="Z481">
        <v>1</v>
      </c>
      <c r="AA481">
        <v>7</v>
      </c>
      <c r="AB481" s="4">
        <f>Table13[[#This Row],[Total_Price]]*(1-Table13[[#This Row],[Discount 2]])</f>
        <v>2245874.4455999997</v>
      </c>
      <c r="AC481" s="4" t="str" cm="1">
        <f t="array" ref="AC481">_xlfn.IFS(Table13[[#This Row],[Revenue]]&gt;=30000000,"High Value",Table13[[#This Row],[Revenue]]&gt;=10000000,"Moderate Value",TRUE,"Low Value")</f>
        <v>Low Value</v>
      </c>
      <c r="AD481" t="str">
        <f>IF(Table13[[#This Row],[Discount 2]]&gt;=5%, "YES", "NO")</f>
        <v>YES</v>
      </c>
      <c r="AE481" t="str" cm="1">
        <f t="array" ref="AE481">_xlfn.IFS(Table13[[#This Row],[Revenue]]&gt;=30000000,"High Spender",Table13[[#This Row],[Revenue]]&gt;=10000000,"Moderate Spender",TRUE,"Low Spender")</f>
        <v>Low Spender</v>
      </c>
      <c r="AF481" s="4" t="str" cm="1">
        <f t="array" ref="AF481">_xlfn.IFS(Table13[[#This Row],[Land_Size_SQM]]&gt;=730,"LARGE",Table13[[#This Row],[Land_Size_SQM]]&gt;=465,"MEDIUM",TRUE,"SMALL")</f>
        <v>SMALL</v>
      </c>
    </row>
    <row r="482" spans="1:32" x14ac:dyDescent="0.3">
      <c r="A482" t="s">
        <v>174</v>
      </c>
      <c r="B482" t="s">
        <v>599</v>
      </c>
      <c r="C482" t="s">
        <v>627</v>
      </c>
      <c r="D482">
        <v>61</v>
      </c>
      <c r="E482" t="s">
        <v>630</v>
      </c>
      <c r="F482">
        <v>216</v>
      </c>
      <c r="G482" s="4">
        <v>10142</v>
      </c>
      <c r="H482" s="4">
        <v>2190672</v>
      </c>
      <c r="I482" t="s">
        <v>662</v>
      </c>
      <c r="J482" t="s">
        <v>673</v>
      </c>
      <c r="K482" t="s">
        <v>678</v>
      </c>
      <c r="L482" t="s">
        <v>680</v>
      </c>
      <c r="M482" t="s">
        <v>687</v>
      </c>
      <c r="N482" t="s">
        <v>689</v>
      </c>
      <c r="O482" t="s">
        <v>693</v>
      </c>
      <c r="P482" s="4">
        <v>2190672</v>
      </c>
      <c r="Q482">
        <v>0</v>
      </c>
      <c r="R482" s="7">
        <v>4.41</v>
      </c>
      <c r="S482" s="8">
        <f>Table13[[#This Row],[Discount_%]]/100</f>
        <v>4.41E-2</v>
      </c>
      <c r="T482" s="6" t="s">
        <v>715</v>
      </c>
      <c r="U482" t="s">
        <v>988</v>
      </c>
      <c r="V482">
        <v>2024</v>
      </c>
      <c r="W482" t="s">
        <v>994</v>
      </c>
      <c r="X482" t="s">
        <v>998</v>
      </c>
      <c r="Y482" t="s">
        <v>1000</v>
      </c>
      <c r="Z482">
        <v>3</v>
      </c>
      <c r="AA482">
        <v>43</v>
      </c>
      <c r="AB482" s="4">
        <f>Table13[[#This Row],[Total_Price]]*(1-Table13[[#This Row],[Discount 2]])</f>
        <v>2094063.3647999999</v>
      </c>
      <c r="AC482" s="4" t="str" cm="1">
        <f t="array" ref="AC482">_xlfn.IFS(Table13[[#This Row],[Revenue]]&gt;=30000000,"High Value",Table13[[#This Row],[Revenue]]&gt;=10000000,"Moderate Value",TRUE,"Low Value")</f>
        <v>Low Value</v>
      </c>
      <c r="AD482" t="str">
        <f>IF(Table13[[#This Row],[Discount 2]]&gt;=5%, "YES", "NO")</f>
        <v>NO</v>
      </c>
      <c r="AE482" t="str" cm="1">
        <f t="array" ref="AE482">_xlfn.IFS(Table13[[#This Row],[Revenue]]&gt;=30000000,"High Spender",Table13[[#This Row],[Revenue]]&gt;=10000000,"Moderate Spender",TRUE,"Low Spender")</f>
        <v>Low Spender</v>
      </c>
      <c r="AF482" s="4" t="str" cm="1">
        <f t="array" ref="AF482">_xlfn.IFS(Table13[[#This Row],[Land_Size_SQM]]&gt;=730,"LARGE",Table13[[#This Row],[Land_Size_SQM]]&gt;=465,"MEDIUM",TRUE,"SMALL")</f>
        <v>SMALL</v>
      </c>
    </row>
    <row r="483" spans="1:32" x14ac:dyDescent="0.3">
      <c r="A483" t="s">
        <v>186</v>
      </c>
      <c r="B483" t="s">
        <v>603</v>
      </c>
      <c r="C483" t="s">
        <v>627</v>
      </c>
      <c r="D483">
        <v>62</v>
      </c>
      <c r="E483" t="s">
        <v>630</v>
      </c>
      <c r="F483">
        <v>619</v>
      </c>
      <c r="G483" s="4">
        <v>3566</v>
      </c>
      <c r="H483" s="4">
        <v>2207354</v>
      </c>
      <c r="I483" t="s">
        <v>654</v>
      </c>
      <c r="J483" t="s">
        <v>669</v>
      </c>
      <c r="K483" t="s">
        <v>664</v>
      </c>
      <c r="L483" t="s">
        <v>682</v>
      </c>
      <c r="M483" t="s">
        <v>687</v>
      </c>
      <c r="N483" t="s">
        <v>689</v>
      </c>
      <c r="O483" t="s">
        <v>693</v>
      </c>
      <c r="P483" s="4">
        <v>2207354</v>
      </c>
      <c r="Q483">
        <v>0</v>
      </c>
      <c r="R483" s="7">
        <v>5.42</v>
      </c>
      <c r="S483" s="8">
        <f>Table13[[#This Row],[Discount_%]]/100</f>
        <v>5.4199999999999998E-2</v>
      </c>
      <c r="T483" s="6" t="s">
        <v>743</v>
      </c>
      <c r="U483" t="s">
        <v>983</v>
      </c>
      <c r="V483">
        <v>2024</v>
      </c>
      <c r="W483" t="s">
        <v>996</v>
      </c>
      <c r="X483" t="s">
        <v>997</v>
      </c>
      <c r="Y483" t="s">
        <v>1000</v>
      </c>
      <c r="Z483">
        <v>4</v>
      </c>
      <c r="AA483">
        <v>32</v>
      </c>
      <c r="AB483" s="4">
        <f>Table13[[#This Row],[Total_Price]]*(1-Table13[[#This Row],[Discount 2]])</f>
        <v>2087715.4131999998</v>
      </c>
      <c r="AC483" s="4" t="str" cm="1">
        <f t="array" ref="AC483">_xlfn.IFS(Table13[[#This Row],[Revenue]]&gt;=30000000,"High Value",Table13[[#This Row],[Revenue]]&gt;=10000000,"Moderate Value",TRUE,"Low Value")</f>
        <v>Low Value</v>
      </c>
      <c r="AD483" t="str">
        <f>IF(Table13[[#This Row],[Discount 2]]&gt;=5%, "YES", "NO")</f>
        <v>YES</v>
      </c>
      <c r="AE483" t="str" cm="1">
        <f t="array" ref="AE483">_xlfn.IFS(Table13[[#This Row],[Revenue]]&gt;=30000000,"High Spender",Table13[[#This Row],[Revenue]]&gt;=10000000,"Moderate Spender",TRUE,"Low Spender")</f>
        <v>Low Spender</v>
      </c>
      <c r="AF483" s="4" t="str" cm="1">
        <f t="array" ref="AF483">_xlfn.IFS(Table13[[#This Row],[Land_Size_SQM]]&gt;=730,"LARGE",Table13[[#This Row],[Land_Size_SQM]]&gt;=465,"MEDIUM",TRUE,"SMALL")</f>
        <v>MEDIUM</v>
      </c>
    </row>
    <row r="484" spans="1:32" x14ac:dyDescent="0.3">
      <c r="A484" t="s">
        <v>430</v>
      </c>
      <c r="B484" t="s">
        <v>576</v>
      </c>
      <c r="C484" t="s">
        <v>627</v>
      </c>
      <c r="D484">
        <v>62</v>
      </c>
      <c r="E484" t="s">
        <v>629</v>
      </c>
      <c r="F484">
        <v>271</v>
      </c>
      <c r="G484" s="4">
        <v>7556</v>
      </c>
      <c r="H484" s="4">
        <v>2047676</v>
      </c>
      <c r="I484" t="s">
        <v>662</v>
      </c>
      <c r="J484" t="s">
        <v>673</v>
      </c>
      <c r="K484" t="s">
        <v>675</v>
      </c>
      <c r="L484" t="s">
        <v>680</v>
      </c>
      <c r="M484" t="s">
        <v>686</v>
      </c>
      <c r="N484" t="s">
        <v>689</v>
      </c>
      <c r="O484" t="s">
        <v>694</v>
      </c>
      <c r="P484" s="4">
        <v>656270</v>
      </c>
      <c r="Q484">
        <v>12</v>
      </c>
      <c r="R484" s="7">
        <v>7.72</v>
      </c>
      <c r="S484" s="8">
        <f>Table13[[#This Row],[Discount_%]]/100</f>
        <v>7.7199999999999991E-2</v>
      </c>
      <c r="T484" s="6" t="s">
        <v>817</v>
      </c>
      <c r="U484" t="s">
        <v>989</v>
      </c>
      <c r="V484">
        <v>2024</v>
      </c>
      <c r="W484" t="s">
        <v>994</v>
      </c>
      <c r="X484" t="s">
        <v>998</v>
      </c>
      <c r="Y484" t="s">
        <v>1002</v>
      </c>
      <c r="Z484">
        <v>5</v>
      </c>
      <c r="AA484">
        <v>20</v>
      </c>
      <c r="AB484" s="4">
        <f>Table13[[#This Row],[Total_Price]]*(1-Table13[[#This Row],[Discount 2]])</f>
        <v>1889595.4128</v>
      </c>
      <c r="AC484" s="4" t="str" cm="1">
        <f t="array" ref="AC484">_xlfn.IFS(Table13[[#This Row],[Revenue]]&gt;=30000000,"High Value",Table13[[#This Row],[Revenue]]&gt;=10000000,"Moderate Value",TRUE,"Low Value")</f>
        <v>Low Value</v>
      </c>
      <c r="AD484" t="str">
        <f>IF(Table13[[#This Row],[Discount 2]]&gt;=5%, "YES", "NO")</f>
        <v>YES</v>
      </c>
      <c r="AE484" t="str" cm="1">
        <f t="array" ref="AE484">_xlfn.IFS(Table13[[#This Row],[Revenue]]&gt;=30000000,"High Spender",Table13[[#This Row],[Revenue]]&gt;=10000000,"Moderate Spender",TRUE,"Low Spender")</f>
        <v>Low Spender</v>
      </c>
      <c r="AF484" s="4" t="str" cm="1">
        <f t="array" ref="AF484">_xlfn.IFS(Table13[[#This Row],[Land_Size_SQM]]&gt;=730,"LARGE",Table13[[#This Row],[Land_Size_SQM]]&gt;=465,"MEDIUM",TRUE,"SMALL")</f>
        <v>SMALL</v>
      </c>
    </row>
    <row r="485" spans="1:32" x14ac:dyDescent="0.3">
      <c r="A485" t="s">
        <v>179</v>
      </c>
      <c r="B485" t="s">
        <v>600</v>
      </c>
      <c r="C485" t="s">
        <v>627</v>
      </c>
      <c r="D485">
        <v>50</v>
      </c>
      <c r="E485" t="s">
        <v>628</v>
      </c>
      <c r="F485">
        <v>740</v>
      </c>
      <c r="G485" s="4">
        <v>2790</v>
      </c>
      <c r="H485" s="4">
        <v>2064600</v>
      </c>
      <c r="I485" t="s">
        <v>644</v>
      </c>
      <c r="J485" t="s">
        <v>668</v>
      </c>
      <c r="K485" t="s">
        <v>676</v>
      </c>
      <c r="L485" t="s">
        <v>680</v>
      </c>
      <c r="M485" t="s">
        <v>686</v>
      </c>
      <c r="N485" t="s">
        <v>689</v>
      </c>
      <c r="O485" t="s">
        <v>694</v>
      </c>
      <c r="P485" s="4">
        <v>494668</v>
      </c>
      <c r="Q485">
        <v>12</v>
      </c>
      <c r="R485" s="7">
        <v>8.61</v>
      </c>
      <c r="S485" s="8">
        <f>Table13[[#This Row],[Discount_%]]/100</f>
        <v>8.6099999999999996E-2</v>
      </c>
      <c r="T485" s="6" t="s">
        <v>816</v>
      </c>
      <c r="U485" t="s">
        <v>985</v>
      </c>
      <c r="V485">
        <v>2024</v>
      </c>
      <c r="W485" t="s">
        <v>993</v>
      </c>
      <c r="X485" t="s">
        <v>998</v>
      </c>
      <c r="Y485" t="s">
        <v>1000</v>
      </c>
      <c r="Z485">
        <v>1</v>
      </c>
      <c r="AA485">
        <v>4</v>
      </c>
      <c r="AB485" s="4">
        <f>Table13[[#This Row],[Total_Price]]*(1-Table13[[#This Row],[Discount 2]])</f>
        <v>1886837.9400000002</v>
      </c>
      <c r="AC485" s="4" t="str" cm="1">
        <f t="array" ref="AC485">_xlfn.IFS(Table13[[#This Row],[Revenue]]&gt;=30000000,"High Value",Table13[[#This Row],[Revenue]]&gt;=10000000,"Moderate Value",TRUE,"Low Value")</f>
        <v>Low Value</v>
      </c>
      <c r="AD485" t="str">
        <f>IF(Table13[[#This Row],[Discount 2]]&gt;=5%, "YES", "NO")</f>
        <v>YES</v>
      </c>
      <c r="AE485" t="str" cm="1">
        <f t="array" ref="AE485">_xlfn.IFS(Table13[[#This Row],[Revenue]]&gt;=30000000,"High Spender",Table13[[#This Row],[Revenue]]&gt;=10000000,"Moderate Spender",TRUE,"Low Spender")</f>
        <v>Low Spender</v>
      </c>
      <c r="AF485" s="4" t="str" cm="1">
        <f t="array" ref="AF485">_xlfn.IFS(Table13[[#This Row],[Land_Size_SQM]]&gt;=730,"LARGE",Table13[[#This Row],[Land_Size_SQM]]&gt;=465,"MEDIUM",TRUE,"SMALL")</f>
        <v>LARGE</v>
      </c>
    </row>
    <row r="486" spans="1:32" x14ac:dyDescent="0.3">
      <c r="A486" t="s">
        <v>196</v>
      </c>
      <c r="B486" t="s">
        <v>588</v>
      </c>
      <c r="C486" t="s">
        <v>626</v>
      </c>
      <c r="D486">
        <v>20</v>
      </c>
      <c r="E486" t="s">
        <v>630</v>
      </c>
      <c r="F486">
        <v>238</v>
      </c>
      <c r="G486" s="4">
        <v>7915</v>
      </c>
      <c r="H486" s="4">
        <v>1883770</v>
      </c>
      <c r="I486" t="s">
        <v>648</v>
      </c>
      <c r="J486" t="s">
        <v>671</v>
      </c>
      <c r="K486" t="s">
        <v>678</v>
      </c>
      <c r="L486" t="s">
        <v>682</v>
      </c>
      <c r="M486" t="s">
        <v>683</v>
      </c>
      <c r="N486" t="s">
        <v>688</v>
      </c>
      <c r="O486" t="s">
        <v>693</v>
      </c>
      <c r="P486" s="4">
        <v>1883770</v>
      </c>
      <c r="Q486">
        <v>0</v>
      </c>
      <c r="R486" s="7">
        <v>2.33</v>
      </c>
      <c r="S486" s="8">
        <f>Table13[[#This Row],[Discount_%]]/100</f>
        <v>2.3300000000000001E-2</v>
      </c>
      <c r="T486" s="6" t="s">
        <v>827</v>
      </c>
      <c r="U486" t="s">
        <v>990</v>
      </c>
      <c r="V486">
        <v>2024</v>
      </c>
      <c r="W486" t="s">
        <v>994</v>
      </c>
      <c r="X486" t="s">
        <v>997</v>
      </c>
      <c r="Y486" t="s">
        <v>1000</v>
      </c>
      <c r="Z486">
        <v>3</v>
      </c>
      <c r="AA486">
        <v>4</v>
      </c>
      <c r="AB486" s="4">
        <f>Table13[[#This Row],[Total_Price]]*(1-Table13[[#This Row],[Discount 2]])</f>
        <v>1839878.159</v>
      </c>
      <c r="AC486" s="4" t="str" cm="1">
        <f t="array" ref="AC486">_xlfn.IFS(Table13[[#This Row],[Revenue]]&gt;=30000000,"High Value",Table13[[#This Row],[Revenue]]&gt;=10000000,"Moderate Value",TRUE,"Low Value")</f>
        <v>Low Value</v>
      </c>
      <c r="AD486" t="str">
        <f>IF(Table13[[#This Row],[Discount 2]]&gt;=5%, "YES", "NO")</f>
        <v>NO</v>
      </c>
      <c r="AE486" t="str" cm="1">
        <f t="array" ref="AE486">_xlfn.IFS(Table13[[#This Row],[Revenue]]&gt;=30000000,"High Spender",Table13[[#This Row],[Revenue]]&gt;=10000000,"Moderate Spender",TRUE,"Low Spender")</f>
        <v>Low Spender</v>
      </c>
      <c r="AF486" s="4" t="str" cm="1">
        <f t="array" ref="AF486">_xlfn.IFS(Table13[[#This Row],[Land_Size_SQM]]&gt;=730,"LARGE",Table13[[#This Row],[Land_Size_SQM]]&gt;=465,"MEDIUM",TRUE,"SMALL")</f>
        <v>SMALL</v>
      </c>
    </row>
    <row r="487" spans="1:32" x14ac:dyDescent="0.3">
      <c r="A487" t="s">
        <v>338</v>
      </c>
      <c r="B487" t="s">
        <v>594</v>
      </c>
      <c r="C487" t="s">
        <v>627</v>
      </c>
      <c r="D487">
        <v>36</v>
      </c>
      <c r="E487" t="s">
        <v>629</v>
      </c>
      <c r="F487">
        <v>214</v>
      </c>
      <c r="G487" s="4">
        <v>9310</v>
      </c>
      <c r="H487" s="4">
        <v>1992340</v>
      </c>
      <c r="I487" t="s">
        <v>657</v>
      </c>
      <c r="J487" t="s">
        <v>671</v>
      </c>
      <c r="K487" t="s">
        <v>677</v>
      </c>
      <c r="L487" t="s">
        <v>680</v>
      </c>
      <c r="M487" t="s">
        <v>684</v>
      </c>
      <c r="N487" t="s">
        <v>688</v>
      </c>
      <c r="O487" t="s">
        <v>693</v>
      </c>
      <c r="P487" s="4">
        <v>1992340</v>
      </c>
      <c r="Q487">
        <v>0</v>
      </c>
      <c r="R487" s="7">
        <v>9.1</v>
      </c>
      <c r="S487" s="8">
        <f>Table13[[#This Row],[Discount_%]]/100</f>
        <v>9.0999999999999998E-2</v>
      </c>
      <c r="T487" s="6" t="s">
        <v>814</v>
      </c>
      <c r="U487" t="s">
        <v>987</v>
      </c>
      <c r="V487">
        <v>2024</v>
      </c>
      <c r="W487" t="s">
        <v>993</v>
      </c>
      <c r="X487" t="s">
        <v>998</v>
      </c>
      <c r="Y487" t="s">
        <v>1000</v>
      </c>
      <c r="Z487">
        <v>2</v>
      </c>
      <c r="AA487">
        <v>39</v>
      </c>
      <c r="AB487" s="4">
        <f>Table13[[#This Row],[Total_Price]]*(1-Table13[[#This Row],[Discount 2]])</f>
        <v>1811037.06</v>
      </c>
      <c r="AC487" s="4" t="str" cm="1">
        <f t="array" ref="AC487">_xlfn.IFS(Table13[[#This Row],[Revenue]]&gt;=30000000,"High Value",Table13[[#This Row],[Revenue]]&gt;=10000000,"Moderate Value",TRUE,"Low Value")</f>
        <v>Low Value</v>
      </c>
      <c r="AD487" t="str">
        <f>IF(Table13[[#This Row],[Discount 2]]&gt;=5%, "YES", "NO")</f>
        <v>YES</v>
      </c>
      <c r="AE487" t="str" cm="1">
        <f t="array" ref="AE487">_xlfn.IFS(Table13[[#This Row],[Revenue]]&gt;=30000000,"High Spender",Table13[[#This Row],[Revenue]]&gt;=10000000,"Moderate Spender",TRUE,"Low Spender")</f>
        <v>Low Spender</v>
      </c>
      <c r="AF487" s="4" t="str" cm="1">
        <f t="array" ref="AF487">_xlfn.IFS(Table13[[#This Row],[Land_Size_SQM]]&gt;=730,"LARGE",Table13[[#This Row],[Land_Size_SQM]]&gt;=465,"MEDIUM",TRUE,"SMALL")</f>
        <v>SMALL</v>
      </c>
    </row>
    <row r="488" spans="1:32" x14ac:dyDescent="0.3">
      <c r="A488" t="s">
        <v>250</v>
      </c>
      <c r="B488" t="s">
        <v>562</v>
      </c>
      <c r="C488" t="s">
        <v>626</v>
      </c>
      <c r="D488">
        <v>28</v>
      </c>
      <c r="E488" t="s">
        <v>630</v>
      </c>
      <c r="F488">
        <v>417</v>
      </c>
      <c r="G488" s="4">
        <v>4402</v>
      </c>
      <c r="H488" s="4">
        <v>1835634</v>
      </c>
      <c r="I488" t="s">
        <v>660</v>
      </c>
      <c r="J488" t="s">
        <v>672</v>
      </c>
      <c r="K488" t="s">
        <v>674</v>
      </c>
      <c r="L488" t="s">
        <v>682</v>
      </c>
      <c r="M488" t="s">
        <v>686</v>
      </c>
      <c r="N488" t="s">
        <v>689</v>
      </c>
      <c r="O488" t="s">
        <v>694</v>
      </c>
      <c r="P488" s="4">
        <v>727228</v>
      </c>
      <c r="Q488">
        <v>24</v>
      </c>
      <c r="R488" s="7">
        <v>1.49</v>
      </c>
      <c r="S488" s="8">
        <f>Table13[[#This Row],[Discount_%]]/100</f>
        <v>1.49E-2</v>
      </c>
      <c r="T488" s="6" t="s">
        <v>804</v>
      </c>
      <c r="U488" t="s">
        <v>991</v>
      </c>
      <c r="V488">
        <v>2024</v>
      </c>
      <c r="W488" t="s">
        <v>995</v>
      </c>
      <c r="X488" t="s">
        <v>998</v>
      </c>
      <c r="Y488" t="s">
        <v>1001</v>
      </c>
      <c r="Z488">
        <v>1</v>
      </c>
      <c r="AA488">
        <v>43</v>
      </c>
      <c r="AB488" s="4">
        <f>Table13[[#This Row],[Total_Price]]*(1-Table13[[#This Row],[Discount 2]])</f>
        <v>1808283.0533999999</v>
      </c>
      <c r="AC488" s="4" t="str" cm="1">
        <f t="array" ref="AC488">_xlfn.IFS(Table13[[#This Row],[Revenue]]&gt;=30000000,"High Value",Table13[[#This Row],[Revenue]]&gt;=10000000,"Moderate Value",TRUE,"Low Value")</f>
        <v>Low Value</v>
      </c>
      <c r="AD488" t="str">
        <f>IF(Table13[[#This Row],[Discount 2]]&gt;=5%, "YES", "NO")</f>
        <v>NO</v>
      </c>
      <c r="AE488" t="str" cm="1">
        <f t="array" ref="AE488">_xlfn.IFS(Table13[[#This Row],[Revenue]]&gt;=30000000,"High Spender",Table13[[#This Row],[Revenue]]&gt;=10000000,"Moderate Spender",TRUE,"Low Spender")</f>
        <v>Low Spender</v>
      </c>
      <c r="AF488" s="4" t="str" cm="1">
        <f t="array" ref="AF488">_xlfn.IFS(Table13[[#This Row],[Land_Size_SQM]]&gt;=730,"LARGE",Table13[[#This Row],[Land_Size_SQM]]&gt;=465,"MEDIUM",TRUE,"SMALL")</f>
        <v>SMALL</v>
      </c>
    </row>
    <row r="489" spans="1:32" x14ac:dyDescent="0.3">
      <c r="A489" t="s">
        <v>30</v>
      </c>
      <c r="B489" t="s">
        <v>530</v>
      </c>
      <c r="C489" t="s">
        <v>626</v>
      </c>
      <c r="D489">
        <v>45</v>
      </c>
      <c r="E489" t="s">
        <v>629</v>
      </c>
      <c r="F489">
        <v>434</v>
      </c>
      <c r="G489" s="4">
        <v>4103</v>
      </c>
      <c r="H489" s="4">
        <v>1780702</v>
      </c>
      <c r="I489" t="s">
        <v>635</v>
      </c>
      <c r="J489" t="s">
        <v>668</v>
      </c>
      <c r="K489" t="s">
        <v>664</v>
      </c>
      <c r="L489" t="s">
        <v>681</v>
      </c>
      <c r="M489" t="s">
        <v>683</v>
      </c>
      <c r="N489" t="s">
        <v>690</v>
      </c>
      <c r="O489" t="s">
        <v>694</v>
      </c>
      <c r="P489" s="4">
        <v>499170</v>
      </c>
      <c r="Q489">
        <v>24</v>
      </c>
      <c r="R489" s="7">
        <v>2.11</v>
      </c>
      <c r="S489" s="8">
        <f>Table13[[#This Row],[Discount_%]]/100</f>
        <v>2.1099999999999997E-2</v>
      </c>
      <c r="T489" s="6" t="s">
        <v>699</v>
      </c>
      <c r="U489" t="s">
        <v>985</v>
      </c>
      <c r="V489">
        <v>2024</v>
      </c>
      <c r="W489" t="s">
        <v>996</v>
      </c>
      <c r="X489" t="s">
        <v>999</v>
      </c>
      <c r="Y489" t="s">
        <v>1001</v>
      </c>
      <c r="Z489">
        <v>5</v>
      </c>
      <c r="AA489">
        <v>35</v>
      </c>
      <c r="AB489" s="4">
        <f>Table13[[#This Row],[Total_Price]]*(1-Table13[[#This Row],[Discount 2]])</f>
        <v>1743129.1878</v>
      </c>
      <c r="AC489" s="4" t="str" cm="1">
        <f t="array" ref="AC489">_xlfn.IFS(Table13[[#This Row],[Revenue]]&gt;=30000000,"High Value",Table13[[#This Row],[Revenue]]&gt;=10000000,"Moderate Value",TRUE,"Low Value")</f>
        <v>Low Value</v>
      </c>
      <c r="AD489" t="str">
        <f>IF(Table13[[#This Row],[Discount 2]]&gt;=5%, "YES", "NO")</f>
        <v>NO</v>
      </c>
      <c r="AE489" t="str" cm="1">
        <f t="array" ref="AE489">_xlfn.IFS(Table13[[#This Row],[Revenue]]&gt;=30000000,"High Spender",Table13[[#This Row],[Revenue]]&gt;=10000000,"Moderate Spender",TRUE,"Low Spender")</f>
        <v>Low Spender</v>
      </c>
      <c r="AF489" s="4" t="str" cm="1">
        <f t="array" ref="AF489">_xlfn.IFS(Table13[[#This Row],[Land_Size_SQM]]&gt;=730,"LARGE",Table13[[#This Row],[Land_Size_SQM]]&gt;=465,"MEDIUM",TRUE,"SMALL")</f>
        <v>SMALL</v>
      </c>
    </row>
    <row r="490" spans="1:32" x14ac:dyDescent="0.3">
      <c r="A490" t="s">
        <v>224</v>
      </c>
      <c r="B490" t="s">
        <v>610</v>
      </c>
      <c r="C490" t="s">
        <v>627</v>
      </c>
      <c r="D490">
        <v>27</v>
      </c>
      <c r="E490" t="s">
        <v>629</v>
      </c>
      <c r="F490">
        <v>364</v>
      </c>
      <c r="G490" s="4">
        <v>4582</v>
      </c>
      <c r="H490" s="4">
        <v>1667848</v>
      </c>
      <c r="I490" t="s">
        <v>633</v>
      </c>
      <c r="J490" t="s">
        <v>668</v>
      </c>
      <c r="K490" t="s">
        <v>677</v>
      </c>
      <c r="L490" t="s">
        <v>682</v>
      </c>
      <c r="M490" t="s">
        <v>684</v>
      </c>
      <c r="N490" t="s">
        <v>688</v>
      </c>
      <c r="O490" t="s">
        <v>694</v>
      </c>
      <c r="P490" s="4">
        <v>677915</v>
      </c>
      <c r="Q490">
        <v>6</v>
      </c>
      <c r="R490" s="7">
        <v>4.8099999999999996</v>
      </c>
      <c r="S490" s="8">
        <f>Table13[[#This Row],[Discount_%]]/100</f>
        <v>4.8099999999999997E-2</v>
      </c>
      <c r="T490" s="6" t="s">
        <v>846</v>
      </c>
      <c r="U490" t="s">
        <v>990</v>
      </c>
      <c r="V490">
        <v>2024</v>
      </c>
      <c r="W490" t="s">
        <v>993</v>
      </c>
      <c r="X490" t="s">
        <v>997</v>
      </c>
      <c r="Y490" t="s">
        <v>1000</v>
      </c>
      <c r="Z490">
        <v>1</v>
      </c>
      <c r="AA490">
        <v>17</v>
      </c>
      <c r="AB490" s="4">
        <f>Table13[[#This Row],[Total_Price]]*(1-Table13[[#This Row],[Discount 2]])</f>
        <v>1587624.5111999998</v>
      </c>
      <c r="AC490" s="4" t="str" cm="1">
        <f t="array" ref="AC490">_xlfn.IFS(Table13[[#This Row],[Revenue]]&gt;=30000000,"High Value",Table13[[#This Row],[Revenue]]&gt;=10000000,"Moderate Value",TRUE,"Low Value")</f>
        <v>Low Value</v>
      </c>
      <c r="AD490" t="str">
        <f>IF(Table13[[#This Row],[Discount 2]]&gt;=5%, "YES", "NO")</f>
        <v>NO</v>
      </c>
      <c r="AE490" t="str" cm="1">
        <f t="array" ref="AE490">_xlfn.IFS(Table13[[#This Row],[Revenue]]&gt;=30000000,"High Spender",Table13[[#This Row],[Revenue]]&gt;=10000000,"Moderate Spender",TRUE,"Low Spender")</f>
        <v>Low Spender</v>
      </c>
      <c r="AF490" s="4" t="str" cm="1">
        <f t="array" ref="AF490">_xlfn.IFS(Table13[[#This Row],[Land_Size_SQM]]&gt;=730,"LARGE",Table13[[#This Row],[Land_Size_SQM]]&gt;=465,"MEDIUM",TRUE,"SMALL")</f>
        <v>SMALL</v>
      </c>
    </row>
    <row r="491" spans="1:32" x14ac:dyDescent="0.3">
      <c r="A491" t="s">
        <v>345</v>
      </c>
      <c r="B491" t="s">
        <v>605</v>
      </c>
      <c r="C491" t="s">
        <v>626</v>
      </c>
      <c r="D491">
        <v>29</v>
      </c>
      <c r="E491" t="s">
        <v>629</v>
      </c>
      <c r="F491">
        <v>235</v>
      </c>
      <c r="G491" s="4">
        <v>6778</v>
      </c>
      <c r="H491" s="4">
        <v>1592830</v>
      </c>
      <c r="I491" t="s">
        <v>635</v>
      </c>
      <c r="J491" t="s">
        <v>668</v>
      </c>
      <c r="K491" t="s">
        <v>676</v>
      </c>
      <c r="L491" t="s">
        <v>682</v>
      </c>
      <c r="M491" t="s">
        <v>685</v>
      </c>
      <c r="N491" t="s">
        <v>689</v>
      </c>
      <c r="O491" t="s">
        <v>693</v>
      </c>
      <c r="P491" s="4">
        <v>1592830</v>
      </c>
      <c r="Q491">
        <v>0</v>
      </c>
      <c r="R491" s="7">
        <v>5.71</v>
      </c>
      <c r="S491" s="8">
        <f>Table13[[#This Row],[Discount_%]]/100</f>
        <v>5.7099999999999998E-2</v>
      </c>
      <c r="T491" s="6" t="s">
        <v>883</v>
      </c>
      <c r="U491" t="s">
        <v>992</v>
      </c>
      <c r="V491">
        <v>2024</v>
      </c>
      <c r="W491" t="s">
        <v>995</v>
      </c>
      <c r="X491" t="s">
        <v>998</v>
      </c>
      <c r="Y491" t="s">
        <v>1000</v>
      </c>
      <c r="Z491">
        <v>3</v>
      </c>
      <c r="AA491">
        <v>26</v>
      </c>
      <c r="AB491" s="4">
        <f>Table13[[#This Row],[Total_Price]]*(1-Table13[[#This Row],[Discount 2]])</f>
        <v>1501879.4069999999</v>
      </c>
      <c r="AC491" s="4" t="str" cm="1">
        <f t="array" ref="AC491">_xlfn.IFS(Table13[[#This Row],[Revenue]]&gt;=30000000,"High Value",Table13[[#This Row],[Revenue]]&gt;=10000000,"Moderate Value",TRUE,"Low Value")</f>
        <v>Low Value</v>
      </c>
      <c r="AD491" t="str">
        <f>IF(Table13[[#This Row],[Discount 2]]&gt;=5%, "YES", "NO")</f>
        <v>YES</v>
      </c>
      <c r="AE491" t="str" cm="1">
        <f t="array" ref="AE491">_xlfn.IFS(Table13[[#This Row],[Revenue]]&gt;=30000000,"High Spender",Table13[[#This Row],[Revenue]]&gt;=10000000,"Moderate Spender",TRUE,"Low Spender")</f>
        <v>Low Spender</v>
      </c>
      <c r="AF491" s="4" t="str" cm="1">
        <f t="array" ref="AF491">_xlfn.IFS(Table13[[#This Row],[Land_Size_SQM]]&gt;=730,"LARGE",Table13[[#This Row],[Land_Size_SQM]]&gt;=465,"MEDIUM",TRUE,"SMALL")</f>
        <v>SMALL</v>
      </c>
    </row>
    <row r="492" spans="1:32" x14ac:dyDescent="0.3">
      <c r="A492" t="s">
        <v>354</v>
      </c>
      <c r="B492" t="s">
        <v>529</v>
      </c>
      <c r="C492" t="s">
        <v>626</v>
      </c>
      <c r="D492">
        <v>54</v>
      </c>
      <c r="E492" t="s">
        <v>629</v>
      </c>
      <c r="F492">
        <v>628</v>
      </c>
      <c r="G492" s="4">
        <v>2299</v>
      </c>
      <c r="H492" s="4">
        <v>1443772</v>
      </c>
      <c r="I492" t="s">
        <v>635</v>
      </c>
      <c r="J492" t="s">
        <v>668</v>
      </c>
      <c r="K492" t="s">
        <v>651</v>
      </c>
      <c r="L492" t="s">
        <v>680</v>
      </c>
      <c r="M492" t="s">
        <v>684</v>
      </c>
      <c r="N492" t="s">
        <v>688</v>
      </c>
      <c r="O492" t="s">
        <v>693</v>
      </c>
      <c r="P492" s="4">
        <v>1443772</v>
      </c>
      <c r="Q492">
        <v>0</v>
      </c>
      <c r="R492" s="7">
        <v>1.92</v>
      </c>
      <c r="S492" s="8">
        <f>Table13[[#This Row],[Discount_%]]/100</f>
        <v>1.9199999999999998E-2</v>
      </c>
      <c r="T492" s="6" t="s">
        <v>868</v>
      </c>
      <c r="U492" t="s">
        <v>986</v>
      </c>
      <c r="V492">
        <v>2024</v>
      </c>
      <c r="W492" t="s">
        <v>994</v>
      </c>
      <c r="X492" t="s">
        <v>999</v>
      </c>
      <c r="Y492" t="s">
        <v>1000</v>
      </c>
      <c r="Z492">
        <v>1</v>
      </c>
      <c r="AA492">
        <v>10</v>
      </c>
      <c r="AB492" s="4">
        <f>Table13[[#This Row],[Total_Price]]*(1-Table13[[#This Row],[Discount 2]])</f>
        <v>1416051.5776</v>
      </c>
      <c r="AC492" s="4" t="str" cm="1">
        <f t="array" ref="AC492">_xlfn.IFS(Table13[[#This Row],[Revenue]]&gt;=30000000,"High Value",Table13[[#This Row],[Revenue]]&gt;=10000000,"Moderate Value",TRUE,"Low Value")</f>
        <v>Low Value</v>
      </c>
      <c r="AD492" t="str">
        <f>IF(Table13[[#This Row],[Discount 2]]&gt;=5%, "YES", "NO")</f>
        <v>NO</v>
      </c>
      <c r="AE492" t="str" cm="1">
        <f t="array" ref="AE492">_xlfn.IFS(Table13[[#This Row],[Revenue]]&gt;=30000000,"High Spender",Table13[[#This Row],[Revenue]]&gt;=10000000,"Moderate Spender",TRUE,"Low Spender")</f>
        <v>Low Spender</v>
      </c>
      <c r="AF492" s="4" t="str" cm="1">
        <f t="array" ref="AF492">_xlfn.IFS(Table13[[#This Row],[Land_Size_SQM]]&gt;=730,"LARGE",Table13[[#This Row],[Land_Size_SQM]]&gt;=465,"MEDIUM",TRUE,"SMALL")</f>
        <v>MEDIUM</v>
      </c>
    </row>
    <row r="493" spans="1:32" x14ac:dyDescent="0.3">
      <c r="A493" t="s">
        <v>457</v>
      </c>
      <c r="B493" t="s">
        <v>597</v>
      </c>
      <c r="C493" t="s">
        <v>626</v>
      </c>
      <c r="D493">
        <v>57</v>
      </c>
      <c r="E493" t="s">
        <v>629</v>
      </c>
      <c r="F493">
        <v>245</v>
      </c>
      <c r="G493" s="4">
        <v>5964</v>
      </c>
      <c r="H493" s="4">
        <v>1461180</v>
      </c>
      <c r="I493" t="s">
        <v>654</v>
      </c>
      <c r="J493" t="s">
        <v>669</v>
      </c>
      <c r="K493" t="s">
        <v>638</v>
      </c>
      <c r="L493" t="s">
        <v>680</v>
      </c>
      <c r="M493" t="s">
        <v>683</v>
      </c>
      <c r="N493" t="s">
        <v>691</v>
      </c>
      <c r="O493" t="s">
        <v>693</v>
      </c>
      <c r="P493" s="4">
        <v>1461180</v>
      </c>
      <c r="Q493">
        <v>0</v>
      </c>
      <c r="R493" s="7">
        <v>3.12</v>
      </c>
      <c r="S493" s="8">
        <f>Table13[[#This Row],[Discount_%]]/100</f>
        <v>3.1200000000000002E-2</v>
      </c>
      <c r="T493" s="6" t="s">
        <v>951</v>
      </c>
      <c r="U493" t="s">
        <v>989</v>
      </c>
      <c r="V493">
        <v>2024</v>
      </c>
      <c r="W493" t="s">
        <v>994</v>
      </c>
      <c r="X493" t="s">
        <v>997</v>
      </c>
      <c r="Y493" t="s">
        <v>1002</v>
      </c>
      <c r="Z493">
        <v>3</v>
      </c>
      <c r="AA493">
        <v>24</v>
      </c>
      <c r="AB493" s="4">
        <f>Table13[[#This Row],[Total_Price]]*(1-Table13[[#This Row],[Discount 2]])</f>
        <v>1415591.1839999999</v>
      </c>
      <c r="AC493" s="4" t="str" cm="1">
        <f t="array" ref="AC493">_xlfn.IFS(Table13[[#This Row],[Revenue]]&gt;=30000000,"High Value",Table13[[#This Row],[Revenue]]&gt;=10000000,"Moderate Value",TRUE,"Low Value")</f>
        <v>Low Value</v>
      </c>
      <c r="AD493" t="str">
        <f>IF(Table13[[#This Row],[Discount 2]]&gt;=5%, "YES", "NO")</f>
        <v>NO</v>
      </c>
      <c r="AE493" t="str" cm="1">
        <f t="array" ref="AE493">_xlfn.IFS(Table13[[#This Row],[Revenue]]&gt;=30000000,"High Spender",Table13[[#This Row],[Revenue]]&gt;=10000000,"Moderate Spender",TRUE,"Low Spender")</f>
        <v>Low Spender</v>
      </c>
      <c r="AF493" s="4" t="str" cm="1">
        <f t="array" ref="AF493">_xlfn.IFS(Table13[[#This Row],[Land_Size_SQM]]&gt;=730,"LARGE",Table13[[#This Row],[Land_Size_SQM]]&gt;=465,"MEDIUM",TRUE,"SMALL")</f>
        <v>SMALL</v>
      </c>
    </row>
    <row r="494" spans="1:32" x14ac:dyDescent="0.3">
      <c r="A494" t="s">
        <v>145</v>
      </c>
      <c r="B494" t="s">
        <v>572</v>
      </c>
      <c r="C494" t="s">
        <v>627</v>
      </c>
      <c r="D494">
        <v>45</v>
      </c>
      <c r="E494" t="s">
        <v>628</v>
      </c>
      <c r="F494">
        <v>510</v>
      </c>
      <c r="G494" s="4">
        <v>3004</v>
      </c>
      <c r="H494" s="4">
        <v>1532040</v>
      </c>
      <c r="I494" t="s">
        <v>650</v>
      </c>
      <c r="J494" t="s">
        <v>670</v>
      </c>
      <c r="K494" t="s">
        <v>651</v>
      </c>
      <c r="L494" t="s">
        <v>682</v>
      </c>
      <c r="M494" t="s">
        <v>687</v>
      </c>
      <c r="N494" t="s">
        <v>690</v>
      </c>
      <c r="O494" t="s">
        <v>693</v>
      </c>
      <c r="P494" s="4">
        <v>1532040</v>
      </c>
      <c r="Q494">
        <v>0</v>
      </c>
      <c r="R494" s="7">
        <v>9.3699999999999992</v>
      </c>
      <c r="S494" s="8">
        <f>Table13[[#This Row],[Discount_%]]/100</f>
        <v>9.3699999999999992E-2</v>
      </c>
      <c r="T494" s="6" t="s">
        <v>735</v>
      </c>
      <c r="U494" t="s">
        <v>987</v>
      </c>
      <c r="V494">
        <v>2024</v>
      </c>
      <c r="W494" t="s">
        <v>995</v>
      </c>
      <c r="X494" t="s">
        <v>998</v>
      </c>
      <c r="Y494" t="s">
        <v>1001</v>
      </c>
      <c r="Z494">
        <v>3</v>
      </c>
      <c r="AA494">
        <v>20</v>
      </c>
      <c r="AB494" s="4">
        <f>Table13[[#This Row],[Total_Price]]*(1-Table13[[#This Row],[Discount 2]])</f>
        <v>1388487.852</v>
      </c>
      <c r="AC494" s="4" t="str" cm="1">
        <f t="array" ref="AC494">_xlfn.IFS(Table13[[#This Row],[Revenue]]&gt;=30000000,"High Value",Table13[[#This Row],[Revenue]]&gt;=10000000,"Moderate Value",TRUE,"Low Value")</f>
        <v>Low Value</v>
      </c>
      <c r="AD494" t="str">
        <f>IF(Table13[[#This Row],[Discount 2]]&gt;=5%, "YES", "NO")</f>
        <v>YES</v>
      </c>
      <c r="AE494" t="str" cm="1">
        <f t="array" ref="AE494">_xlfn.IFS(Table13[[#This Row],[Revenue]]&gt;=30000000,"High Spender",Table13[[#This Row],[Revenue]]&gt;=10000000,"Moderate Spender",TRUE,"Low Spender")</f>
        <v>Low Spender</v>
      </c>
      <c r="AF494" s="4" t="str" cm="1">
        <f t="array" ref="AF494">_xlfn.IFS(Table13[[#This Row],[Land_Size_SQM]]&gt;=730,"LARGE",Table13[[#This Row],[Land_Size_SQM]]&gt;=465,"MEDIUM",TRUE,"SMALL")</f>
        <v>MEDIUM</v>
      </c>
    </row>
    <row r="495" spans="1:32" x14ac:dyDescent="0.3">
      <c r="A495" t="s">
        <v>431</v>
      </c>
      <c r="B495" t="s">
        <v>568</v>
      </c>
      <c r="C495" t="s">
        <v>626</v>
      </c>
      <c r="D495">
        <v>64</v>
      </c>
      <c r="E495" t="s">
        <v>630</v>
      </c>
      <c r="F495">
        <v>552</v>
      </c>
      <c r="G495" s="4">
        <v>2517</v>
      </c>
      <c r="H495" s="4">
        <v>1389384</v>
      </c>
      <c r="I495" t="s">
        <v>659</v>
      </c>
      <c r="J495" t="s">
        <v>668</v>
      </c>
      <c r="K495" t="s">
        <v>651</v>
      </c>
      <c r="L495" t="s">
        <v>682</v>
      </c>
      <c r="M495" t="s">
        <v>684</v>
      </c>
      <c r="N495" t="s">
        <v>688</v>
      </c>
      <c r="O495" t="s">
        <v>694</v>
      </c>
      <c r="P495" s="4">
        <v>569770</v>
      </c>
      <c r="Q495">
        <v>6</v>
      </c>
      <c r="R495" s="7">
        <v>4.46</v>
      </c>
      <c r="S495" s="8">
        <f>Table13[[#This Row],[Discount_%]]/100</f>
        <v>4.4600000000000001E-2</v>
      </c>
      <c r="T495" s="6" t="s">
        <v>942</v>
      </c>
      <c r="U495" t="s">
        <v>990</v>
      </c>
      <c r="V495">
        <v>2024</v>
      </c>
      <c r="W495" t="s">
        <v>994</v>
      </c>
      <c r="X495" t="s">
        <v>999</v>
      </c>
      <c r="Y495" t="s">
        <v>1000</v>
      </c>
      <c r="Z495">
        <v>5</v>
      </c>
      <c r="AA495">
        <v>22</v>
      </c>
      <c r="AB495" s="4">
        <f>Table13[[#This Row],[Total_Price]]*(1-Table13[[#This Row],[Discount 2]])</f>
        <v>1327417.4736000001</v>
      </c>
      <c r="AC495" s="4" t="str" cm="1">
        <f t="array" ref="AC495">_xlfn.IFS(Table13[[#This Row],[Revenue]]&gt;=30000000,"High Value",Table13[[#This Row],[Revenue]]&gt;=10000000,"Moderate Value",TRUE,"Low Value")</f>
        <v>Low Value</v>
      </c>
      <c r="AD495" t="str">
        <f>IF(Table13[[#This Row],[Discount 2]]&gt;=5%, "YES", "NO")</f>
        <v>NO</v>
      </c>
      <c r="AE495" t="str" cm="1">
        <f t="array" ref="AE495">_xlfn.IFS(Table13[[#This Row],[Revenue]]&gt;=30000000,"High Spender",Table13[[#This Row],[Revenue]]&gt;=10000000,"Moderate Spender",TRUE,"Low Spender")</f>
        <v>Low Spender</v>
      </c>
      <c r="AF495" s="4" t="str" cm="1">
        <f t="array" ref="AF495">_xlfn.IFS(Table13[[#This Row],[Land_Size_SQM]]&gt;=730,"LARGE",Table13[[#This Row],[Land_Size_SQM]]&gt;=465,"MEDIUM",TRUE,"SMALL")</f>
        <v>MEDIUM</v>
      </c>
    </row>
    <row r="496" spans="1:32" x14ac:dyDescent="0.3">
      <c r="A496" t="s">
        <v>187</v>
      </c>
      <c r="B496" t="s">
        <v>600</v>
      </c>
      <c r="C496" t="s">
        <v>626</v>
      </c>
      <c r="D496">
        <v>25</v>
      </c>
      <c r="E496" t="s">
        <v>629</v>
      </c>
      <c r="F496">
        <v>295</v>
      </c>
      <c r="G496" s="4">
        <v>4877</v>
      </c>
      <c r="H496" s="4">
        <v>1438715</v>
      </c>
      <c r="I496" t="s">
        <v>641</v>
      </c>
      <c r="J496" t="s">
        <v>673</v>
      </c>
      <c r="K496" t="s">
        <v>677</v>
      </c>
      <c r="L496" t="s">
        <v>680</v>
      </c>
      <c r="M496" t="s">
        <v>686</v>
      </c>
      <c r="N496" t="s">
        <v>688</v>
      </c>
      <c r="O496" t="s">
        <v>693</v>
      </c>
      <c r="P496" s="4">
        <v>1438715</v>
      </c>
      <c r="Q496">
        <v>0</v>
      </c>
      <c r="R496" s="7">
        <v>8.9700000000000006</v>
      </c>
      <c r="S496" s="8">
        <f>Table13[[#This Row],[Discount_%]]/100</f>
        <v>8.9700000000000002E-2</v>
      </c>
      <c r="T496" s="6" t="s">
        <v>820</v>
      </c>
      <c r="U496" t="s">
        <v>986</v>
      </c>
      <c r="V496">
        <v>2024</v>
      </c>
      <c r="W496" t="s">
        <v>995</v>
      </c>
      <c r="X496" t="s">
        <v>999</v>
      </c>
      <c r="Y496" t="s">
        <v>1001</v>
      </c>
      <c r="Z496">
        <v>5</v>
      </c>
      <c r="AA496">
        <v>4</v>
      </c>
      <c r="AB496" s="4">
        <f>Table13[[#This Row],[Total_Price]]*(1-Table13[[#This Row],[Discount 2]])</f>
        <v>1309662.2645</v>
      </c>
      <c r="AC496" s="4" t="str" cm="1">
        <f t="array" ref="AC496">_xlfn.IFS(Table13[[#This Row],[Revenue]]&gt;=30000000,"High Value",Table13[[#This Row],[Revenue]]&gt;=10000000,"Moderate Value",TRUE,"Low Value")</f>
        <v>Low Value</v>
      </c>
      <c r="AD496" t="str">
        <f>IF(Table13[[#This Row],[Discount 2]]&gt;=5%, "YES", "NO")</f>
        <v>YES</v>
      </c>
      <c r="AE496" t="str" cm="1">
        <f t="array" ref="AE496">_xlfn.IFS(Table13[[#This Row],[Revenue]]&gt;=30000000,"High Spender",Table13[[#This Row],[Revenue]]&gt;=10000000,"Moderate Spender",TRUE,"Low Spender")</f>
        <v>Low Spender</v>
      </c>
      <c r="AF496" s="4" t="str" cm="1">
        <f t="array" ref="AF496">_xlfn.IFS(Table13[[#This Row],[Land_Size_SQM]]&gt;=730,"LARGE",Table13[[#This Row],[Land_Size_SQM]]&gt;=465,"MEDIUM",TRUE,"SMALL")</f>
        <v>SMALL</v>
      </c>
    </row>
    <row r="497" spans="1:32" x14ac:dyDescent="0.3">
      <c r="A497" t="s">
        <v>27</v>
      </c>
      <c r="B497" t="s">
        <v>527</v>
      </c>
      <c r="C497" t="s">
        <v>627</v>
      </c>
      <c r="D497">
        <v>41</v>
      </c>
      <c r="E497" t="s">
        <v>628</v>
      </c>
      <c r="F497">
        <v>484</v>
      </c>
      <c r="G497" s="4">
        <v>2425</v>
      </c>
      <c r="H497" s="4">
        <v>1173700</v>
      </c>
      <c r="I497" t="s">
        <v>632</v>
      </c>
      <c r="J497" t="s">
        <v>669</v>
      </c>
      <c r="K497" t="s">
        <v>674</v>
      </c>
      <c r="L497" t="s">
        <v>680</v>
      </c>
      <c r="M497" t="s">
        <v>684</v>
      </c>
      <c r="N497" t="s">
        <v>689</v>
      </c>
      <c r="O497" t="s">
        <v>693</v>
      </c>
      <c r="P497" s="4">
        <v>1173700</v>
      </c>
      <c r="Q497">
        <v>0</v>
      </c>
      <c r="R497" s="7">
        <v>6.98</v>
      </c>
      <c r="S497" s="8">
        <f>Table13[[#This Row],[Discount_%]]/100</f>
        <v>6.9800000000000001E-2</v>
      </c>
      <c r="T497" s="6" t="s">
        <v>696</v>
      </c>
      <c r="U497" t="s">
        <v>982</v>
      </c>
      <c r="V497">
        <v>2024</v>
      </c>
      <c r="W497" t="s">
        <v>994</v>
      </c>
      <c r="X497" t="s">
        <v>998</v>
      </c>
      <c r="Y497" t="s">
        <v>1001</v>
      </c>
      <c r="Z497">
        <v>3</v>
      </c>
      <c r="AA497">
        <v>3</v>
      </c>
      <c r="AB497" s="4">
        <f>Table13[[#This Row],[Total_Price]]*(1-Table13[[#This Row],[Discount 2]])</f>
        <v>1091775.74</v>
      </c>
      <c r="AC497" s="4" t="str" cm="1">
        <f t="array" ref="AC497">_xlfn.IFS(Table13[[#This Row],[Revenue]]&gt;=30000000,"High Value",Table13[[#This Row],[Revenue]]&gt;=10000000,"Moderate Value",TRUE,"Low Value")</f>
        <v>Low Value</v>
      </c>
      <c r="AD497" t="str">
        <f>IF(Table13[[#This Row],[Discount 2]]&gt;=5%, "YES", "NO")</f>
        <v>YES</v>
      </c>
      <c r="AE497" t="str" cm="1">
        <f t="array" ref="AE497">_xlfn.IFS(Table13[[#This Row],[Revenue]]&gt;=30000000,"High Spender",Table13[[#This Row],[Revenue]]&gt;=10000000,"Moderate Spender",TRUE,"Low Spender")</f>
        <v>Low Spender</v>
      </c>
      <c r="AF497" s="4" t="str" cm="1">
        <f t="array" ref="AF497">_xlfn.IFS(Table13[[#This Row],[Land_Size_SQM]]&gt;=730,"LARGE",Table13[[#This Row],[Land_Size_SQM]]&gt;=465,"MEDIUM",TRUE,"SMALL")</f>
        <v>MEDIUM</v>
      </c>
    </row>
    <row r="498" spans="1:32" x14ac:dyDescent="0.3">
      <c r="A498" t="s">
        <v>134</v>
      </c>
      <c r="B498" t="s">
        <v>566</v>
      </c>
      <c r="C498" t="s">
        <v>627</v>
      </c>
      <c r="D498">
        <v>36</v>
      </c>
      <c r="E498" t="s">
        <v>629</v>
      </c>
      <c r="F498">
        <v>454</v>
      </c>
      <c r="G498" s="4">
        <v>2447</v>
      </c>
      <c r="H498" s="4">
        <v>1110938</v>
      </c>
      <c r="I498" t="s">
        <v>632</v>
      </c>
      <c r="J498" t="s">
        <v>669</v>
      </c>
      <c r="K498" t="s">
        <v>651</v>
      </c>
      <c r="L498" t="s">
        <v>681</v>
      </c>
      <c r="M498" t="s">
        <v>683</v>
      </c>
      <c r="N498" t="s">
        <v>689</v>
      </c>
      <c r="O498" t="s">
        <v>694</v>
      </c>
      <c r="P498" s="4">
        <v>300682</v>
      </c>
      <c r="Q498">
        <v>24</v>
      </c>
      <c r="R498" s="7">
        <v>7.54</v>
      </c>
      <c r="S498" s="8">
        <f>Table13[[#This Row],[Discount_%]]/100</f>
        <v>7.5399999999999995E-2</v>
      </c>
      <c r="T498" s="6" t="s">
        <v>785</v>
      </c>
      <c r="U498" t="s">
        <v>982</v>
      </c>
      <c r="V498">
        <v>2024</v>
      </c>
      <c r="W498" t="s">
        <v>993</v>
      </c>
      <c r="X498" t="s">
        <v>998</v>
      </c>
      <c r="Y498" t="s">
        <v>1002</v>
      </c>
      <c r="Z498">
        <v>2</v>
      </c>
      <c r="AA498">
        <v>26</v>
      </c>
      <c r="AB498" s="4">
        <f>Table13[[#This Row],[Total_Price]]*(1-Table13[[#This Row],[Discount 2]])</f>
        <v>1027173.2748</v>
      </c>
      <c r="AC498" s="4" t="str" cm="1">
        <f t="array" ref="AC498">_xlfn.IFS(Table13[[#This Row],[Revenue]]&gt;=30000000,"High Value",Table13[[#This Row],[Revenue]]&gt;=10000000,"Moderate Value",TRUE,"Low Value")</f>
        <v>Low Value</v>
      </c>
      <c r="AD498" t="str">
        <f>IF(Table13[[#This Row],[Discount 2]]&gt;=5%, "YES", "NO")</f>
        <v>YES</v>
      </c>
      <c r="AE498" t="str" cm="1">
        <f t="array" ref="AE498">_xlfn.IFS(Table13[[#This Row],[Revenue]]&gt;=30000000,"High Spender",Table13[[#This Row],[Revenue]]&gt;=10000000,"Moderate Spender",TRUE,"Low Spender")</f>
        <v>Low Spender</v>
      </c>
      <c r="AF498" s="4" t="str" cm="1">
        <f t="array" ref="AF498">_xlfn.IFS(Table13[[#This Row],[Land_Size_SQM]]&gt;=730,"LARGE",Table13[[#This Row],[Land_Size_SQM]]&gt;=465,"MEDIUM",TRUE,"SMALL")</f>
        <v>SMALL</v>
      </c>
    </row>
    <row r="499" spans="1:32" x14ac:dyDescent="0.3">
      <c r="A499" t="s">
        <v>460</v>
      </c>
      <c r="B499" t="s">
        <v>560</v>
      </c>
      <c r="C499" t="s">
        <v>626</v>
      </c>
      <c r="D499">
        <v>32</v>
      </c>
      <c r="E499" t="s">
        <v>629</v>
      </c>
      <c r="F499">
        <v>388</v>
      </c>
      <c r="G499" s="4">
        <v>2440</v>
      </c>
      <c r="H499" s="4">
        <v>946720</v>
      </c>
      <c r="I499" t="s">
        <v>650</v>
      </c>
      <c r="J499" t="s">
        <v>670</v>
      </c>
      <c r="K499" t="s">
        <v>640</v>
      </c>
      <c r="L499" t="s">
        <v>682</v>
      </c>
      <c r="M499" t="s">
        <v>687</v>
      </c>
      <c r="N499" t="s">
        <v>689</v>
      </c>
      <c r="O499" t="s">
        <v>694</v>
      </c>
      <c r="P499" s="4">
        <v>210285</v>
      </c>
      <c r="Q499">
        <v>3</v>
      </c>
      <c r="R499" s="7">
        <v>0.3</v>
      </c>
      <c r="S499" s="8">
        <f>Table13[[#This Row],[Discount_%]]/100</f>
        <v>3.0000000000000001E-3</v>
      </c>
      <c r="T499" s="6" t="s">
        <v>758</v>
      </c>
      <c r="U499" t="s">
        <v>981</v>
      </c>
      <c r="V499">
        <v>2024</v>
      </c>
      <c r="W499" t="s">
        <v>993</v>
      </c>
      <c r="X499" t="s">
        <v>999</v>
      </c>
      <c r="Y499" t="s">
        <v>1000</v>
      </c>
      <c r="Z499">
        <v>3</v>
      </c>
      <c r="AA499">
        <v>12</v>
      </c>
      <c r="AB499" s="4">
        <f>Table13[[#This Row],[Total_Price]]*(1-Table13[[#This Row],[Discount 2]])</f>
        <v>943879.84</v>
      </c>
      <c r="AC499" s="4" t="str" cm="1">
        <f t="array" ref="AC499">_xlfn.IFS(Table13[[#This Row],[Revenue]]&gt;=30000000,"High Value",Table13[[#This Row],[Revenue]]&gt;=10000000,"Moderate Value",TRUE,"Low Value")</f>
        <v>Low Value</v>
      </c>
      <c r="AD499" t="str">
        <f>IF(Table13[[#This Row],[Discount 2]]&gt;=5%, "YES", "NO")</f>
        <v>NO</v>
      </c>
      <c r="AE499" t="str" cm="1">
        <f t="array" ref="AE499">_xlfn.IFS(Table13[[#This Row],[Revenue]]&gt;=30000000,"High Spender",Table13[[#This Row],[Revenue]]&gt;=10000000,"Moderate Spender",TRUE,"Low Spender")</f>
        <v>Low Spender</v>
      </c>
      <c r="AF499" s="4" t="str" cm="1">
        <f t="array" ref="AF499">_xlfn.IFS(Table13[[#This Row],[Land_Size_SQM]]&gt;=730,"LARGE",Table13[[#This Row],[Land_Size_SQM]]&gt;=465,"MEDIUM",TRUE,"SMALL")</f>
        <v>SMALL</v>
      </c>
    </row>
    <row r="500" spans="1:32" x14ac:dyDescent="0.3">
      <c r="A500" t="s">
        <v>63</v>
      </c>
      <c r="B500" t="s">
        <v>551</v>
      </c>
      <c r="C500" t="s">
        <v>627</v>
      </c>
      <c r="D500">
        <v>24</v>
      </c>
      <c r="E500" t="s">
        <v>630</v>
      </c>
      <c r="F500">
        <v>305</v>
      </c>
      <c r="G500" s="4">
        <v>2803</v>
      </c>
      <c r="H500" s="4">
        <v>854915</v>
      </c>
      <c r="I500" t="s">
        <v>653</v>
      </c>
      <c r="J500" t="s">
        <v>668</v>
      </c>
      <c r="K500" t="s">
        <v>678</v>
      </c>
      <c r="L500" t="s">
        <v>681</v>
      </c>
      <c r="M500" t="s">
        <v>685</v>
      </c>
      <c r="N500" t="s">
        <v>692</v>
      </c>
      <c r="O500" t="s">
        <v>694</v>
      </c>
      <c r="P500" s="4">
        <v>293761</v>
      </c>
      <c r="Q500">
        <v>24</v>
      </c>
      <c r="R500" s="7">
        <v>3.41</v>
      </c>
      <c r="S500" s="8">
        <f>Table13[[#This Row],[Discount_%]]/100</f>
        <v>3.4099999999999998E-2</v>
      </c>
      <c r="T500" s="6" t="s">
        <v>730</v>
      </c>
      <c r="U500" t="s">
        <v>988</v>
      </c>
      <c r="V500">
        <v>2024</v>
      </c>
      <c r="W500" t="s">
        <v>993</v>
      </c>
      <c r="X500" t="s">
        <v>999</v>
      </c>
      <c r="Y500" t="s">
        <v>1000</v>
      </c>
      <c r="Z500">
        <v>5</v>
      </c>
      <c r="AA500">
        <v>20</v>
      </c>
      <c r="AB500" s="4">
        <f>Table13[[#This Row],[Total_Price]]*(1-Table13[[#This Row],[Discount 2]])</f>
        <v>825762.39850000001</v>
      </c>
      <c r="AC500" s="4" t="str" cm="1">
        <f t="array" ref="AC500">_xlfn.IFS(Table13[[#This Row],[Revenue]]&gt;=30000000,"High Value",Table13[[#This Row],[Revenue]]&gt;=10000000,"Moderate Value",TRUE,"Low Value")</f>
        <v>Low Value</v>
      </c>
      <c r="AD500" t="str">
        <f>IF(Table13[[#This Row],[Discount 2]]&gt;=5%, "YES", "NO")</f>
        <v>NO</v>
      </c>
      <c r="AE500" t="str" cm="1">
        <f t="array" ref="AE500">_xlfn.IFS(Table13[[#This Row],[Revenue]]&gt;=30000000,"High Spender",Table13[[#This Row],[Revenue]]&gt;=10000000,"Moderate Spender",TRUE,"Low Spender")</f>
        <v>Low Spender</v>
      </c>
      <c r="AF500" s="4" t="str" cm="1">
        <f t="array" ref="AF500">_xlfn.IFS(Table13[[#This Row],[Land_Size_SQM]]&gt;=730,"LARGE",Table13[[#This Row],[Land_Size_SQM]]&gt;=465,"MEDIUM",TRUE,"SMALL")</f>
        <v>SMALL</v>
      </c>
    </row>
    <row r="501" spans="1:32" x14ac:dyDescent="0.3">
      <c r="A501" t="s">
        <v>370</v>
      </c>
      <c r="B501" t="s">
        <v>543</v>
      </c>
      <c r="C501" t="s">
        <v>626</v>
      </c>
      <c r="D501">
        <v>41</v>
      </c>
      <c r="E501" t="s">
        <v>629</v>
      </c>
      <c r="F501">
        <v>359</v>
      </c>
      <c r="G501" s="4">
        <v>2281</v>
      </c>
      <c r="H501" s="4">
        <v>818879</v>
      </c>
      <c r="I501" t="s">
        <v>632</v>
      </c>
      <c r="J501" t="s">
        <v>669</v>
      </c>
      <c r="K501" t="s">
        <v>651</v>
      </c>
      <c r="L501" t="s">
        <v>680</v>
      </c>
      <c r="M501" t="s">
        <v>684</v>
      </c>
      <c r="N501" t="s">
        <v>689</v>
      </c>
      <c r="O501" t="s">
        <v>694</v>
      </c>
      <c r="P501" s="4">
        <v>280198</v>
      </c>
      <c r="Q501">
        <v>12</v>
      </c>
      <c r="R501" s="7">
        <v>2.9</v>
      </c>
      <c r="S501" s="8">
        <f>Table13[[#This Row],[Discount_%]]/100</f>
        <v>2.8999999999999998E-2</v>
      </c>
      <c r="T501" s="6" t="s">
        <v>901</v>
      </c>
      <c r="U501" t="s">
        <v>985</v>
      </c>
      <c r="V501">
        <v>2024</v>
      </c>
      <c r="W501" t="s">
        <v>996</v>
      </c>
      <c r="X501" t="s">
        <v>997</v>
      </c>
      <c r="Y501" t="s">
        <v>1001</v>
      </c>
      <c r="Z501">
        <v>1</v>
      </c>
      <c r="AA501">
        <v>20</v>
      </c>
      <c r="AB501" s="4">
        <f>Table13[[#This Row],[Total_Price]]*(1-Table13[[#This Row],[Discount 2]])</f>
        <v>795131.50899999996</v>
      </c>
      <c r="AC501" s="4" t="str" cm="1">
        <f t="array" ref="AC501">_xlfn.IFS(Table13[[#This Row],[Revenue]]&gt;=30000000,"High Value",Table13[[#This Row],[Revenue]]&gt;=10000000,"Moderate Value",TRUE,"Low Value")</f>
        <v>Low Value</v>
      </c>
      <c r="AD501" t="str">
        <f>IF(Table13[[#This Row],[Discount 2]]&gt;=5%, "YES", "NO")</f>
        <v>NO</v>
      </c>
      <c r="AE501" t="str" cm="1">
        <f t="array" ref="AE501">_xlfn.IFS(Table13[[#This Row],[Revenue]]&gt;=30000000,"High Spender",Table13[[#This Row],[Revenue]]&gt;=10000000,"Moderate Spender",TRUE,"Low Spender")</f>
        <v>Low Spender</v>
      </c>
      <c r="AF501" s="4" t="str" cm="1">
        <f t="array" ref="AF501">_xlfn.IFS(Table13[[#This Row],[Land_Size_SQM]]&gt;=730,"LARGE",Table13[[#This Row],[Land_Size_SQM]]&gt;=465,"MEDIUM",TRUE,"SMALL")</f>
        <v>SMALL</v>
      </c>
    </row>
  </sheetData>
  <mergeCells count="1">
    <mergeCell ref="AK8:AN9"/>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DD8B0-FFDE-4E19-9494-D1760450BE6C}">
  <sheetPr codeName="Sheet3"/>
  <dimension ref="C2:Y241"/>
  <sheetViews>
    <sheetView topLeftCell="B164" workbookViewId="0">
      <selection activeCell="F185" sqref="F185"/>
    </sheetView>
  </sheetViews>
  <sheetFormatPr defaultRowHeight="14.4" x14ac:dyDescent="0.3"/>
  <cols>
    <col min="3" max="3" width="21.6640625" bestFit="1" customWidth="1"/>
    <col min="4" max="4" width="26.33203125" bestFit="1" customWidth="1"/>
    <col min="5" max="5" width="24.44140625" bestFit="1" customWidth="1"/>
    <col min="6" max="6" width="21.109375" bestFit="1" customWidth="1"/>
    <col min="7" max="7" width="23.109375" bestFit="1" customWidth="1"/>
    <col min="8" max="8" width="23.44140625" bestFit="1" customWidth="1"/>
    <col min="9" max="9" width="21.6640625" bestFit="1" customWidth="1"/>
    <col min="10" max="10" width="21.109375" bestFit="1" customWidth="1"/>
    <col min="11" max="11" width="24.109375" bestFit="1" customWidth="1"/>
    <col min="12" max="12" width="20.77734375" bestFit="1" customWidth="1"/>
    <col min="13" max="13" width="15.21875" bestFit="1" customWidth="1"/>
    <col min="14" max="14" width="25.6640625" bestFit="1" customWidth="1"/>
    <col min="15" max="15" width="19" bestFit="1" customWidth="1"/>
    <col min="16" max="17" width="13.77734375" bestFit="1" customWidth="1"/>
    <col min="18" max="18" width="21.6640625" bestFit="1" customWidth="1"/>
    <col min="19" max="19" width="14.21875" bestFit="1" customWidth="1"/>
    <col min="20" max="20" width="26.44140625" bestFit="1" customWidth="1"/>
    <col min="21" max="21" width="15.21875" bestFit="1" customWidth="1"/>
    <col min="22" max="23" width="14.21875" bestFit="1" customWidth="1"/>
    <col min="24" max="24" width="12.109375" bestFit="1" customWidth="1"/>
    <col min="25" max="25" width="16.44140625" bestFit="1" customWidth="1"/>
    <col min="26" max="26" width="26.5546875" bestFit="1" customWidth="1"/>
    <col min="27" max="219" width="6" bestFit="1" customWidth="1"/>
    <col min="220" max="220" width="14.88671875" bestFit="1" customWidth="1"/>
    <col min="221" max="221" width="9.6640625" bestFit="1" customWidth="1"/>
    <col min="222" max="452" width="6" bestFit="1" customWidth="1"/>
    <col min="453" max="453" width="12.33203125" bestFit="1" customWidth="1"/>
    <col min="454" max="454" width="10.5546875" bestFit="1" customWidth="1"/>
  </cols>
  <sheetData>
    <row r="2" spans="3:11" x14ac:dyDescent="0.3">
      <c r="D2" s="20" t="s">
        <v>1062</v>
      </c>
      <c r="E2" s="20"/>
      <c r="F2" s="20"/>
    </row>
    <row r="3" spans="3:11" x14ac:dyDescent="0.3">
      <c r="D3" s="20"/>
      <c r="E3" s="20"/>
      <c r="F3" s="20"/>
    </row>
    <row r="6" spans="3:11" x14ac:dyDescent="0.3">
      <c r="C6" s="9" t="s">
        <v>9</v>
      </c>
      <c r="D6" t="s">
        <v>1008</v>
      </c>
      <c r="F6" s="9" t="s">
        <v>1024</v>
      </c>
      <c r="G6" t="s">
        <v>1008</v>
      </c>
      <c r="I6" s="9" t="s">
        <v>1063</v>
      </c>
      <c r="J6" t="s">
        <v>1008</v>
      </c>
      <c r="K6" t="s">
        <v>1006</v>
      </c>
    </row>
    <row r="7" spans="3:11" x14ac:dyDescent="0.3">
      <c r="C7" s="10" t="s">
        <v>670</v>
      </c>
      <c r="D7">
        <v>80</v>
      </c>
      <c r="F7" s="10" t="s">
        <v>630</v>
      </c>
      <c r="G7">
        <v>173</v>
      </c>
      <c r="I7" s="10" t="s">
        <v>997</v>
      </c>
      <c r="J7">
        <v>160</v>
      </c>
      <c r="K7" s="4">
        <v>2389457939.595798</v>
      </c>
    </row>
    <row r="8" spans="3:11" x14ac:dyDescent="0.3">
      <c r="C8" s="10" t="s">
        <v>668</v>
      </c>
      <c r="D8">
        <v>98</v>
      </c>
      <c r="F8" s="10" t="s">
        <v>629</v>
      </c>
      <c r="G8">
        <v>164</v>
      </c>
      <c r="I8" s="10" t="s">
        <v>998</v>
      </c>
      <c r="J8">
        <v>168</v>
      </c>
      <c r="K8" s="12">
        <v>2780486684.3868003</v>
      </c>
    </row>
    <row r="9" spans="3:11" x14ac:dyDescent="0.3">
      <c r="C9" s="10" t="s">
        <v>672</v>
      </c>
      <c r="D9">
        <v>72</v>
      </c>
      <c r="F9" s="10" t="s">
        <v>628</v>
      </c>
      <c r="G9">
        <v>163</v>
      </c>
      <c r="I9" s="10" t="s">
        <v>999</v>
      </c>
      <c r="J9">
        <v>172</v>
      </c>
      <c r="K9" s="4">
        <v>2568342931.8205023</v>
      </c>
    </row>
    <row r="10" spans="3:11" x14ac:dyDescent="0.3">
      <c r="C10" s="10" t="s">
        <v>669</v>
      </c>
      <c r="D10">
        <v>95</v>
      </c>
      <c r="F10" s="10" t="s">
        <v>1005</v>
      </c>
      <c r="G10">
        <v>500</v>
      </c>
      <c r="I10" s="10" t="s">
        <v>1005</v>
      </c>
      <c r="J10">
        <v>500</v>
      </c>
      <c r="K10" s="4">
        <v>7738287555.8030996</v>
      </c>
    </row>
    <row r="11" spans="3:11" x14ac:dyDescent="0.3">
      <c r="C11" s="10" t="s">
        <v>671</v>
      </c>
      <c r="D11">
        <v>70</v>
      </c>
    </row>
    <row r="12" spans="3:11" x14ac:dyDescent="0.3">
      <c r="C12" s="10" t="s">
        <v>673</v>
      </c>
      <c r="D12">
        <v>85</v>
      </c>
    </row>
    <row r="13" spans="3:11" x14ac:dyDescent="0.3">
      <c r="C13" s="10" t="s">
        <v>1005</v>
      </c>
      <c r="D13">
        <v>500</v>
      </c>
      <c r="F13" s="9" t="s">
        <v>1064</v>
      </c>
      <c r="G13" t="s">
        <v>1008</v>
      </c>
      <c r="I13" s="9" t="s">
        <v>1007</v>
      </c>
      <c r="J13" t="s">
        <v>1008</v>
      </c>
    </row>
    <row r="14" spans="3:11" x14ac:dyDescent="0.3">
      <c r="C14" s="10"/>
      <c r="F14" s="10" t="s">
        <v>694</v>
      </c>
      <c r="G14">
        <v>246</v>
      </c>
      <c r="I14" s="10" t="s">
        <v>684</v>
      </c>
      <c r="J14">
        <v>93</v>
      </c>
    </row>
    <row r="15" spans="3:11" x14ac:dyDescent="0.3">
      <c r="E15" s="5"/>
      <c r="F15" s="10" t="s">
        <v>693</v>
      </c>
      <c r="G15">
        <v>254</v>
      </c>
      <c r="I15" s="10" t="s">
        <v>683</v>
      </c>
      <c r="J15">
        <v>113</v>
      </c>
    </row>
    <row r="16" spans="3:11" x14ac:dyDescent="0.3">
      <c r="F16" s="10" t="s">
        <v>1005</v>
      </c>
      <c r="G16">
        <v>500</v>
      </c>
      <c r="I16" s="10" t="s">
        <v>686</v>
      </c>
      <c r="J16">
        <v>114</v>
      </c>
    </row>
    <row r="17" spans="3:25" x14ac:dyDescent="0.3">
      <c r="I17" s="10" t="s">
        <v>685</v>
      </c>
      <c r="J17">
        <v>93</v>
      </c>
    </row>
    <row r="18" spans="3:25" x14ac:dyDescent="0.3">
      <c r="I18" s="10" t="s">
        <v>687</v>
      </c>
      <c r="J18">
        <v>87</v>
      </c>
    </row>
    <row r="19" spans="3:25" x14ac:dyDescent="0.3">
      <c r="I19" s="10" t="s">
        <v>1005</v>
      </c>
      <c r="J19">
        <v>500</v>
      </c>
    </row>
    <row r="22" spans="3:25" ht="14.4" customHeight="1" x14ac:dyDescent="0.3">
      <c r="D22" s="21" t="s">
        <v>1016</v>
      </c>
      <c r="E22" s="21"/>
      <c r="F22" s="21"/>
    </row>
    <row r="23" spans="3:25" ht="14.4" customHeight="1" x14ac:dyDescent="0.3">
      <c r="D23" s="21"/>
      <c r="E23" s="21"/>
      <c r="F23" s="21"/>
    </row>
    <row r="26" spans="3:25" x14ac:dyDescent="0.3">
      <c r="C26" s="9" t="s">
        <v>9</v>
      </c>
      <c r="D26" t="s">
        <v>1006</v>
      </c>
      <c r="E26" t="s">
        <v>1017</v>
      </c>
      <c r="G26" s="9" t="s">
        <v>1007</v>
      </c>
      <c r="H26" t="s">
        <v>1006</v>
      </c>
      <c r="J26" s="9" t="s">
        <v>1009</v>
      </c>
      <c r="K26" t="s">
        <v>1006</v>
      </c>
      <c r="M26" s="9" t="s">
        <v>9</v>
      </c>
      <c r="N26" t="s">
        <v>1032</v>
      </c>
    </row>
    <row r="27" spans="3:25" x14ac:dyDescent="0.3">
      <c r="C27" s="10" t="s">
        <v>670</v>
      </c>
      <c r="D27" s="4">
        <v>1115523010.0222998</v>
      </c>
      <c r="E27" s="4">
        <v>13944037.625278747</v>
      </c>
      <c r="G27" s="10" t="s">
        <v>684</v>
      </c>
      <c r="H27" s="4">
        <v>1505968892.1227002</v>
      </c>
      <c r="J27" s="10" t="s">
        <v>694</v>
      </c>
      <c r="K27" s="4">
        <v>4079127415.2707019</v>
      </c>
      <c r="M27" s="10" t="s">
        <v>670</v>
      </c>
      <c r="N27">
        <v>513</v>
      </c>
    </row>
    <row r="28" spans="3:25" x14ac:dyDescent="0.3">
      <c r="C28" s="10" t="s">
        <v>668</v>
      </c>
      <c r="D28" s="12">
        <v>1479820169.2875998</v>
      </c>
      <c r="E28" s="4">
        <v>15100205.809057141</v>
      </c>
      <c r="G28" s="10" t="s">
        <v>683</v>
      </c>
      <c r="H28" s="4">
        <v>1713381892.2533991</v>
      </c>
      <c r="J28" s="10" t="s">
        <v>693</v>
      </c>
      <c r="K28" s="4">
        <v>3659160140.5324006</v>
      </c>
      <c r="M28" s="10" t="s">
        <v>668</v>
      </c>
      <c r="N28">
        <v>477</v>
      </c>
    </row>
    <row r="29" spans="3:25" x14ac:dyDescent="0.3">
      <c r="C29" s="10" t="s">
        <v>672</v>
      </c>
      <c r="D29" s="4">
        <v>1139692481.9801002</v>
      </c>
      <c r="E29" s="4">
        <v>15829062.249723613</v>
      </c>
      <c r="G29" s="10" t="s">
        <v>686</v>
      </c>
      <c r="H29" s="12">
        <v>1757314263.4545994</v>
      </c>
      <c r="J29" s="10" t="s">
        <v>1005</v>
      </c>
      <c r="K29" s="4">
        <v>7738287555.8031025</v>
      </c>
      <c r="M29" s="10" t="s">
        <v>672</v>
      </c>
      <c r="N29">
        <v>402</v>
      </c>
    </row>
    <row r="30" spans="3:25" x14ac:dyDescent="0.3">
      <c r="C30" s="10" t="s">
        <v>669</v>
      </c>
      <c r="D30" s="4">
        <v>1373669679.2710001</v>
      </c>
      <c r="E30" s="4">
        <v>14459680.834431581</v>
      </c>
      <c r="G30" s="10" t="s">
        <v>685</v>
      </c>
      <c r="H30" s="4">
        <v>1443490610.8831005</v>
      </c>
      <c r="M30" s="10" t="s">
        <v>669</v>
      </c>
      <c r="N30">
        <v>564</v>
      </c>
      <c r="U30" s="9" t="s">
        <v>9</v>
      </c>
      <c r="V30" t="s">
        <v>1006</v>
      </c>
      <c r="X30" s="9" t="s">
        <v>9</v>
      </c>
      <c r="Y30" t="s">
        <v>1026</v>
      </c>
    </row>
    <row r="31" spans="3:25" x14ac:dyDescent="0.3">
      <c r="C31" s="10" t="s">
        <v>671</v>
      </c>
      <c r="D31" s="4">
        <v>1285403700.8934</v>
      </c>
      <c r="E31" s="12">
        <v>18362910.012762856</v>
      </c>
      <c r="G31" s="10" t="s">
        <v>687</v>
      </c>
      <c r="H31" s="4">
        <v>1318131897.0893002</v>
      </c>
      <c r="M31" s="10" t="s">
        <v>671</v>
      </c>
      <c r="N31">
        <v>342</v>
      </c>
      <c r="O31" s="4"/>
      <c r="U31" s="10" t="s">
        <v>670</v>
      </c>
      <c r="V31" s="4">
        <v>1115523010.0222998</v>
      </c>
      <c r="X31" s="10" t="s">
        <v>670</v>
      </c>
      <c r="Y31" s="4">
        <v>1166191330</v>
      </c>
    </row>
    <row r="32" spans="3:25" x14ac:dyDescent="0.3">
      <c r="C32" s="10" t="s">
        <v>673</v>
      </c>
      <c r="D32" s="4">
        <v>1344178514.3487</v>
      </c>
      <c r="E32" s="4">
        <v>15813864.874690589</v>
      </c>
      <c r="G32" s="10" t="s">
        <v>1005</v>
      </c>
      <c r="H32" s="4">
        <v>7738287555.8030996</v>
      </c>
      <c r="M32" s="10" t="s">
        <v>673</v>
      </c>
      <c r="N32">
        <v>489</v>
      </c>
      <c r="U32" s="10" t="s">
        <v>668</v>
      </c>
      <c r="V32" s="12">
        <v>1479820169.2875998</v>
      </c>
      <c r="X32" s="10" t="s">
        <v>668</v>
      </c>
      <c r="Y32" s="4">
        <v>1558311472</v>
      </c>
    </row>
    <row r="33" spans="3:25" x14ac:dyDescent="0.3">
      <c r="C33" s="10" t="s">
        <v>1005</v>
      </c>
      <c r="D33" s="4">
        <v>7738287555.8031006</v>
      </c>
      <c r="E33" s="4">
        <v>15476575.111606201</v>
      </c>
      <c r="H33" s="4">
        <f>GETPIVOTDATA("Revenue",$G$26)</f>
        <v>7738287555.8030996</v>
      </c>
      <c r="M33" s="10" t="s">
        <v>1005</v>
      </c>
      <c r="N33">
        <v>2787</v>
      </c>
      <c r="U33" s="10" t="s">
        <v>672</v>
      </c>
      <c r="V33" s="4">
        <v>1139692481.9801002</v>
      </c>
      <c r="X33" s="10" t="s">
        <v>672</v>
      </c>
      <c r="Y33" s="4">
        <v>1205683453</v>
      </c>
    </row>
    <row r="34" spans="3:25" x14ac:dyDescent="0.3">
      <c r="E34" s="4">
        <f>GETPIVOTDATA("Average of Revenue2",$C$26)</f>
        <v>15476575.111606201</v>
      </c>
      <c r="L34" s="4"/>
      <c r="U34" s="10" t="s">
        <v>669</v>
      </c>
      <c r="V34" s="4">
        <v>1373669679.2710001</v>
      </c>
      <c r="X34" s="10" t="s">
        <v>669</v>
      </c>
      <c r="Y34" s="4">
        <v>1441305614</v>
      </c>
    </row>
    <row r="35" spans="3:25" x14ac:dyDescent="0.3">
      <c r="U35" s="10" t="s">
        <v>671</v>
      </c>
      <c r="V35" s="4">
        <v>1285403700.8934</v>
      </c>
      <c r="X35" s="10" t="s">
        <v>671</v>
      </c>
      <c r="Y35" s="4">
        <v>1349984892</v>
      </c>
    </row>
    <row r="36" spans="3:25" x14ac:dyDescent="0.3">
      <c r="U36" s="10" t="s">
        <v>673</v>
      </c>
      <c r="V36" s="4">
        <v>1344178514.3487</v>
      </c>
      <c r="X36" s="10" t="s">
        <v>673</v>
      </c>
      <c r="Y36" s="4">
        <v>1416724481</v>
      </c>
    </row>
    <row r="37" spans="3:25" x14ac:dyDescent="0.3">
      <c r="C37" s="9" t="s">
        <v>9</v>
      </c>
      <c r="D37" t="s">
        <v>1010</v>
      </c>
      <c r="E37" t="s">
        <v>1011</v>
      </c>
      <c r="G37" s="9" t="s">
        <v>1009</v>
      </c>
      <c r="H37" t="s">
        <v>1008</v>
      </c>
      <c r="J37" s="9" t="s">
        <v>1022</v>
      </c>
      <c r="K37" t="s">
        <v>1006</v>
      </c>
      <c r="U37" s="10" t="s">
        <v>1005</v>
      </c>
      <c r="V37" s="4">
        <v>7738287555.8031006</v>
      </c>
      <c r="X37" s="10" t="s">
        <v>1005</v>
      </c>
      <c r="Y37" s="4">
        <v>8138201242</v>
      </c>
    </row>
    <row r="38" spans="3:25" x14ac:dyDescent="0.3">
      <c r="C38" s="10" t="s">
        <v>670</v>
      </c>
      <c r="D38">
        <v>45140</v>
      </c>
      <c r="E38" s="5">
        <v>564.25</v>
      </c>
      <c r="G38" s="10" t="s">
        <v>694</v>
      </c>
      <c r="H38">
        <v>246</v>
      </c>
      <c r="J38" s="10" t="s">
        <v>995</v>
      </c>
      <c r="K38" s="4">
        <v>1802804850.9130993</v>
      </c>
      <c r="W38" s="4"/>
    </row>
    <row r="39" spans="3:25" x14ac:dyDescent="0.3">
      <c r="C39" s="10" t="s">
        <v>668</v>
      </c>
      <c r="D39">
        <v>60762</v>
      </c>
      <c r="E39" s="5">
        <v>620.0204081632653</v>
      </c>
      <c r="G39" s="10" t="s">
        <v>693</v>
      </c>
      <c r="H39">
        <v>254</v>
      </c>
      <c r="J39" s="10" t="s">
        <v>994</v>
      </c>
      <c r="K39" s="4">
        <v>1649586282.3227997</v>
      </c>
    </row>
    <row r="40" spans="3:25" x14ac:dyDescent="0.3">
      <c r="C40" s="10" t="s">
        <v>672</v>
      </c>
      <c r="D40">
        <v>43537</v>
      </c>
      <c r="E40" s="5">
        <v>604.68055555555554</v>
      </c>
      <c r="G40" s="10" t="s">
        <v>1005</v>
      </c>
      <c r="H40">
        <v>500</v>
      </c>
      <c r="J40" s="10" t="s">
        <v>993</v>
      </c>
      <c r="K40" s="4">
        <v>1966479782.7241993</v>
      </c>
      <c r="U40" s="9" t="s">
        <v>1014</v>
      </c>
      <c r="V40" t="s">
        <v>1006</v>
      </c>
    </row>
    <row r="41" spans="3:25" x14ac:dyDescent="0.3">
      <c r="C41" s="10" t="s">
        <v>669</v>
      </c>
      <c r="D41">
        <v>58606</v>
      </c>
      <c r="E41" s="5">
        <v>616.90526315789475</v>
      </c>
      <c r="H41">
        <f>GETPIVOTDATA("Transaction_ID",$G$37)</f>
        <v>500</v>
      </c>
      <c r="J41" s="10" t="s">
        <v>996</v>
      </c>
      <c r="K41" s="12">
        <v>2319416639.8430004</v>
      </c>
      <c r="U41" s="10" t="s">
        <v>630</v>
      </c>
      <c r="V41" s="12">
        <v>2667382613.0330009</v>
      </c>
    </row>
    <row r="42" spans="3:25" x14ac:dyDescent="0.3">
      <c r="C42" s="10" t="s">
        <v>671</v>
      </c>
      <c r="D42">
        <v>42167</v>
      </c>
      <c r="E42" s="5">
        <v>602.38571428571424</v>
      </c>
      <c r="J42" s="10" t="s">
        <v>1005</v>
      </c>
      <c r="K42" s="4">
        <v>7738287555.8030987</v>
      </c>
      <c r="U42" s="10" t="s">
        <v>629</v>
      </c>
      <c r="V42" s="4">
        <v>2508161112.158699</v>
      </c>
    </row>
    <row r="43" spans="3:25" x14ac:dyDescent="0.3">
      <c r="C43" s="10" t="s">
        <v>673</v>
      </c>
      <c r="D43">
        <v>51704</v>
      </c>
      <c r="E43" s="5">
        <v>608.28235294117644</v>
      </c>
      <c r="U43" s="10" t="s">
        <v>628</v>
      </c>
      <c r="V43" s="4">
        <v>2562743830.6114011</v>
      </c>
    </row>
    <row r="44" spans="3:25" x14ac:dyDescent="0.3">
      <c r="C44" s="10" t="s">
        <v>1005</v>
      </c>
      <c r="D44">
        <v>301916</v>
      </c>
      <c r="E44" s="5">
        <v>603.83199999999999</v>
      </c>
      <c r="U44" s="10" t="s">
        <v>1005</v>
      </c>
      <c r="V44" s="4">
        <v>7738287555.8031006</v>
      </c>
    </row>
    <row r="45" spans="3:25" x14ac:dyDescent="0.3">
      <c r="E45" s="5">
        <f>GETPIVOTDATA("Average of Land_Size_SQM2",$C$37)</f>
        <v>603.83199999999999</v>
      </c>
    </row>
    <row r="47" spans="3:25" x14ac:dyDescent="0.3">
      <c r="J47" s="9" t="s">
        <v>1014</v>
      </c>
      <c r="K47" t="s">
        <v>1013</v>
      </c>
      <c r="L47" t="s">
        <v>1006</v>
      </c>
    </row>
    <row r="48" spans="3:25" x14ac:dyDescent="0.3">
      <c r="C48" s="9" t="s">
        <v>1014</v>
      </c>
      <c r="D48" t="s">
        <v>1012</v>
      </c>
      <c r="E48" t="s">
        <v>1013</v>
      </c>
      <c r="G48" s="9" t="s">
        <v>1007</v>
      </c>
      <c r="H48" t="s">
        <v>1015</v>
      </c>
      <c r="J48" s="10" t="s">
        <v>630</v>
      </c>
      <c r="K48" s="4">
        <v>26637.942196531792</v>
      </c>
      <c r="L48" s="12">
        <v>2667382613.0330009</v>
      </c>
    </row>
    <row r="49" spans="3:24" x14ac:dyDescent="0.3">
      <c r="C49" s="10" t="s">
        <v>630</v>
      </c>
      <c r="D49" s="4">
        <v>4608364</v>
      </c>
      <c r="E49" s="4">
        <v>26637.942196531792</v>
      </c>
      <c r="G49" s="10" t="s">
        <v>684</v>
      </c>
      <c r="H49" s="4">
        <v>1013828250</v>
      </c>
      <c r="J49" s="10" t="s">
        <v>629</v>
      </c>
      <c r="K49" s="4">
        <v>27178.353658536584</v>
      </c>
      <c r="L49" s="4">
        <v>2508161112.158699</v>
      </c>
    </row>
    <row r="50" spans="3:24" x14ac:dyDescent="0.3">
      <c r="C50" s="10" t="s">
        <v>629</v>
      </c>
      <c r="D50" s="4">
        <v>4457250</v>
      </c>
      <c r="E50" s="4">
        <v>27178.353658536584</v>
      </c>
      <c r="G50" s="10" t="s">
        <v>683</v>
      </c>
      <c r="H50" s="12">
        <v>1230113895</v>
      </c>
      <c r="J50" s="10" t="s">
        <v>628</v>
      </c>
      <c r="K50" s="4">
        <v>26967.656441717791</v>
      </c>
      <c r="L50" s="4">
        <v>2562743830.6114011</v>
      </c>
    </row>
    <row r="51" spans="3:24" x14ac:dyDescent="0.3">
      <c r="C51" s="10" t="s">
        <v>628</v>
      </c>
      <c r="D51" s="4">
        <v>4395728</v>
      </c>
      <c r="E51" s="4">
        <v>26967.656441717791</v>
      </c>
      <c r="G51" s="10" t="s">
        <v>686</v>
      </c>
      <c r="H51" s="4">
        <v>1145531742</v>
      </c>
      <c r="J51" s="10" t="s">
        <v>1005</v>
      </c>
      <c r="K51" s="4">
        <v>26922.684000000001</v>
      </c>
      <c r="L51" s="4">
        <v>7738287555.8031015</v>
      </c>
    </row>
    <row r="52" spans="3:24" x14ac:dyDescent="0.3">
      <c r="C52" s="10" t="s">
        <v>1005</v>
      </c>
      <c r="D52" s="4">
        <v>13461342</v>
      </c>
      <c r="E52" s="4">
        <v>26922.684000000001</v>
      </c>
      <c r="G52" s="10" t="s">
        <v>685</v>
      </c>
      <c r="H52" s="4">
        <v>892720457</v>
      </c>
    </row>
    <row r="53" spans="3:24" x14ac:dyDescent="0.3">
      <c r="E53" s="4">
        <f>GETPIVOTDATA("Average of Price_per_SQM2",$C$48)</f>
        <v>26922.684000000001</v>
      </c>
      <c r="G53" s="10" t="s">
        <v>687</v>
      </c>
      <c r="H53" s="4">
        <v>1022999733</v>
      </c>
      <c r="X53" s="4"/>
    </row>
    <row r="54" spans="3:24" x14ac:dyDescent="0.3">
      <c r="G54" s="10" t="s">
        <v>1005</v>
      </c>
      <c r="H54" s="4">
        <v>5305194077</v>
      </c>
    </row>
    <row r="59" spans="3:24" x14ac:dyDescent="0.3">
      <c r="C59" s="9" t="s">
        <v>1020</v>
      </c>
      <c r="D59" s="9" t="s">
        <v>1021</v>
      </c>
    </row>
    <row r="60" spans="3:24" x14ac:dyDescent="0.3">
      <c r="C60" s="9" t="s">
        <v>1014</v>
      </c>
      <c r="D60" t="s">
        <v>997</v>
      </c>
      <c r="E60" t="s">
        <v>998</v>
      </c>
      <c r="F60" t="s">
        <v>999</v>
      </c>
      <c r="G60" t="s">
        <v>1005</v>
      </c>
    </row>
    <row r="61" spans="3:24" x14ac:dyDescent="0.3">
      <c r="C61" s="10" t="s">
        <v>630</v>
      </c>
      <c r="D61">
        <v>51</v>
      </c>
      <c r="E61">
        <v>60</v>
      </c>
      <c r="F61">
        <v>62</v>
      </c>
      <c r="G61">
        <v>173</v>
      </c>
    </row>
    <row r="62" spans="3:24" x14ac:dyDescent="0.3">
      <c r="C62" s="10" t="s">
        <v>629</v>
      </c>
      <c r="D62">
        <v>57</v>
      </c>
      <c r="E62">
        <v>55</v>
      </c>
      <c r="F62">
        <v>52</v>
      </c>
      <c r="G62">
        <v>164</v>
      </c>
    </row>
    <row r="63" spans="3:24" x14ac:dyDescent="0.3">
      <c r="C63" s="10" t="s">
        <v>628</v>
      </c>
      <c r="D63">
        <v>52</v>
      </c>
      <c r="E63">
        <v>53</v>
      </c>
      <c r="F63">
        <v>58</v>
      </c>
      <c r="G63">
        <v>163</v>
      </c>
    </row>
    <row r="64" spans="3:24" x14ac:dyDescent="0.3">
      <c r="C64" s="10" t="s">
        <v>1005</v>
      </c>
      <c r="D64">
        <v>160</v>
      </c>
      <c r="E64">
        <v>168</v>
      </c>
      <c r="F64">
        <v>172</v>
      </c>
      <c r="G64">
        <v>500</v>
      </c>
    </row>
    <row r="70" spans="3:15" x14ac:dyDescent="0.3">
      <c r="D70" s="21" t="s">
        <v>1023</v>
      </c>
      <c r="E70" s="21"/>
      <c r="F70" s="21"/>
      <c r="G70" s="21"/>
    </row>
    <row r="71" spans="3:15" x14ac:dyDescent="0.3">
      <c r="D71" s="21"/>
      <c r="E71" s="21"/>
      <c r="F71" s="21"/>
      <c r="G71" s="21"/>
    </row>
    <row r="74" spans="3:15" x14ac:dyDescent="0.3">
      <c r="C74" s="9" t="s">
        <v>1006</v>
      </c>
      <c r="D74" s="9" t="s">
        <v>1024</v>
      </c>
      <c r="I74" s="9" t="s">
        <v>1006</v>
      </c>
      <c r="J74" s="9" t="s">
        <v>1007</v>
      </c>
    </row>
    <row r="75" spans="3:15" x14ac:dyDescent="0.3">
      <c r="C75" s="9" t="s">
        <v>9</v>
      </c>
      <c r="D75" t="s">
        <v>630</v>
      </c>
      <c r="E75" t="s">
        <v>629</v>
      </c>
      <c r="F75" t="s">
        <v>628</v>
      </c>
      <c r="G75" t="s">
        <v>1005</v>
      </c>
      <c r="I75" s="9" t="s">
        <v>9</v>
      </c>
      <c r="J75" t="s">
        <v>684</v>
      </c>
      <c r="K75" t="s">
        <v>683</v>
      </c>
      <c r="L75" t="s">
        <v>686</v>
      </c>
      <c r="M75" t="s">
        <v>685</v>
      </c>
      <c r="N75" t="s">
        <v>687</v>
      </c>
      <c r="O75" t="s">
        <v>1005</v>
      </c>
    </row>
    <row r="76" spans="3:15" x14ac:dyDescent="0.3">
      <c r="C76" s="10" t="s">
        <v>670</v>
      </c>
      <c r="D76" s="4">
        <v>240681820.3867</v>
      </c>
      <c r="E76" s="4">
        <v>395130018.15539998</v>
      </c>
      <c r="F76" s="12">
        <v>479711171.48019993</v>
      </c>
      <c r="G76" s="4">
        <v>1115523010.0222998</v>
      </c>
      <c r="I76" s="10" t="s">
        <v>670</v>
      </c>
      <c r="J76" s="4">
        <v>223948195.28969997</v>
      </c>
      <c r="K76" s="4">
        <v>156433572.9131</v>
      </c>
      <c r="L76" s="4">
        <v>260488025.97850001</v>
      </c>
      <c r="M76" s="4">
        <v>261549981.41510001</v>
      </c>
      <c r="N76" s="4">
        <v>213103234.42589998</v>
      </c>
      <c r="O76" s="4">
        <v>1115523010.0222998</v>
      </c>
    </row>
    <row r="77" spans="3:15" x14ac:dyDescent="0.3">
      <c r="C77" s="10" t="s">
        <v>668</v>
      </c>
      <c r="D77" s="4">
        <v>455368182.81250006</v>
      </c>
      <c r="E77" s="4">
        <v>467438949.57670009</v>
      </c>
      <c r="F77" s="12">
        <v>557013036.89839971</v>
      </c>
      <c r="G77" s="12">
        <v>1479820169.2876</v>
      </c>
      <c r="I77" s="10" t="s">
        <v>668</v>
      </c>
      <c r="J77" s="4">
        <v>141679554.6661</v>
      </c>
      <c r="K77" s="4">
        <v>488374880.20720005</v>
      </c>
      <c r="L77" s="4">
        <v>311632608.7518</v>
      </c>
      <c r="M77" s="4">
        <v>268082283.19730002</v>
      </c>
      <c r="N77" s="4">
        <v>270050842.46520001</v>
      </c>
      <c r="O77" s="4">
        <v>1479820169.2876</v>
      </c>
    </row>
    <row r="78" spans="3:15" x14ac:dyDescent="0.3">
      <c r="C78" s="10" t="s">
        <v>672</v>
      </c>
      <c r="D78" s="4">
        <v>396977191.91760004</v>
      </c>
      <c r="E78" s="12">
        <v>416112863.44199991</v>
      </c>
      <c r="F78" s="4">
        <v>326602426.62050009</v>
      </c>
      <c r="G78" s="4">
        <v>1139692481.9801002</v>
      </c>
      <c r="I78" s="10" t="s">
        <v>672</v>
      </c>
      <c r="J78" s="4">
        <v>307762296.13600004</v>
      </c>
      <c r="K78" s="4">
        <v>248441560.48680001</v>
      </c>
      <c r="L78" s="4">
        <v>229383351.96290004</v>
      </c>
      <c r="M78" s="4">
        <v>219584908.95789999</v>
      </c>
      <c r="N78" s="4">
        <v>134520364.43649998</v>
      </c>
      <c r="O78" s="4">
        <v>1139692481.9801002</v>
      </c>
    </row>
    <row r="79" spans="3:15" x14ac:dyDescent="0.3">
      <c r="C79" s="10" t="s">
        <v>669</v>
      </c>
      <c r="D79" s="4">
        <v>417451151.11730003</v>
      </c>
      <c r="E79" s="12">
        <v>491042529.69510007</v>
      </c>
      <c r="F79" s="4">
        <v>465175998.45860004</v>
      </c>
      <c r="G79" s="4">
        <v>1373669679.2710001</v>
      </c>
      <c r="I79" s="10" t="s">
        <v>669</v>
      </c>
      <c r="J79" s="4">
        <v>389523392.02039999</v>
      </c>
      <c r="K79" s="4">
        <v>284573125.13709998</v>
      </c>
      <c r="L79" s="4">
        <v>269424834.79430002</v>
      </c>
      <c r="M79" s="4">
        <v>202653070.42300001</v>
      </c>
      <c r="N79" s="4">
        <v>227495256.8962</v>
      </c>
      <c r="O79" s="4">
        <v>1373669679.2710001</v>
      </c>
    </row>
    <row r="80" spans="3:15" x14ac:dyDescent="0.3">
      <c r="C80" s="10" t="s">
        <v>671</v>
      </c>
      <c r="D80" s="12">
        <v>615337673.69790018</v>
      </c>
      <c r="E80" s="4">
        <v>292880810.96169996</v>
      </c>
      <c r="F80" s="4">
        <v>377185216.23379999</v>
      </c>
      <c r="G80" s="4">
        <v>1285403700.8934002</v>
      </c>
      <c r="I80" s="10" t="s">
        <v>671</v>
      </c>
      <c r="J80" s="4">
        <v>104962791.1551</v>
      </c>
      <c r="K80" s="4">
        <v>289835611.00320005</v>
      </c>
      <c r="L80" s="4">
        <v>335374442.95789999</v>
      </c>
      <c r="M80" s="4">
        <v>283997603.3215</v>
      </c>
      <c r="N80" s="4">
        <v>271233252.45569998</v>
      </c>
      <c r="O80" s="4">
        <v>1285403700.8934</v>
      </c>
    </row>
    <row r="81" spans="3:17" x14ac:dyDescent="0.3">
      <c r="C81" s="10" t="s">
        <v>673</v>
      </c>
      <c r="D81" s="12">
        <v>541566593.10099983</v>
      </c>
      <c r="E81" s="4">
        <v>445555940.32779992</v>
      </c>
      <c r="F81" s="4">
        <v>357055980.91989994</v>
      </c>
      <c r="G81" s="4">
        <v>1344178514.3486996</v>
      </c>
      <c r="I81" s="10" t="s">
        <v>673</v>
      </c>
      <c r="J81" s="4">
        <v>338092662.85539985</v>
      </c>
      <c r="K81" s="4">
        <v>245723142.50600004</v>
      </c>
      <c r="L81" s="4">
        <v>351010999.00919998</v>
      </c>
      <c r="M81" s="4">
        <v>207622763.56829998</v>
      </c>
      <c r="N81" s="4">
        <v>201728946.40980005</v>
      </c>
      <c r="O81" s="4">
        <v>1344178514.3486998</v>
      </c>
    </row>
    <row r="82" spans="3:17" x14ac:dyDescent="0.3">
      <c r="C82" s="10" t="s">
        <v>1005</v>
      </c>
      <c r="D82" s="4">
        <v>2667382613.033</v>
      </c>
      <c r="E82" s="4">
        <v>2508161112.1587</v>
      </c>
      <c r="F82" s="4">
        <v>2562743830.6113997</v>
      </c>
      <c r="G82" s="4">
        <v>7738287555.8030996</v>
      </c>
      <c r="I82" s="10" t="s">
        <v>1005</v>
      </c>
      <c r="J82" s="4">
        <v>1505968892.1227</v>
      </c>
      <c r="K82" s="4">
        <v>1713381892.2534001</v>
      </c>
      <c r="L82" s="4">
        <v>1757314263.4545999</v>
      </c>
      <c r="M82" s="4">
        <v>1443490610.8831</v>
      </c>
      <c r="N82" s="4">
        <v>1318131897.0892999</v>
      </c>
      <c r="O82" s="4">
        <v>7738287555.8030996</v>
      </c>
    </row>
    <row r="86" spans="3:17" x14ac:dyDescent="0.3">
      <c r="C86" s="9" t="s">
        <v>1020</v>
      </c>
      <c r="D86" s="9" t="s">
        <v>1021</v>
      </c>
      <c r="I86" s="9" t="s">
        <v>1025</v>
      </c>
      <c r="J86" t="s">
        <v>1010</v>
      </c>
      <c r="K86" t="s">
        <v>1006</v>
      </c>
      <c r="M86" s="9" t="s">
        <v>1006</v>
      </c>
      <c r="N86" s="9" t="s">
        <v>1021</v>
      </c>
    </row>
    <row r="87" spans="3:17" x14ac:dyDescent="0.3">
      <c r="C87" s="9" t="s">
        <v>1014</v>
      </c>
      <c r="D87" t="s">
        <v>997</v>
      </c>
      <c r="E87" t="s">
        <v>998</v>
      </c>
      <c r="F87" t="s">
        <v>999</v>
      </c>
      <c r="G87" t="s">
        <v>1005</v>
      </c>
      <c r="I87" s="10" t="s">
        <v>682</v>
      </c>
      <c r="J87">
        <v>100792</v>
      </c>
      <c r="K87" s="4">
        <v>2467532676.6117005</v>
      </c>
      <c r="M87" s="9" t="s">
        <v>1014</v>
      </c>
      <c r="N87" t="s">
        <v>997</v>
      </c>
      <c r="O87" t="s">
        <v>998</v>
      </c>
      <c r="P87" t="s">
        <v>999</v>
      </c>
      <c r="Q87" t="s">
        <v>1005</v>
      </c>
    </row>
    <row r="88" spans="3:17" x14ac:dyDescent="0.3">
      <c r="C88" s="10" t="s">
        <v>630</v>
      </c>
      <c r="D88">
        <v>51</v>
      </c>
      <c r="E88">
        <v>60</v>
      </c>
      <c r="F88">
        <v>62</v>
      </c>
      <c r="G88">
        <v>173</v>
      </c>
      <c r="I88" s="10" t="s">
        <v>681</v>
      </c>
      <c r="J88">
        <v>95706</v>
      </c>
      <c r="K88" s="4">
        <v>2488637347.3046007</v>
      </c>
      <c r="M88" s="10" t="s">
        <v>630</v>
      </c>
      <c r="N88" s="4">
        <v>762710237.97229981</v>
      </c>
      <c r="O88" s="4">
        <v>1068028085.8422002</v>
      </c>
      <c r="P88" s="4">
        <v>836644289.21850014</v>
      </c>
      <c r="Q88" s="4">
        <v>2667382613.033</v>
      </c>
    </row>
    <row r="89" spans="3:17" x14ac:dyDescent="0.3">
      <c r="C89" s="10" t="s">
        <v>629</v>
      </c>
      <c r="D89">
        <v>57</v>
      </c>
      <c r="E89">
        <v>55</v>
      </c>
      <c r="F89">
        <v>52</v>
      </c>
      <c r="G89">
        <v>164</v>
      </c>
      <c r="I89" s="10" t="s">
        <v>680</v>
      </c>
      <c r="J89">
        <v>105418</v>
      </c>
      <c r="K89" s="4">
        <v>2782117531.8868008</v>
      </c>
      <c r="M89" s="10" t="s">
        <v>629</v>
      </c>
      <c r="N89" s="4">
        <v>863768729.15130031</v>
      </c>
      <c r="O89" s="4">
        <v>876563985.0891</v>
      </c>
      <c r="P89" s="4">
        <v>767828397.91830003</v>
      </c>
      <c r="Q89" s="4">
        <v>2508161112.1587005</v>
      </c>
    </row>
    <row r="90" spans="3:17" x14ac:dyDescent="0.3">
      <c r="C90" s="10" t="s">
        <v>628</v>
      </c>
      <c r="D90">
        <v>52</v>
      </c>
      <c r="E90">
        <v>53</v>
      </c>
      <c r="F90">
        <v>58</v>
      </c>
      <c r="G90">
        <v>163</v>
      </c>
      <c r="I90" s="10" t="s">
        <v>1005</v>
      </c>
      <c r="J90">
        <v>301916</v>
      </c>
      <c r="K90" s="4">
        <v>7738287555.8031025</v>
      </c>
      <c r="M90" s="10" t="s">
        <v>628</v>
      </c>
      <c r="N90" s="4">
        <v>762978972.47219992</v>
      </c>
      <c r="O90" s="4">
        <v>835894613.45550001</v>
      </c>
      <c r="P90" s="4">
        <v>963870244.68369997</v>
      </c>
      <c r="Q90" s="4">
        <v>2562743830.6114001</v>
      </c>
    </row>
    <row r="91" spans="3:17" x14ac:dyDescent="0.3">
      <c r="C91" s="10" t="s">
        <v>1005</v>
      </c>
      <c r="D91">
        <v>160</v>
      </c>
      <c r="E91">
        <v>168</v>
      </c>
      <c r="F91">
        <v>172</v>
      </c>
      <c r="G91">
        <v>500</v>
      </c>
      <c r="M91" s="10" t="s">
        <v>1005</v>
      </c>
      <c r="N91" s="4">
        <v>2389457939.5957999</v>
      </c>
      <c r="O91" s="4">
        <v>2780486684.3868003</v>
      </c>
      <c r="P91" s="4">
        <v>2568342931.8205004</v>
      </c>
      <c r="Q91" s="4">
        <v>7738287555.8031006</v>
      </c>
    </row>
    <row r="95" spans="3:17" x14ac:dyDescent="0.3">
      <c r="D95" s="21" t="s">
        <v>1027</v>
      </c>
      <c r="E95" s="21"/>
      <c r="F95" s="21"/>
    </row>
    <row r="96" spans="3:17" x14ac:dyDescent="0.3">
      <c r="D96" s="21"/>
      <c r="E96" s="21"/>
      <c r="F96" s="21"/>
    </row>
    <row r="98" spans="3:12" x14ac:dyDescent="0.3">
      <c r="F98" s="9" t="s">
        <v>9</v>
      </c>
      <c r="G98" t="s">
        <v>1029</v>
      </c>
      <c r="H98" t="s">
        <v>1012</v>
      </c>
    </row>
    <row r="99" spans="3:12" x14ac:dyDescent="0.3">
      <c r="C99" s="9" t="s">
        <v>1028</v>
      </c>
      <c r="D99" t="s">
        <v>1006</v>
      </c>
      <c r="F99" s="10" t="s">
        <v>670</v>
      </c>
      <c r="G99" s="4">
        <v>26416.9375</v>
      </c>
      <c r="H99" s="4">
        <v>2113355</v>
      </c>
    </row>
    <row r="100" spans="3:12" x14ac:dyDescent="0.3">
      <c r="C100" s="10" t="s">
        <v>1039</v>
      </c>
      <c r="D100" s="4">
        <v>1315007993.1948996</v>
      </c>
      <c r="F100" s="10" t="s">
        <v>668</v>
      </c>
      <c r="G100" s="4">
        <v>25920.142857142859</v>
      </c>
      <c r="H100" s="12">
        <v>2540174</v>
      </c>
    </row>
    <row r="101" spans="3:12" x14ac:dyDescent="0.3">
      <c r="C101" s="10" t="s">
        <v>1040</v>
      </c>
      <c r="D101" s="4">
        <v>2739752782.5829</v>
      </c>
      <c r="F101" s="10" t="s">
        <v>672</v>
      </c>
      <c r="G101" s="4">
        <v>28175.666666666668</v>
      </c>
      <c r="H101" s="4">
        <v>2028648</v>
      </c>
    </row>
    <row r="102" spans="3:12" x14ac:dyDescent="0.3">
      <c r="C102" s="10" t="s">
        <v>1041</v>
      </c>
      <c r="D102" s="12">
        <v>3683526780.0253</v>
      </c>
      <c r="F102" s="10" t="s">
        <v>669</v>
      </c>
      <c r="G102" s="4">
        <v>24452.442105263159</v>
      </c>
      <c r="H102" s="4">
        <v>2322982</v>
      </c>
    </row>
    <row r="103" spans="3:12" x14ac:dyDescent="0.3">
      <c r="C103" s="10" t="s">
        <v>1005</v>
      </c>
      <c r="D103" s="4">
        <v>7738287555.8030996</v>
      </c>
      <c r="F103" s="10" t="s">
        <v>671</v>
      </c>
      <c r="G103" s="12">
        <v>31194.371428571427</v>
      </c>
      <c r="H103" s="4">
        <v>2183606</v>
      </c>
    </row>
    <row r="104" spans="3:12" x14ac:dyDescent="0.3">
      <c r="F104" s="10" t="s">
        <v>673</v>
      </c>
      <c r="G104" s="4">
        <v>26736.2</v>
      </c>
      <c r="H104" s="4">
        <v>2272577</v>
      </c>
    </row>
    <row r="105" spans="3:12" x14ac:dyDescent="0.3">
      <c r="F105" s="10" t="s">
        <v>1005</v>
      </c>
      <c r="G105" s="4">
        <v>26922.684000000001</v>
      </c>
      <c r="H105" s="4">
        <v>13461342</v>
      </c>
    </row>
    <row r="106" spans="3:12" x14ac:dyDescent="0.3">
      <c r="H106" s="5"/>
      <c r="L106" s="5"/>
    </row>
    <row r="110" spans="3:12" x14ac:dyDescent="0.3">
      <c r="F110" s="9" t="s">
        <v>9</v>
      </c>
      <c r="G110" t="s">
        <v>1010</v>
      </c>
      <c r="H110" t="s">
        <v>1030</v>
      </c>
    </row>
    <row r="111" spans="3:12" x14ac:dyDescent="0.3">
      <c r="C111" s="9" t="s">
        <v>1014</v>
      </c>
      <c r="D111" t="s">
        <v>1030</v>
      </c>
      <c r="F111" s="10" t="s">
        <v>670</v>
      </c>
      <c r="G111">
        <v>45140</v>
      </c>
      <c r="H111" s="5">
        <v>564.25</v>
      </c>
    </row>
    <row r="112" spans="3:12" x14ac:dyDescent="0.3">
      <c r="C112" s="10" t="s">
        <v>630</v>
      </c>
      <c r="D112" s="5">
        <v>608.65895953757229</v>
      </c>
      <c r="F112" s="10" t="s">
        <v>668</v>
      </c>
      <c r="G112">
        <v>60762</v>
      </c>
      <c r="H112" s="5">
        <v>620.0204081632653</v>
      </c>
    </row>
    <row r="113" spans="3:15" x14ac:dyDescent="0.3">
      <c r="C113" s="10" t="s">
        <v>629</v>
      </c>
      <c r="D113" s="5">
        <v>586.21341463414637</v>
      </c>
      <c r="F113" s="10" t="s">
        <v>672</v>
      </c>
      <c r="G113">
        <v>43537</v>
      </c>
      <c r="H113" s="5">
        <v>604.68055555555554</v>
      </c>
    </row>
    <row r="114" spans="3:15" x14ac:dyDescent="0.3">
      <c r="C114" s="10" t="s">
        <v>628</v>
      </c>
      <c r="D114" s="5">
        <v>616.43558282208585</v>
      </c>
      <c r="F114" s="10" t="s">
        <v>669</v>
      </c>
      <c r="G114">
        <v>58606</v>
      </c>
      <c r="H114" s="5">
        <v>616.90526315789475</v>
      </c>
    </row>
    <row r="115" spans="3:15" x14ac:dyDescent="0.3">
      <c r="C115" s="10" t="s">
        <v>1005</v>
      </c>
      <c r="D115" s="5">
        <v>603.83199999999999</v>
      </c>
      <c r="F115" s="10" t="s">
        <v>671</v>
      </c>
      <c r="G115">
        <v>42167</v>
      </c>
      <c r="H115" s="5">
        <v>602.38571428571424</v>
      </c>
    </row>
    <row r="116" spans="3:15" x14ac:dyDescent="0.3">
      <c r="F116" s="10" t="s">
        <v>673</v>
      </c>
      <c r="G116">
        <v>51704</v>
      </c>
      <c r="H116" s="5">
        <v>608.28235294117644</v>
      </c>
    </row>
    <row r="117" spans="3:15" x14ac:dyDescent="0.3">
      <c r="F117" s="10" t="s">
        <v>1005</v>
      </c>
      <c r="G117">
        <v>301916</v>
      </c>
      <c r="H117" s="5">
        <v>603.83199999999999</v>
      </c>
    </row>
    <row r="119" spans="3:15" x14ac:dyDescent="0.3">
      <c r="D119" s="21" t="s">
        <v>1031</v>
      </c>
      <c r="E119" s="21"/>
      <c r="F119" s="21"/>
    </row>
    <row r="120" spans="3:15" x14ac:dyDescent="0.3">
      <c r="D120" s="21"/>
      <c r="E120" s="21"/>
      <c r="F120" s="21"/>
    </row>
    <row r="123" spans="3:15" x14ac:dyDescent="0.3">
      <c r="C123" s="9" t="s">
        <v>19</v>
      </c>
      <c r="D123" t="s">
        <v>1008</v>
      </c>
      <c r="F123" s="9" t="s">
        <v>19</v>
      </c>
      <c r="G123" t="s">
        <v>1006</v>
      </c>
      <c r="J123" s="9" t="s">
        <v>1019</v>
      </c>
    </row>
    <row r="124" spans="3:15" x14ac:dyDescent="0.3">
      <c r="C124" s="10" t="s">
        <v>988</v>
      </c>
      <c r="D124" s="17">
        <v>35</v>
      </c>
      <c r="F124" s="10" t="s">
        <v>988</v>
      </c>
      <c r="G124" s="4">
        <v>459192941.51209992</v>
      </c>
      <c r="J124" t="s">
        <v>694</v>
      </c>
      <c r="L124" t="s">
        <v>693</v>
      </c>
      <c r="N124" t="s">
        <v>1070</v>
      </c>
      <c r="O124" t="s">
        <v>1069</v>
      </c>
    </row>
    <row r="125" spans="3:15" x14ac:dyDescent="0.3">
      <c r="C125" s="10" t="s">
        <v>981</v>
      </c>
      <c r="D125" s="13">
        <v>40</v>
      </c>
      <c r="F125" s="10" t="s">
        <v>981</v>
      </c>
      <c r="G125" s="4">
        <v>742578264.99860001</v>
      </c>
      <c r="I125" s="9" t="s">
        <v>19</v>
      </c>
      <c r="J125" t="s">
        <v>1065</v>
      </c>
      <c r="K125" t="s">
        <v>1006</v>
      </c>
      <c r="L125" t="s">
        <v>1065</v>
      </c>
      <c r="M125" t="s">
        <v>1006</v>
      </c>
    </row>
    <row r="126" spans="3:15" x14ac:dyDescent="0.3">
      <c r="C126" s="10" t="s">
        <v>987</v>
      </c>
      <c r="D126" s="13">
        <v>41</v>
      </c>
      <c r="F126" s="10" t="s">
        <v>987</v>
      </c>
      <c r="G126" s="4">
        <v>700603231.82169998</v>
      </c>
      <c r="I126" s="10">
        <v>2024</v>
      </c>
      <c r="J126">
        <v>246</v>
      </c>
      <c r="K126" s="4">
        <v>4079127415.2707024</v>
      </c>
      <c r="L126">
        <v>254</v>
      </c>
      <c r="M126" s="4">
        <v>3659160140.5324006</v>
      </c>
      <c r="N126">
        <v>500</v>
      </c>
      <c r="O126" s="4">
        <v>7738287555.8031006</v>
      </c>
    </row>
    <row r="127" spans="3:15" x14ac:dyDescent="0.3">
      <c r="C127" s="10" t="s">
        <v>990</v>
      </c>
      <c r="D127" s="13">
        <v>30</v>
      </c>
      <c r="F127" s="10" t="s">
        <v>990</v>
      </c>
      <c r="G127" s="4">
        <v>428150454.75509995</v>
      </c>
      <c r="I127" s="11" t="s">
        <v>988</v>
      </c>
      <c r="J127">
        <v>18</v>
      </c>
      <c r="K127" s="4">
        <v>239897167.12509999</v>
      </c>
      <c r="L127">
        <v>17</v>
      </c>
      <c r="M127" s="4">
        <v>219295774.38699999</v>
      </c>
      <c r="N127">
        <v>35</v>
      </c>
      <c r="O127" s="4">
        <v>459192941.51209992</v>
      </c>
    </row>
    <row r="128" spans="3:15" x14ac:dyDescent="0.3">
      <c r="C128" s="10" t="s">
        <v>992</v>
      </c>
      <c r="D128" s="13">
        <v>38</v>
      </c>
      <c r="F128" s="10" t="s">
        <v>992</v>
      </c>
      <c r="G128" s="4">
        <v>571924808.42089999</v>
      </c>
      <c r="I128" s="11" t="s">
        <v>981</v>
      </c>
      <c r="J128">
        <v>24</v>
      </c>
      <c r="K128" s="4">
        <v>461919477.38239992</v>
      </c>
      <c r="L128">
        <v>16</v>
      </c>
      <c r="M128" s="4">
        <v>280658787.61619997</v>
      </c>
      <c r="N128">
        <v>40</v>
      </c>
      <c r="O128" s="4">
        <v>742578264.99860001</v>
      </c>
    </row>
    <row r="129" spans="3:15" x14ac:dyDescent="0.3">
      <c r="C129" s="10" t="s">
        <v>982</v>
      </c>
      <c r="D129" s="13">
        <v>35</v>
      </c>
      <c r="F129" s="10" t="s">
        <v>982</v>
      </c>
      <c r="G129" s="4">
        <v>579822609.3368001</v>
      </c>
      <c r="I129" s="11" t="s">
        <v>987</v>
      </c>
      <c r="J129">
        <v>19</v>
      </c>
      <c r="K129" s="4">
        <v>384039633.7421</v>
      </c>
      <c r="L129">
        <v>22</v>
      </c>
      <c r="M129" s="4">
        <v>316563598.07959992</v>
      </c>
      <c r="N129">
        <v>41</v>
      </c>
      <c r="O129" s="4">
        <v>700603231.8217001</v>
      </c>
    </row>
    <row r="130" spans="3:15" x14ac:dyDescent="0.3">
      <c r="C130" s="10" t="s">
        <v>991</v>
      </c>
      <c r="D130" s="13">
        <v>48</v>
      </c>
      <c r="F130" s="10" t="s">
        <v>991</v>
      </c>
      <c r="G130" s="4">
        <v>709650654.10809982</v>
      </c>
      <c r="I130" s="11" t="s">
        <v>990</v>
      </c>
      <c r="J130">
        <v>14</v>
      </c>
      <c r="K130" s="4">
        <v>218439764.59459999</v>
      </c>
      <c r="L130">
        <v>16</v>
      </c>
      <c r="M130" s="4">
        <v>209710690.16050005</v>
      </c>
      <c r="N130">
        <v>30</v>
      </c>
      <c r="O130" s="4">
        <v>428150454.75509995</v>
      </c>
    </row>
    <row r="131" spans="3:15" x14ac:dyDescent="0.3">
      <c r="C131" s="10" t="s">
        <v>989</v>
      </c>
      <c r="D131" s="13">
        <v>49</v>
      </c>
      <c r="F131" s="10" t="s">
        <v>989</v>
      </c>
      <c r="G131" s="4">
        <v>702988190.62880027</v>
      </c>
      <c r="I131" s="11" t="s">
        <v>992</v>
      </c>
      <c r="J131">
        <v>15</v>
      </c>
      <c r="K131" s="4">
        <v>215018791.96200001</v>
      </c>
      <c r="L131">
        <v>23</v>
      </c>
      <c r="M131" s="4">
        <v>356906016.45890003</v>
      </c>
      <c r="N131">
        <v>38</v>
      </c>
      <c r="O131" s="4">
        <v>571924808.42089999</v>
      </c>
    </row>
    <row r="132" spans="3:15" x14ac:dyDescent="0.3">
      <c r="C132" s="10" t="s">
        <v>986</v>
      </c>
      <c r="D132" s="13">
        <v>52</v>
      </c>
      <c r="F132" s="10" t="s">
        <v>986</v>
      </c>
      <c r="G132" s="12">
        <v>821102609.96080005</v>
      </c>
      <c r="I132" s="11" t="s">
        <v>982</v>
      </c>
      <c r="J132">
        <v>20</v>
      </c>
      <c r="K132" s="4">
        <v>362620989.20349997</v>
      </c>
      <c r="L132">
        <v>15</v>
      </c>
      <c r="M132" s="4">
        <v>217201620.13330001</v>
      </c>
      <c r="N132">
        <v>35</v>
      </c>
      <c r="O132" s="4">
        <v>579822609.33679986</v>
      </c>
    </row>
    <row r="133" spans="3:15" x14ac:dyDescent="0.3">
      <c r="C133" s="10" t="s">
        <v>985</v>
      </c>
      <c r="D133" s="13">
        <v>48</v>
      </c>
      <c r="F133" s="10" t="s">
        <v>985</v>
      </c>
      <c r="G133" s="4">
        <v>665353566.33900011</v>
      </c>
      <c r="I133" s="11" t="s">
        <v>991</v>
      </c>
      <c r="J133">
        <v>24</v>
      </c>
      <c r="K133" s="4">
        <v>360258388.83719993</v>
      </c>
      <c r="L133">
        <v>24</v>
      </c>
      <c r="M133" s="4">
        <v>349392265.27090001</v>
      </c>
      <c r="N133">
        <v>48</v>
      </c>
      <c r="O133" s="4">
        <v>709650654.10809994</v>
      </c>
    </row>
    <row r="134" spans="3:15" x14ac:dyDescent="0.3">
      <c r="C134" s="10" t="s">
        <v>983</v>
      </c>
      <c r="D134" s="13">
        <v>42</v>
      </c>
      <c r="F134" s="10" t="s">
        <v>983</v>
      </c>
      <c r="G134" s="4">
        <v>604806909.38619995</v>
      </c>
      <c r="I134" s="11" t="s">
        <v>989</v>
      </c>
      <c r="J134">
        <v>26</v>
      </c>
      <c r="K134" s="4">
        <v>421273494.75809997</v>
      </c>
      <c r="L134">
        <v>23</v>
      </c>
      <c r="M134" s="4">
        <v>281714695.87070006</v>
      </c>
      <c r="N134">
        <v>49</v>
      </c>
      <c r="O134" s="4">
        <v>702988190.62880003</v>
      </c>
    </row>
    <row r="135" spans="3:15" x14ac:dyDescent="0.3">
      <c r="C135" s="10" t="s">
        <v>984</v>
      </c>
      <c r="D135" s="13">
        <v>42</v>
      </c>
      <c r="F135" s="10" t="s">
        <v>984</v>
      </c>
      <c r="G135" s="4">
        <v>752113314.53500021</v>
      </c>
      <c r="I135" s="11" t="s">
        <v>986</v>
      </c>
      <c r="J135">
        <v>15</v>
      </c>
      <c r="K135" s="4">
        <v>260918657.99700004</v>
      </c>
      <c r="L135">
        <v>37</v>
      </c>
      <c r="M135" s="4">
        <v>560183951.96380007</v>
      </c>
      <c r="N135" s="18">
        <v>52</v>
      </c>
      <c r="O135" s="12">
        <v>821102609.96080005</v>
      </c>
    </row>
    <row r="136" spans="3:15" x14ac:dyDescent="0.3">
      <c r="C136" s="10" t="s">
        <v>1005</v>
      </c>
      <c r="D136" s="13">
        <v>500</v>
      </c>
      <c r="F136" s="10" t="s">
        <v>1005</v>
      </c>
      <c r="G136" s="4">
        <v>7738287555.8030996</v>
      </c>
      <c r="I136" s="11" t="s">
        <v>985</v>
      </c>
      <c r="J136">
        <v>25</v>
      </c>
      <c r="K136" s="4">
        <v>345549557.45959997</v>
      </c>
      <c r="L136">
        <v>23</v>
      </c>
      <c r="M136" s="4">
        <v>319804008.87940001</v>
      </c>
      <c r="N136">
        <v>48</v>
      </c>
      <c r="O136" s="4">
        <v>665353566.33900023</v>
      </c>
    </row>
    <row r="137" spans="3:15" x14ac:dyDescent="0.3">
      <c r="I137" s="11" t="s">
        <v>983</v>
      </c>
      <c r="J137">
        <v>22</v>
      </c>
      <c r="K137" s="4">
        <v>340453474.70459992</v>
      </c>
      <c r="L137">
        <v>20</v>
      </c>
      <c r="M137" s="4">
        <v>264353434.6816</v>
      </c>
      <c r="N137">
        <v>42</v>
      </c>
      <c r="O137" s="4">
        <v>604806909.38619995</v>
      </c>
    </row>
    <row r="138" spans="3:15" x14ac:dyDescent="0.3">
      <c r="I138" s="11" t="s">
        <v>984</v>
      </c>
      <c r="J138">
        <v>24</v>
      </c>
      <c r="K138" s="4">
        <v>468738017.50449997</v>
      </c>
      <c r="L138">
        <v>18</v>
      </c>
      <c r="M138" s="4">
        <v>283375297.03049999</v>
      </c>
      <c r="N138">
        <v>42</v>
      </c>
      <c r="O138" s="4">
        <v>752113314.53500021</v>
      </c>
    </row>
    <row r="139" spans="3:15" x14ac:dyDescent="0.3">
      <c r="I139" s="10" t="s">
        <v>1005</v>
      </c>
      <c r="J139">
        <v>246</v>
      </c>
      <c r="K139" s="4">
        <v>4079127415.2707024</v>
      </c>
      <c r="L139">
        <v>254</v>
      </c>
      <c r="M139" s="4">
        <v>3659160140.5324006</v>
      </c>
      <c r="N139">
        <v>500</v>
      </c>
      <c r="O139" s="4">
        <v>7738287555.8031006</v>
      </c>
    </row>
    <row r="140" spans="3:15" x14ac:dyDescent="0.3">
      <c r="D140" s="20" t="s">
        <v>1033</v>
      </c>
      <c r="E140" s="20"/>
      <c r="F140" s="20"/>
    </row>
    <row r="141" spans="3:15" x14ac:dyDescent="0.3">
      <c r="D141" s="20"/>
      <c r="E141" s="20"/>
      <c r="F141" s="20"/>
    </row>
    <row r="144" spans="3:15" x14ac:dyDescent="0.3">
      <c r="C144" s="9" t="s">
        <v>1022</v>
      </c>
      <c r="D144" t="s">
        <v>1008</v>
      </c>
      <c r="E144" t="s">
        <v>1006</v>
      </c>
      <c r="F144" s="9" t="s">
        <v>1022</v>
      </c>
      <c r="G144" t="s">
        <v>1006</v>
      </c>
      <c r="I144" s="9" t="s">
        <v>1020</v>
      </c>
      <c r="J144" s="9" t="s">
        <v>1019</v>
      </c>
    </row>
    <row r="145" spans="3:13" x14ac:dyDescent="0.3">
      <c r="C145" s="10" t="s">
        <v>995</v>
      </c>
      <c r="D145" s="13">
        <v>117</v>
      </c>
      <c r="E145" s="4">
        <v>1802804850.9130993</v>
      </c>
      <c r="F145" s="10" t="s">
        <v>995</v>
      </c>
      <c r="G145" s="4">
        <v>1802804850.9130993</v>
      </c>
      <c r="I145" s="9" t="s">
        <v>1022</v>
      </c>
      <c r="J145" t="s">
        <v>997</v>
      </c>
      <c r="K145" t="s">
        <v>998</v>
      </c>
      <c r="L145" t="s">
        <v>999</v>
      </c>
      <c r="M145" t="s">
        <v>1005</v>
      </c>
    </row>
    <row r="146" spans="3:13" x14ac:dyDescent="0.3">
      <c r="C146" s="10" t="s">
        <v>994</v>
      </c>
      <c r="D146" s="13">
        <v>115</v>
      </c>
      <c r="E146" s="4">
        <v>1649586282.3227997</v>
      </c>
      <c r="F146" s="10" t="s">
        <v>994</v>
      </c>
      <c r="G146" s="4">
        <v>1649586282.3227997</v>
      </c>
      <c r="I146" s="10" t="s">
        <v>995</v>
      </c>
      <c r="J146" s="13">
        <v>37</v>
      </c>
      <c r="K146" s="13">
        <v>38</v>
      </c>
      <c r="L146" s="13">
        <v>42</v>
      </c>
      <c r="M146" s="13">
        <v>117</v>
      </c>
    </row>
    <row r="147" spans="3:13" x14ac:dyDescent="0.3">
      <c r="C147" s="10" t="s">
        <v>993</v>
      </c>
      <c r="D147" s="16">
        <v>138</v>
      </c>
      <c r="E147" s="12">
        <v>1966479782.7241993</v>
      </c>
      <c r="F147" s="10" t="s">
        <v>993</v>
      </c>
      <c r="G147" s="4">
        <v>1966479782.7241993</v>
      </c>
      <c r="I147" s="10" t="s">
        <v>994</v>
      </c>
      <c r="J147" s="13">
        <v>40</v>
      </c>
      <c r="K147" s="13">
        <v>37</v>
      </c>
      <c r="L147" s="13">
        <v>38</v>
      </c>
      <c r="M147" s="13">
        <v>115</v>
      </c>
    </row>
    <row r="148" spans="3:13" x14ac:dyDescent="0.3">
      <c r="C148" s="10" t="s">
        <v>996</v>
      </c>
      <c r="D148" s="13">
        <v>130</v>
      </c>
      <c r="E148" s="4">
        <v>2319416639.8430004</v>
      </c>
      <c r="F148" s="10" t="s">
        <v>996</v>
      </c>
      <c r="G148" s="12">
        <v>2319416639.8430004</v>
      </c>
      <c r="I148" s="10" t="s">
        <v>993</v>
      </c>
      <c r="J148" s="13">
        <v>46</v>
      </c>
      <c r="K148" s="13">
        <v>50</v>
      </c>
      <c r="L148" s="13">
        <v>42</v>
      </c>
      <c r="M148" s="13">
        <v>138</v>
      </c>
    </row>
    <row r="149" spans="3:13" x14ac:dyDescent="0.3">
      <c r="C149" s="10" t="s">
        <v>1005</v>
      </c>
      <c r="D149" s="13">
        <v>500</v>
      </c>
      <c r="E149" s="4">
        <v>7738287555.8030987</v>
      </c>
      <c r="F149" s="10" t="s">
        <v>1005</v>
      </c>
      <c r="G149" s="4">
        <v>7738287555.8030987</v>
      </c>
      <c r="I149" s="10" t="s">
        <v>996</v>
      </c>
      <c r="J149" s="13">
        <v>37</v>
      </c>
      <c r="K149" s="13">
        <v>43</v>
      </c>
      <c r="L149" s="13">
        <v>50</v>
      </c>
      <c r="M149" s="13">
        <v>130</v>
      </c>
    </row>
    <row r="150" spans="3:13" x14ac:dyDescent="0.3">
      <c r="I150" s="10" t="s">
        <v>1005</v>
      </c>
      <c r="J150" s="13">
        <v>160</v>
      </c>
      <c r="K150" s="13">
        <v>168</v>
      </c>
      <c r="L150" s="13">
        <v>172</v>
      </c>
      <c r="M150" s="13">
        <v>500</v>
      </c>
    </row>
    <row r="153" spans="3:13" x14ac:dyDescent="0.3">
      <c r="D153" s="20" t="s">
        <v>1034</v>
      </c>
      <c r="E153" s="20"/>
      <c r="F153" s="20"/>
    </row>
    <row r="154" spans="3:13" x14ac:dyDescent="0.3">
      <c r="D154" s="20"/>
      <c r="E154" s="20"/>
      <c r="F154" s="20"/>
    </row>
    <row r="157" spans="3:13" x14ac:dyDescent="0.3">
      <c r="C157" s="9" t="s">
        <v>1038</v>
      </c>
      <c r="D157" t="s">
        <v>1006</v>
      </c>
      <c r="F157" s="9" t="s">
        <v>1028</v>
      </c>
      <c r="G157" t="s">
        <v>1006</v>
      </c>
    </row>
    <row r="158" spans="3:13" x14ac:dyDescent="0.3">
      <c r="C158" s="10" t="s">
        <v>1035</v>
      </c>
      <c r="D158" s="4">
        <v>1960891554.7300003</v>
      </c>
      <c r="F158" s="10" t="s">
        <v>1042</v>
      </c>
      <c r="G158" s="4">
        <v>1315007993.1948996</v>
      </c>
    </row>
    <row r="159" spans="3:13" x14ac:dyDescent="0.3">
      <c r="C159" s="10" t="s">
        <v>1036</v>
      </c>
      <c r="D159" s="4">
        <v>1141823929.2846</v>
      </c>
      <c r="F159" s="10" t="s">
        <v>1043</v>
      </c>
      <c r="G159" s="4">
        <v>2739752782.5829</v>
      </c>
    </row>
    <row r="160" spans="3:13" x14ac:dyDescent="0.3">
      <c r="C160" s="10" t="s">
        <v>1037</v>
      </c>
      <c r="D160" s="4">
        <v>4635572071.7885017</v>
      </c>
      <c r="F160" s="10" t="s">
        <v>1044</v>
      </c>
      <c r="G160" s="12">
        <v>3683526780.0253</v>
      </c>
    </row>
    <row r="161" spans="3:7" x14ac:dyDescent="0.3">
      <c r="C161" s="10" t="s">
        <v>1005</v>
      </c>
      <c r="D161" s="4">
        <v>7738287555.8031025</v>
      </c>
      <c r="F161" s="10" t="s">
        <v>1005</v>
      </c>
      <c r="G161" s="4">
        <v>7738287555.8030996</v>
      </c>
    </row>
    <row r="164" spans="3:7" x14ac:dyDescent="0.3">
      <c r="C164" s="9" t="s">
        <v>1014</v>
      </c>
      <c r="D164" t="s">
        <v>1013</v>
      </c>
      <c r="F164" s="9" t="s">
        <v>1009</v>
      </c>
      <c r="G164" t="s">
        <v>1008</v>
      </c>
    </row>
    <row r="165" spans="3:7" x14ac:dyDescent="0.3">
      <c r="C165" s="10" t="s">
        <v>630</v>
      </c>
      <c r="D165" s="4">
        <v>26637.942196531792</v>
      </c>
      <c r="F165" s="10" t="s">
        <v>694</v>
      </c>
      <c r="G165">
        <v>246</v>
      </c>
    </row>
    <row r="166" spans="3:7" x14ac:dyDescent="0.3">
      <c r="C166" s="10" t="s">
        <v>629</v>
      </c>
      <c r="D166" s="12">
        <v>27178.353658536584</v>
      </c>
      <c r="F166" s="10" t="s">
        <v>693</v>
      </c>
      <c r="G166">
        <v>254</v>
      </c>
    </row>
    <row r="167" spans="3:7" x14ac:dyDescent="0.3">
      <c r="C167" s="10" t="s">
        <v>628</v>
      </c>
      <c r="D167" s="4">
        <v>26967.656441717791</v>
      </c>
      <c r="F167" s="10" t="s">
        <v>1005</v>
      </c>
      <c r="G167">
        <v>500</v>
      </c>
    </row>
    <row r="168" spans="3:7" x14ac:dyDescent="0.3">
      <c r="C168" s="10" t="s">
        <v>1005</v>
      </c>
      <c r="D168" s="4">
        <v>26922.684000000001</v>
      </c>
    </row>
    <row r="172" spans="3:7" x14ac:dyDescent="0.3">
      <c r="D172" s="21" t="s">
        <v>1045</v>
      </c>
      <c r="E172" s="21"/>
      <c r="F172" s="21"/>
    </row>
    <row r="173" spans="3:7" x14ac:dyDescent="0.3">
      <c r="D173" s="21"/>
      <c r="E173" s="21"/>
      <c r="F173" s="21"/>
    </row>
    <row r="176" spans="3:7" x14ac:dyDescent="0.3">
      <c r="C176" s="9" t="s">
        <v>1025</v>
      </c>
      <c r="D176" t="s">
        <v>1008</v>
      </c>
      <c r="F176" s="9" t="s">
        <v>1008</v>
      </c>
      <c r="G176" s="9" t="s">
        <v>1049</v>
      </c>
    </row>
    <row r="177" spans="3:9" x14ac:dyDescent="0.3">
      <c r="C177" s="10" t="s">
        <v>682</v>
      </c>
      <c r="D177">
        <v>175</v>
      </c>
      <c r="F177" s="9" t="s">
        <v>1009</v>
      </c>
      <c r="G177" t="s">
        <v>1050</v>
      </c>
      <c r="H177" t="s">
        <v>1051</v>
      </c>
      <c r="I177" t="s">
        <v>1005</v>
      </c>
    </row>
    <row r="178" spans="3:9" x14ac:dyDescent="0.3">
      <c r="C178" s="11" t="s">
        <v>1035</v>
      </c>
      <c r="D178">
        <v>16</v>
      </c>
      <c r="F178" s="10" t="s">
        <v>694</v>
      </c>
      <c r="G178">
        <v>134</v>
      </c>
      <c r="H178">
        <v>112</v>
      </c>
      <c r="I178">
        <v>246</v>
      </c>
    </row>
    <row r="179" spans="3:9" x14ac:dyDescent="0.3">
      <c r="C179" s="11" t="s">
        <v>1036</v>
      </c>
      <c r="D179">
        <v>74</v>
      </c>
      <c r="F179" s="10" t="s">
        <v>693</v>
      </c>
      <c r="G179">
        <v>125</v>
      </c>
      <c r="H179">
        <v>129</v>
      </c>
      <c r="I179">
        <v>254</v>
      </c>
    </row>
    <row r="180" spans="3:9" x14ac:dyDescent="0.3">
      <c r="C180" s="11" t="s">
        <v>1037</v>
      </c>
      <c r="D180">
        <v>85</v>
      </c>
      <c r="F180" s="10" t="s">
        <v>1005</v>
      </c>
      <c r="G180">
        <v>259</v>
      </c>
      <c r="H180">
        <v>241</v>
      </c>
      <c r="I180">
        <v>500</v>
      </c>
    </row>
    <row r="181" spans="3:9" x14ac:dyDescent="0.3">
      <c r="C181" s="10" t="s">
        <v>681</v>
      </c>
      <c r="D181">
        <v>153</v>
      </c>
    </row>
    <row r="182" spans="3:9" x14ac:dyDescent="0.3">
      <c r="C182" s="11" t="s">
        <v>1035</v>
      </c>
      <c r="D182">
        <v>19</v>
      </c>
    </row>
    <row r="183" spans="3:9" x14ac:dyDescent="0.3">
      <c r="C183" s="11" t="s">
        <v>1036</v>
      </c>
      <c r="D183">
        <v>60</v>
      </c>
    </row>
    <row r="184" spans="3:9" x14ac:dyDescent="0.3">
      <c r="C184" s="11" t="s">
        <v>1037</v>
      </c>
      <c r="D184">
        <v>74</v>
      </c>
    </row>
    <row r="185" spans="3:9" x14ac:dyDescent="0.3">
      <c r="C185" s="10" t="s">
        <v>680</v>
      </c>
      <c r="D185">
        <v>172</v>
      </c>
    </row>
    <row r="186" spans="3:9" x14ac:dyDescent="0.3">
      <c r="C186" s="11" t="s">
        <v>1035</v>
      </c>
      <c r="D186">
        <v>19</v>
      </c>
    </row>
    <row r="187" spans="3:9" x14ac:dyDescent="0.3">
      <c r="C187" s="11" t="s">
        <v>1036</v>
      </c>
      <c r="D187">
        <v>61</v>
      </c>
    </row>
    <row r="188" spans="3:9" x14ac:dyDescent="0.3">
      <c r="C188" s="11" t="s">
        <v>1037</v>
      </c>
      <c r="D188">
        <v>92</v>
      </c>
    </row>
    <row r="189" spans="3:9" x14ac:dyDescent="0.3">
      <c r="C189" s="10" t="s">
        <v>1005</v>
      </c>
      <c r="D189">
        <v>500</v>
      </c>
    </row>
    <row r="196" spans="3:8" x14ac:dyDescent="0.3">
      <c r="D196" s="20" t="s">
        <v>1053</v>
      </c>
      <c r="E196" s="20"/>
      <c r="F196" s="20"/>
    </row>
    <row r="197" spans="3:8" x14ac:dyDescent="0.3">
      <c r="D197" s="20"/>
      <c r="E197" s="20"/>
      <c r="F197" s="20"/>
    </row>
    <row r="200" spans="3:8" x14ac:dyDescent="0.3">
      <c r="C200" s="9" t="s">
        <v>1021</v>
      </c>
      <c r="D200" t="s">
        <v>1010</v>
      </c>
      <c r="E200" t="s">
        <v>1008</v>
      </c>
      <c r="G200" s="9" t="s">
        <v>1021</v>
      </c>
      <c r="H200" t="s">
        <v>1006</v>
      </c>
    </row>
    <row r="201" spans="3:8" x14ac:dyDescent="0.3">
      <c r="C201" s="10" t="s">
        <v>997</v>
      </c>
      <c r="D201" s="13">
        <v>93961</v>
      </c>
      <c r="E201" s="13">
        <v>160</v>
      </c>
      <c r="G201" s="10" t="s">
        <v>997</v>
      </c>
      <c r="H201" s="4">
        <v>2389457939.595798</v>
      </c>
    </row>
    <row r="202" spans="3:8" x14ac:dyDescent="0.3">
      <c r="C202" s="10" t="s">
        <v>998</v>
      </c>
      <c r="D202" s="16">
        <v>105782</v>
      </c>
      <c r="E202">
        <v>168</v>
      </c>
      <c r="G202" s="10" t="s">
        <v>998</v>
      </c>
      <c r="H202" s="12">
        <v>2780486684.3868003</v>
      </c>
    </row>
    <row r="203" spans="3:8" x14ac:dyDescent="0.3">
      <c r="C203" s="10" t="s">
        <v>999</v>
      </c>
      <c r="D203" s="13">
        <v>102173</v>
      </c>
      <c r="E203" s="16">
        <v>172</v>
      </c>
      <c r="G203" s="10" t="s">
        <v>999</v>
      </c>
      <c r="H203" s="4">
        <v>2568342931.8205023</v>
      </c>
    </row>
    <row r="204" spans="3:8" x14ac:dyDescent="0.3">
      <c r="C204" s="10" t="s">
        <v>1005</v>
      </c>
      <c r="D204" s="13">
        <v>301916</v>
      </c>
      <c r="E204" s="13">
        <v>500</v>
      </c>
      <c r="G204" s="10" t="s">
        <v>1005</v>
      </c>
      <c r="H204" s="4">
        <v>7738287555.8031006</v>
      </c>
    </row>
    <row r="207" spans="3:8" x14ac:dyDescent="0.3">
      <c r="C207" s="9" t="s">
        <v>1021</v>
      </c>
      <c r="D207" t="s">
        <v>1059</v>
      </c>
      <c r="G207" s="9" t="s">
        <v>1021</v>
      </c>
      <c r="H207" t="s">
        <v>1006</v>
      </c>
    </row>
    <row r="208" spans="3:8" x14ac:dyDescent="0.3">
      <c r="C208" s="10" t="s">
        <v>997</v>
      </c>
      <c r="D208" s="5">
        <v>2.9249999999999998</v>
      </c>
      <c r="G208" s="10" t="s">
        <v>997</v>
      </c>
      <c r="H208" s="4">
        <v>2389457939.5957999</v>
      </c>
    </row>
    <row r="209" spans="3:8" x14ac:dyDescent="0.3">
      <c r="C209" s="10" t="s">
        <v>998</v>
      </c>
      <c r="D209" s="5">
        <v>3.0595238095238093</v>
      </c>
      <c r="G209" s="11" t="s">
        <v>1054</v>
      </c>
      <c r="H209" s="4">
        <v>539211291.29149985</v>
      </c>
    </row>
    <row r="210" spans="3:8" x14ac:dyDescent="0.3">
      <c r="C210" s="10" t="s">
        <v>999</v>
      </c>
      <c r="D210" s="5">
        <v>3.1627906976744184</v>
      </c>
      <c r="G210" s="11" t="s">
        <v>1055</v>
      </c>
      <c r="H210" s="4">
        <v>516150929.55100012</v>
      </c>
    </row>
    <row r="211" spans="3:8" x14ac:dyDescent="0.3">
      <c r="C211" s="10" t="s">
        <v>1005</v>
      </c>
      <c r="D211" s="5">
        <v>3.052</v>
      </c>
      <c r="G211" s="11" t="s">
        <v>1056</v>
      </c>
      <c r="H211" s="12">
        <v>555745393.29780006</v>
      </c>
    </row>
    <row r="212" spans="3:8" x14ac:dyDescent="0.3">
      <c r="G212" s="11" t="s">
        <v>1057</v>
      </c>
      <c r="H212" s="4">
        <v>452858172.86019987</v>
      </c>
    </row>
    <row r="213" spans="3:8" x14ac:dyDescent="0.3">
      <c r="G213" s="11" t="s">
        <v>1058</v>
      </c>
      <c r="H213" s="4">
        <v>325492152.59530002</v>
      </c>
    </row>
    <row r="214" spans="3:8" x14ac:dyDescent="0.3">
      <c r="G214" s="10" t="s">
        <v>998</v>
      </c>
      <c r="H214" s="4">
        <v>2780486684.3867998</v>
      </c>
    </row>
    <row r="215" spans="3:8" x14ac:dyDescent="0.3">
      <c r="G215" s="11" t="s">
        <v>1054</v>
      </c>
      <c r="H215" s="4">
        <v>539939755.9684999</v>
      </c>
    </row>
    <row r="216" spans="3:8" x14ac:dyDescent="0.3">
      <c r="G216" s="11" t="s">
        <v>1055</v>
      </c>
      <c r="H216" s="4">
        <v>477871371.30659997</v>
      </c>
    </row>
    <row r="217" spans="3:8" x14ac:dyDescent="0.3">
      <c r="G217" s="11" t="s">
        <v>1056</v>
      </c>
      <c r="H217" s="12">
        <v>773699719.31370008</v>
      </c>
    </row>
    <row r="218" spans="3:8" x14ac:dyDescent="0.3">
      <c r="G218" s="11" t="s">
        <v>1057</v>
      </c>
      <c r="H218" s="4">
        <v>636009298.05569994</v>
      </c>
    </row>
    <row r="219" spans="3:8" x14ac:dyDescent="0.3">
      <c r="G219" s="11" t="s">
        <v>1058</v>
      </c>
      <c r="H219" s="4">
        <v>352966539.74230003</v>
      </c>
    </row>
    <row r="220" spans="3:8" x14ac:dyDescent="0.3">
      <c r="G220" s="10" t="s">
        <v>999</v>
      </c>
      <c r="H220" s="4">
        <v>2568342931.8204999</v>
      </c>
    </row>
    <row r="221" spans="3:8" x14ac:dyDescent="0.3">
      <c r="G221" s="11" t="s">
        <v>1054</v>
      </c>
      <c r="H221" s="12">
        <v>602571326.6415</v>
      </c>
    </row>
    <row r="222" spans="3:8" x14ac:dyDescent="0.3">
      <c r="G222" s="11" t="s">
        <v>1055</v>
      </c>
      <c r="H222" s="4">
        <v>541980102.98679996</v>
      </c>
    </row>
    <row r="223" spans="3:8" x14ac:dyDescent="0.3">
      <c r="G223" s="11" t="s">
        <v>1056</v>
      </c>
      <c r="H223" s="4">
        <v>558661077.6487</v>
      </c>
    </row>
    <row r="224" spans="3:8" x14ac:dyDescent="0.3">
      <c r="G224" s="11" t="s">
        <v>1057</v>
      </c>
      <c r="H224" s="4">
        <v>597479450.64050007</v>
      </c>
    </row>
    <row r="225" spans="3:8" x14ac:dyDescent="0.3">
      <c r="G225" s="11" t="s">
        <v>1058</v>
      </c>
      <c r="H225" s="4">
        <v>267650973.90300006</v>
      </c>
    </row>
    <row r="226" spans="3:8" x14ac:dyDescent="0.3">
      <c r="G226" s="10" t="s">
        <v>1005</v>
      </c>
      <c r="H226" s="4">
        <v>7738287555.8030996</v>
      </c>
    </row>
    <row r="232" spans="3:8" x14ac:dyDescent="0.3">
      <c r="D232" s="20" t="s">
        <v>1066</v>
      </c>
      <c r="E232" s="20"/>
      <c r="F232" s="20"/>
    </row>
    <row r="233" spans="3:8" x14ac:dyDescent="0.3">
      <c r="D233" s="20"/>
      <c r="E233" s="20"/>
      <c r="F233" s="20"/>
    </row>
    <row r="237" spans="3:8" x14ac:dyDescent="0.3">
      <c r="C237" s="9" t="s">
        <v>1061</v>
      </c>
      <c r="D237" t="s">
        <v>1006</v>
      </c>
    </row>
    <row r="238" spans="3:8" x14ac:dyDescent="0.3">
      <c r="C238" s="10" t="s">
        <v>1044</v>
      </c>
      <c r="D238" s="4">
        <v>3683526780.0253</v>
      </c>
    </row>
    <row r="239" spans="3:8" x14ac:dyDescent="0.3">
      <c r="C239" s="10" t="s">
        <v>1043</v>
      </c>
      <c r="D239" s="4">
        <v>2739752782.5829</v>
      </c>
    </row>
    <row r="240" spans="3:8" x14ac:dyDescent="0.3">
      <c r="C240" s="10" t="s">
        <v>1042</v>
      </c>
      <c r="D240" s="4">
        <v>1315007993.1948996</v>
      </c>
    </row>
    <row r="241" spans="3:4" x14ac:dyDescent="0.3">
      <c r="C241" s="10" t="s">
        <v>1005</v>
      </c>
      <c r="D241" s="4">
        <v>7738287555.8030996</v>
      </c>
    </row>
  </sheetData>
  <mergeCells count="10">
    <mergeCell ref="D2:F3"/>
    <mergeCell ref="D232:F233"/>
    <mergeCell ref="D196:F197"/>
    <mergeCell ref="D22:F23"/>
    <mergeCell ref="D119:F120"/>
    <mergeCell ref="D140:F141"/>
    <mergeCell ref="D153:F154"/>
    <mergeCell ref="D172:F173"/>
    <mergeCell ref="D70:G71"/>
    <mergeCell ref="D95:F9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2E2BB-09E4-4446-9629-F5686CC44FC6}">
  <sheetPr codeName="Sheet4"/>
  <dimension ref="A1"/>
  <sheetViews>
    <sheetView tabSelected="1" topLeftCell="A70" zoomScale="94" zoomScaleNormal="94" workbookViewId="0">
      <selection activeCell="R72" sqref="R72"/>
    </sheetView>
  </sheetViews>
  <sheetFormatPr defaultRowHeight="14.4" x14ac:dyDescent="0.3"/>
  <cols>
    <col min="12" max="12" width="15.21875" bestFit="1" customWidth="1"/>
    <col min="13" max="13" width="23.4414062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Sheet2 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Janet Oluwatoba</cp:lastModifiedBy>
  <dcterms:created xsi:type="dcterms:W3CDTF">2026-04-13T07:28:21Z</dcterms:created>
  <dcterms:modified xsi:type="dcterms:W3CDTF">2026-10-18T17:36:38Z</dcterms:modified>
</cp:coreProperties>
</file>